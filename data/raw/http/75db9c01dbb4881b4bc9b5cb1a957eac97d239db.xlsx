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C1B28223-CE98-4C2C-9196-A85F08AEAD23}" xr6:coauthVersionLast="47" xr6:coauthVersionMax="47" xr10:uidLastSave="{00000000-0000-0000-0000-000000000000}"/>
  <bookViews>
    <workbookView xWindow="-28920" yWindow="-120" windowWidth="29040" windowHeight="17520" xr2:uid="{00000000-000D-0000-FFFF-FFFF00000000}"/>
  </bookViews>
  <sheets>
    <sheet name="T3.7" sheetId="5" r:id="rId1"/>
    <sheet name="T3.7 (old)" sheetId="10" r:id="rId2"/>
  </sheets>
  <definedNames>
    <definedName name="_xlnm.Print_Area" localSheetId="0">'T3.7'!$A$1:$BH$154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59" i="5" l="1"/>
  <c r="AG46" i="5"/>
  <c r="U46" i="5"/>
  <c r="U56" i="5"/>
  <c r="U64" i="5"/>
  <c r="U63" i="5"/>
  <c r="AG64" i="5"/>
  <c r="AA64" i="5"/>
  <c r="AG63" i="5"/>
  <c r="AA63" i="5"/>
  <c r="AG62" i="5"/>
  <c r="AA62" i="5"/>
  <c r="U62" i="5"/>
  <c r="AG61" i="5"/>
  <c r="AA61" i="5"/>
  <c r="U61" i="5"/>
  <c r="AG60" i="5"/>
  <c r="AA60" i="5"/>
  <c r="U60" i="5"/>
  <c r="AA59" i="5"/>
  <c r="U59" i="5"/>
  <c r="AG58" i="5"/>
  <c r="AA58" i="5"/>
  <c r="U58" i="5"/>
  <c r="AG56" i="5"/>
  <c r="AA56" i="5"/>
  <c r="AG55" i="5"/>
  <c r="AA55" i="5"/>
  <c r="U55" i="5"/>
  <c r="AG54" i="5"/>
  <c r="AA54" i="5"/>
  <c r="U54" i="5"/>
  <c r="AG53" i="5"/>
  <c r="AA53" i="5"/>
  <c r="U53" i="5"/>
  <c r="AG52" i="5"/>
  <c r="AA52" i="5"/>
  <c r="U52" i="5"/>
  <c r="AG51" i="5"/>
  <c r="AA51" i="5"/>
  <c r="U51" i="5"/>
  <c r="AG50" i="5"/>
  <c r="AA50" i="5"/>
  <c r="U50" i="5"/>
  <c r="AG49" i="5"/>
  <c r="AA49" i="5"/>
  <c r="U49" i="5"/>
  <c r="AG48" i="5"/>
  <c r="AA48" i="5"/>
  <c r="U48" i="5"/>
  <c r="AG47" i="5"/>
  <c r="AA47" i="5"/>
  <c r="U47" i="5"/>
  <c r="AA46" i="5"/>
  <c r="AG45" i="5"/>
  <c r="AA45" i="5"/>
  <c r="U45" i="5"/>
  <c r="AG43" i="5"/>
  <c r="AA43" i="5"/>
  <c r="U43" i="5"/>
  <c r="AG42" i="5"/>
  <c r="AA42" i="5"/>
  <c r="U42" i="5"/>
  <c r="AG41" i="5"/>
  <c r="AA41" i="5"/>
  <c r="U41" i="5"/>
  <c r="AG40" i="5"/>
  <c r="AA40" i="5"/>
  <c r="U40" i="5"/>
  <c r="AG39" i="5"/>
  <c r="AA39" i="5"/>
  <c r="U39" i="5"/>
  <c r="AG38" i="5"/>
  <c r="AA38" i="5"/>
  <c r="U38" i="5"/>
  <c r="AG37" i="5"/>
  <c r="AA37" i="5"/>
  <c r="U37" i="5"/>
  <c r="AG36" i="5"/>
  <c r="U36" i="5"/>
  <c r="AG35" i="5"/>
  <c r="Z35" i="5"/>
  <c r="AA35" i="5" s="1"/>
  <c r="AA36" i="5"/>
  <c r="U35" i="5"/>
  <c r="AA34" i="5"/>
  <c r="AG34" i="5"/>
  <c r="U34" i="5"/>
  <c r="AG33" i="5"/>
  <c r="AA33" i="5"/>
  <c r="U33" i="5"/>
  <c r="AG32" i="5"/>
  <c r="AA32" i="5"/>
  <c r="U32" i="5"/>
  <c r="AG30" i="5"/>
  <c r="AA30" i="5"/>
  <c r="U30" i="5"/>
  <c r="AG29" i="5"/>
  <c r="AA29" i="5"/>
  <c r="U29" i="5"/>
  <c r="AG28" i="5"/>
  <c r="AA28" i="5"/>
  <c r="U28" i="5"/>
  <c r="AG27" i="5"/>
  <c r="AA27" i="5"/>
  <c r="U27" i="5"/>
  <c r="AG26" i="5"/>
  <c r="AA26" i="5"/>
  <c r="U26" i="5"/>
  <c r="AG25" i="5"/>
  <c r="AA25" i="5"/>
  <c r="U25" i="5"/>
  <c r="AG24" i="5"/>
  <c r="AA24" i="5"/>
  <c r="U24" i="5"/>
  <c r="AG23" i="5"/>
  <c r="AA23" i="5"/>
  <c r="U23" i="5"/>
  <c r="AG22" i="5"/>
  <c r="AA22" i="5"/>
  <c r="U22" i="5"/>
  <c r="AG21" i="5"/>
  <c r="AA21" i="5"/>
  <c r="U21" i="5"/>
  <c r="AG20" i="5"/>
  <c r="AA20" i="5"/>
  <c r="U20" i="5"/>
  <c r="AG19" i="5"/>
  <c r="U19" i="5"/>
</calcChain>
</file>

<file path=xl/sharedStrings.xml><?xml version="1.0" encoding="utf-8"?>
<sst xmlns="http://schemas.openxmlformats.org/spreadsheetml/2006/main" count="1225" uniqueCount="243">
  <si>
    <t>As at end of period</t>
    <phoneticPr fontId="6" type="noConversion"/>
  </si>
  <si>
    <t>During the period</t>
  </si>
  <si>
    <t>over the past 12 months</t>
    <phoneticPr fontId="6" type="noConversion"/>
  </si>
  <si>
    <r>
      <rPr>
        <sz val="10"/>
        <rFont val="新細明體"/>
        <family val="1"/>
        <charset val="136"/>
      </rPr>
      <t>期末數字</t>
    </r>
  </si>
  <si>
    <r>
      <rPr>
        <sz val="10"/>
        <rFont val="新細明體"/>
        <family val="1"/>
        <charset val="136"/>
      </rPr>
      <t>期內數字</t>
    </r>
  </si>
  <si>
    <r>
      <rPr>
        <sz val="10"/>
        <rFont val="新細明體"/>
        <family val="1"/>
        <charset val="136"/>
      </rPr>
      <t>過去</t>
    </r>
    <r>
      <rPr>
        <sz val="10"/>
        <rFont val="Times New Roman"/>
        <family val="1"/>
      </rPr>
      <t>12</t>
    </r>
    <r>
      <rPr>
        <sz val="10"/>
        <rFont val="新細明體"/>
        <family val="1"/>
        <charset val="136"/>
      </rPr>
      <t>個月</t>
    </r>
    <phoneticPr fontId="6" type="noConversion"/>
  </si>
  <si>
    <r>
      <t xml:space="preserve"> loan ratio</t>
    </r>
    <r>
      <rPr>
        <vertAlign val="superscript"/>
        <sz val="10"/>
        <rFont val="Times New Roman"/>
        <family val="1"/>
      </rPr>
      <t>5</t>
    </r>
    <phoneticPr fontId="6" type="noConversion"/>
  </si>
  <si>
    <t>co-financing schemes</t>
    <phoneticPr fontId="6" type="noConversion"/>
  </si>
  <si>
    <t>but not yet drawn</t>
    <phoneticPr fontId="6" type="noConversion"/>
  </si>
  <si>
    <t>Interbank Offered Rate (HIBOR)</t>
    <phoneticPr fontId="6" type="noConversion"/>
  </si>
  <si>
    <t>Lending Rate (BLR)</t>
  </si>
  <si>
    <t>written off</t>
    <phoneticPr fontId="6" type="noConversion"/>
  </si>
  <si>
    <t>Government-funded schemes:</t>
    <phoneticPr fontId="6" type="noConversion"/>
  </si>
  <si>
    <t>Schemes offered by the private sector:</t>
    <phoneticPr fontId="6" type="noConversion"/>
  </si>
  <si>
    <t>More than 3 months</t>
    <phoneticPr fontId="6" type="noConversion"/>
  </si>
  <si>
    <t>More than 6 months</t>
    <phoneticPr fontId="6" type="noConversion"/>
  </si>
  <si>
    <t>Value</t>
  </si>
  <si>
    <t>Number</t>
  </si>
  <si>
    <t>Value</t>
    <phoneticPr fontId="6" type="noConversion"/>
  </si>
  <si>
    <t xml:space="preserve"> As % of the average outstanding loans</t>
    <phoneticPr fontId="6" type="noConversion"/>
  </si>
  <si>
    <t>政府資助計劃:</t>
    <phoneticPr fontId="6" type="noConversion"/>
  </si>
  <si>
    <t>私營機構提供的計劃:</t>
    <phoneticPr fontId="6" type="noConversion"/>
  </si>
  <si>
    <r>
      <rPr>
        <sz val="10"/>
        <rFont val="新細明體"/>
        <family val="1"/>
        <charset val="136"/>
      </rPr>
      <t>超過</t>
    </r>
    <r>
      <rPr>
        <sz val="10"/>
        <rFont val="Times New Roman"/>
        <family val="1"/>
      </rPr>
      <t>3</t>
    </r>
    <r>
      <rPr>
        <sz val="10"/>
        <rFont val="新細明體"/>
        <family val="1"/>
        <charset val="136"/>
      </rPr>
      <t>個月</t>
    </r>
    <phoneticPr fontId="6" type="noConversion"/>
  </si>
  <si>
    <r>
      <rPr>
        <sz val="10"/>
        <rFont val="新細明體"/>
        <family val="1"/>
        <charset val="136"/>
      </rPr>
      <t>貸款額</t>
    </r>
  </si>
  <si>
    <r>
      <rPr>
        <sz val="10"/>
        <rFont val="新細明體"/>
        <family val="1"/>
        <charset val="136"/>
      </rPr>
      <t>宗數</t>
    </r>
  </si>
  <si>
    <r>
      <rPr>
        <sz val="10"/>
        <rFont val="新細明體"/>
        <family val="1"/>
        <charset val="136"/>
      </rPr>
      <t>撇帳額</t>
    </r>
    <phoneticPr fontId="6" type="noConversion"/>
  </si>
  <si>
    <r>
      <rPr>
        <sz val="10"/>
        <rFont val="新細明體"/>
        <family val="1"/>
        <charset val="136"/>
      </rPr>
      <t>佔平均未償還貸款的百分比</t>
    </r>
    <phoneticPr fontId="6" type="noConversion"/>
  </si>
  <si>
    <t>Primary market</t>
  </si>
  <si>
    <t>Secondary market</t>
  </si>
  <si>
    <t>Refinancing</t>
  </si>
  <si>
    <t>(M-o-M</t>
    <phoneticPr fontId="6" type="noConversion"/>
  </si>
  <si>
    <t>(Y-o-Y</t>
    <phoneticPr fontId="6" type="noConversion"/>
  </si>
  <si>
    <r>
      <rPr>
        <sz val="10"/>
        <rFont val="新細明體"/>
        <family val="1"/>
        <charset val="136"/>
      </rPr>
      <t>一手市場</t>
    </r>
  </si>
  <si>
    <r>
      <rPr>
        <sz val="10"/>
        <rFont val="新細明體"/>
        <family val="1"/>
        <charset val="136"/>
      </rPr>
      <t>二手市場</t>
    </r>
  </si>
  <si>
    <r>
      <rPr>
        <sz val="10"/>
        <rFont val="新細明體"/>
        <family val="1"/>
        <charset val="136"/>
      </rPr>
      <t>轉按</t>
    </r>
  </si>
  <si>
    <t>(HK$ Mn)</t>
  </si>
  <si>
    <t>% change)</t>
    <phoneticPr fontId="6" type="noConversion"/>
  </si>
  <si>
    <t>(No.)</t>
  </si>
  <si>
    <t>(%)</t>
    <phoneticPr fontId="6" type="noConversion"/>
  </si>
  <si>
    <t>(%)</t>
  </si>
  <si>
    <t>(No.)</t>
    <phoneticPr fontId="6" type="noConversion"/>
  </si>
  <si>
    <t>(months)</t>
  </si>
  <si>
    <r>
      <t>(</t>
    </r>
    <r>
      <rPr>
        <sz val="10"/>
        <rFont val="新細明體"/>
        <family val="1"/>
        <charset val="136"/>
      </rPr>
      <t>百萬港元</t>
    </r>
    <r>
      <rPr>
        <sz val="10"/>
        <rFont val="Times New Roman"/>
        <family val="1"/>
      </rPr>
      <t>)</t>
    </r>
  </si>
  <si>
    <r>
      <t>(</t>
    </r>
    <r>
      <rPr>
        <sz val="10"/>
        <rFont val="新細明體"/>
        <family val="1"/>
        <charset val="136"/>
      </rPr>
      <t>按月變動</t>
    </r>
    <r>
      <rPr>
        <sz val="10"/>
        <rFont val="Times New Roman"/>
        <family val="1"/>
      </rPr>
      <t>)</t>
    </r>
  </si>
  <si>
    <r>
      <t>(</t>
    </r>
    <r>
      <rPr>
        <sz val="10"/>
        <rFont val="新細明體"/>
        <family val="1"/>
        <charset val="136"/>
      </rPr>
      <t>按年變動</t>
    </r>
    <r>
      <rPr>
        <sz val="10"/>
        <rFont val="Times New Roman"/>
        <family val="1"/>
      </rPr>
      <t>)</t>
    </r>
    <phoneticPr fontId="6" type="noConversion"/>
  </si>
  <si>
    <r>
      <t>(</t>
    </r>
    <r>
      <rPr>
        <sz val="10"/>
        <rFont val="新細明體"/>
        <family val="1"/>
        <charset val="136"/>
      </rPr>
      <t>數目</t>
    </r>
    <r>
      <rPr>
        <sz val="10"/>
        <rFont val="Times New Roman"/>
        <family val="1"/>
      </rPr>
      <t>)</t>
    </r>
  </si>
  <si>
    <r>
      <t>(</t>
    </r>
    <r>
      <rPr>
        <sz val="10"/>
        <rFont val="新細明體"/>
        <family val="1"/>
        <charset val="136"/>
      </rPr>
      <t>百分比率</t>
    </r>
    <r>
      <rPr>
        <sz val="10"/>
        <rFont val="Times New Roman"/>
        <family val="1"/>
      </rPr>
      <t>)</t>
    </r>
  </si>
  <si>
    <r>
      <t>(</t>
    </r>
    <r>
      <rPr>
        <sz val="10"/>
        <rFont val="細明體"/>
        <family val="3"/>
        <charset val="136"/>
      </rPr>
      <t>月</t>
    </r>
    <r>
      <rPr>
        <sz val="10"/>
        <rFont val="Times New Roman"/>
        <family val="1"/>
      </rPr>
      <t>)</t>
    </r>
  </si>
  <si>
    <t>1.</t>
  </si>
  <si>
    <t>Residential mortgage loans (RMLs) of the authorized institutions covered in this survey represent about 99% of the banking sector.</t>
    <phoneticPr fontId="6" type="noConversion"/>
  </si>
  <si>
    <t>2.</t>
  </si>
  <si>
    <t>RMLs in this survey are loans (including refinancing loans) to private individuals for the purchase of residential properties, including uncompleted units, but other than those properties under the Home Ownership Scheme, the Private Sector Participation Scheme and the Tenants Purchase Scheme.</t>
    <phoneticPr fontId="6" type="noConversion"/>
  </si>
  <si>
    <t>3.</t>
    <phoneticPr fontId="6" type="noConversion"/>
  </si>
  <si>
    <t>4.</t>
    <phoneticPr fontId="6" type="noConversion"/>
  </si>
  <si>
    <t>Delinquency ratio is measured by a ratio of total amount of overdue loans to total outstanding loans.</t>
    <phoneticPr fontId="6" type="noConversion"/>
  </si>
  <si>
    <t>5.</t>
    <phoneticPr fontId="6" type="noConversion"/>
  </si>
  <si>
    <t>Rescheduled loan ratio is measured by a ratio of total amount of rescheduled loans to total outstanding loans.</t>
    <phoneticPr fontId="6" type="noConversion"/>
  </si>
  <si>
    <t>6.</t>
    <phoneticPr fontId="6" type="noConversion"/>
  </si>
  <si>
    <t>Co-financing schemes refer to those schemes that involve the provision of topup finance by property developer(s) or other co-financier(s) in addition to mortgage loans advanced by authorized institutions. For loans associated with co-financing schemes, only the portion of loans advanced by reporting institutions is included in this survey.</t>
    <phoneticPr fontId="6" type="noConversion"/>
  </si>
  <si>
    <t>7.</t>
  </si>
  <si>
    <t>8.</t>
  </si>
  <si>
    <t>June</t>
    <phoneticPr fontId="5" type="noConversion"/>
  </si>
  <si>
    <t>Value</t>
    <phoneticPr fontId="6" type="noConversion"/>
  </si>
  <si>
    <t>貸款額</t>
    <phoneticPr fontId="6" type="noConversion"/>
  </si>
  <si>
    <r>
      <t>Loans associated with co-financing schemes</t>
    </r>
    <r>
      <rPr>
        <vertAlign val="superscript"/>
        <sz val="10"/>
        <rFont val="Times New Roman"/>
        <family val="1"/>
      </rPr>
      <t>6</t>
    </r>
    <phoneticPr fontId="6" type="noConversion"/>
  </si>
  <si>
    <r>
      <rPr>
        <sz val="10"/>
        <rFont val="新細明體"/>
        <family val="1"/>
        <charset val="136"/>
      </rPr>
      <t>涉及第二按揭計劃的貸款</t>
    </r>
    <r>
      <rPr>
        <vertAlign val="superscript"/>
        <sz val="10"/>
        <rFont val="Times New Roman"/>
        <family val="1"/>
      </rPr>
      <t>6</t>
    </r>
    <phoneticPr fontId="6" type="noConversion"/>
  </si>
  <si>
    <r>
      <t>Delinquency ratio</t>
    </r>
    <r>
      <rPr>
        <vertAlign val="superscript"/>
        <sz val="10"/>
        <rFont val="Times New Roman"/>
        <family val="1"/>
      </rPr>
      <t>4</t>
    </r>
    <phoneticPr fontId="6" type="noConversion"/>
  </si>
  <si>
    <r>
      <rPr>
        <sz val="10"/>
        <rFont val="新細明體"/>
        <family val="1"/>
        <charset val="136"/>
      </rPr>
      <t>拖欠比率</t>
    </r>
    <r>
      <rPr>
        <vertAlign val="superscript"/>
        <sz val="10"/>
        <rFont val="Times New Roman"/>
        <family val="1"/>
      </rPr>
      <t>4</t>
    </r>
    <phoneticPr fontId="6" type="noConversion"/>
  </si>
  <si>
    <t>Rescheduled</t>
    <phoneticPr fontId="6" type="noConversion"/>
  </si>
  <si>
    <r>
      <rPr>
        <sz val="10"/>
        <rFont val="新細明體"/>
        <family val="1"/>
        <charset val="136"/>
      </rPr>
      <t>經重組貸款比率</t>
    </r>
    <r>
      <rPr>
        <vertAlign val="superscript"/>
        <sz val="10"/>
        <rFont val="Times New Roman"/>
        <family val="1"/>
      </rPr>
      <t>5</t>
    </r>
    <phoneticPr fontId="6" type="noConversion"/>
  </si>
  <si>
    <t>Outstanding loans</t>
    <phoneticPr fontId="6" type="noConversion"/>
  </si>
  <si>
    <t>未償還按揭貸款</t>
    <phoneticPr fontId="6" type="noConversion"/>
  </si>
  <si>
    <t>New applications received</t>
    <phoneticPr fontId="6" type="noConversion"/>
  </si>
  <si>
    <t>貸款申請</t>
    <phoneticPr fontId="6" type="noConversion"/>
  </si>
  <si>
    <t xml:space="preserve"> Number</t>
    <phoneticPr fontId="6" type="noConversion"/>
  </si>
  <si>
    <t>宗數</t>
    <phoneticPr fontId="6" type="noConversion"/>
  </si>
  <si>
    <t>新取用按揭貸款</t>
    <phoneticPr fontId="6" type="noConversion"/>
  </si>
  <si>
    <t>New loans drawn down</t>
    <phoneticPr fontId="6" type="noConversion"/>
  </si>
  <si>
    <t>貸款額</t>
    <phoneticPr fontId="6" type="noConversion"/>
  </si>
  <si>
    <t>Number</t>
    <phoneticPr fontId="6" type="noConversion"/>
  </si>
  <si>
    <r>
      <rPr>
        <sz val="10"/>
        <rFont val="新細明體"/>
        <family val="1"/>
        <charset val="136"/>
      </rPr>
      <t>新批出按揭貸款</t>
    </r>
    <r>
      <rPr>
        <vertAlign val="superscript"/>
        <sz val="10"/>
        <rFont val="Times New Roman"/>
        <family val="1"/>
      </rPr>
      <t>3</t>
    </r>
    <phoneticPr fontId="6" type="noConversion"/>
  </si>
  <si>
    <t xml:space="preserve">Loans associated with </t>
    <phoneticPr fontId="6" type="noConversion"/>
  </si>
  <si>
    <t>涉及第二按揭計劃的貸款</t>
    <phoneticPr fontId="6" type="noConversion"/>
  </si>
  <si>
    <t>Average size</t>
    <phoneticPr fontId="6" type="noConversion"/>
  </si>
  <si>
    <t>平均貸款額</t>
    <phoneticPr fontId="6" type="noConversion"/>
  </si>
  <si>
    <r>
      <rPr>
        <sz val="10"/>
        <rFont val="新細明體"/>
        <family val="1"/>
        <charset val="136"/>
      </rPr>
      <t>按揭比率</t>
    </r>
    <r>
      <rPr>
        <vertAlign val="superscript"/>
        <sz val="10"/>
        <rFont val="Times New Roman"/>
        <family val="1"/>
      </rPr>
      <t>7</t>
    </r>
    <phoneticPr fontId="6" type="noConversion"/>
  </si>
  <si>
    <r>
      <t>Loan-to-value ratio</t>
    </r>
    <r>
      <rPr>
        <vertAlign val="superscript"/>
        <sz val="10"/>
        <rFont val="Times New Roman"/>
        <family val="1"/>
      </rPr>
      <t>7</t>
    </r>
    <phoneticPr fontId="6" type="noConversion"/>
  </si>
  <si>
    <r>
      <rPr>
        <sz val="10"/>
        <rFont val="新細明體"/>
        <family val="1"/>
        <charset val="136"/>
      </rPr>
      <t>貸款合約期</t>
    </r>
    <r>
      <rPr>
        <vertAlign val="superscript"/>
        <sz val="10"/>
        <rFont val="Times New Roman"/>
        <family val="1"/>
      </rPr>
      <t>7</t>
    </r>
    <phoneticPr fontId="6" type="noConversion"/>
  </si>
  <si>
    <r>
      <t>Contractual life</t>
    </r>
    <r>
      <rPr>
        <vertAlign val="superscript"/>
        <sz val="10"/>
        <rFont val="Times New Roman"/>
        <family val="1"/>
      </rPr>
      <t>7</t>
    </r>
    <phoneticPr fontId="6" type="noConversion"/>
  </si>
  <si>
    <t>物業交易類別</t>
    <phoneticPr fontId="6" type="noConversion"/>
  </si>
  <si>
    <t>Type of property transaction</t>
    <phoneticPr fontId="6" type="noConversion"/>
  </si>
  <si>
    <r>
      <rPr>
        <sz val="10"/>
        <rFont val="新細明體"/>
        <family val="1"/>
        <charset val="136"/>
      </rPr>
      <t>已批出但未被取用的新貸款</t>
    </r>
    <phoneticPr fontId="6" type="noConversion"/>
  </si>
  <si>
    <t>New loans approved</t>
    <phoneticPr fontId="6" type="noConversion"/>
  </si>
  <si>
    <r>
      <rPr>
        <sz val="10"/>
        <rFont val="新細明體"/>
        <family val="1"/>
        <charset val="136"/>
      </rPr>
      <t>超過</t>
    </r>
    <r>
      <rPr>
        <sz val="10"/>
        <rFont val="Times New Roman"/>
        <family val="1"/>
      </rPr>
      <t>6</t>
    </r>
    <r>
      <rPr>
        <sz val="10"/>
        <rFont val="新細明體"/>
        <family val="1"/>
        <charset val="136"/>
      </rPr>
      <t>個月</t>
    </r>
    <phoneticPr fontId="6" type="noConversion"/>
  </si>
  <si>
    <t>Interest rates on new loans approved</t>
    <phoneticPr fontId="6" type="noConversion"/>
  </si>
  <si>
    <t>新批按揭貸款的利率</t>
    <phoneticPr fontId="6" type="noConversion"/>
  </si>
  <si>
    <t>With reference to Hong Kong</t>
    <phoneticPr fontId="6" type="noConversion"/>
  </si>
  <si>
    <t>以香港銀行同業拆息作為定價參考</t>
    <phoneticPr fontId="6" type="noConversion"/>
  </si>
  <si>
    <t>With reference to Best</t>
    <phoneticPr fontId="6" type="noConversion"/>
  </si>
  <si>
    <t>以最優惠貸款利率作為定價參考</t>
    <phoneticPr fontId="6" type="noConversion"/>
  </si>
  <si>
    <t>固定利率</t>
    <phoneticPr fontId="6" type="noConversion"/>
  </si>
  <si>
    <t>Fixed rate</t>
    <phoneticPr fontId="6" type="noConversion"/>
  </si>
  <si>
    <t>Others</t>
    <phoneticPr fontId="6" type="noConversion"/>
  </si>
  <si>
    <t>其他</t>
    <phoneticPr fontId="6" type="noConversion"/>
  </si>
  <si>
    <r>
      <t>Loans written off</t>
    </r>
    <r>
      <rPr>
        <vertAlign val="superscript"/>
        <sz val="10"/>
        <rFont val="Times New Roman"/>
        <family val="1"/>
      </rPr>
      <t>8</t>
    </r>
    <phoneticPr fontId="6" type="noConversion"/>
  </si>
  <si>
    <r>
      <rPr>
        <sz val="10"/>
        <rFont val="新細明體"/>
        <family val="1"/>
        <charset val="136"/>
      </rPr>
      <t>按揭貸款撇帳</t>
    </r>
    <r>
      <rPr>
        <vertAlign val="superscript"/>
        <sz val="10"/>
        <rFont val="Times New Roman"/>
        <family val="1"/>
      </rPr>
      <t>8</t>
    </r>
    <phoneticPr fontId="6" type="noConversion"/>
  </si>
  <si>
    <t>Value of loans</t>
    <phoneticPr fontId="6" type="noConversion"/>
  </si>
  <si>
    <t>撇帳額</t>
    <phoneticPr fontId="6" type="noConversion"/>
  </si>
  <si>
    <r>
      <rPr>
        <sz val="10"/>
        <rFont val="新細明體"/>
        <family val="1"/>
        <charset val="136"/>
      </rPr>
      <t>過去</t>
    </r>
    <r>
      <rPr>
        <sz val="10"/>
        <rFont val="Times New Roman"/>
        <family val="1"/>
      </rPr>
      <t>12</t>
    </r>
    <r>
      <rPr>
        <sz val="10"/>
        <rFont val="新細明體"/>
        <family val="1"/>
        <charset val="136"/>
      </rPr>
      <t>個月的撇帳</t>
    </r>
    <phoneticPr fontId="6" type="noConversion"/>
  </si>
  <si>
    <t>over the past 12 months</t>
    <phoneticPr fontId="6" type="noConversion"/>
  </si>
  <si>
    <t>May</t>
  </si>
  <si>
    <t>April</t>
  </si>
  <si>
    <t>March</t>
  </si>
  <si>
    <t>February</t>
  </si>
  <si>
    <t>January</t>
  </si>
  <si>
    <t>December</t>
  </si>
  <si>
    <t>November</t>
  </si>
  <si>
    <t>October</t>
  </si>
  <si>
    <t>September</t>
  </si>
  <si>
    <t>August</t>
  </si>
  <si>
    <t>July</t>
  </si>
  <si>
    <r>
      <rPr>
        <sz val="10"/>
        <rFont val="細明體"/>
        <family val="3"/>
        <charset val="136"/>
      </rPr>
      <t>十一月</t>
    </r>
    <r>
      <rPr>
        <sz val="10"/>
        <color theme="1"/>
        <rFont val="Arial"/>
        <family val="2"/>
        <charset val="136"/>
      </rPr>
      <t/>
    </r>
    <phoneticPr fontId="5" type="noConversion"/>
  </si>
  <si>
    <r>
      <rPr>
        <sz val="10"/>
        <rFont val="細明體"/>
        <family val="3"/>
        <charset val="136"/>
      </rPr>
      <t>二月</t>
    </r>
    <r>
      <rPr>
        <sz val="10"/>
        <color theme="1"/>
        <rFont val="Arial"/>
        <family val="2"/>
        <charset val="136"/>
      </rPr>
      <t/>
    </r>
    <phoneticPr fontId="5" type="noConversion"/>
  </si>
  <si>
    <r>
      <rPr>
        <sz val="10"/>
        <rFont val="細明體"/>
        <family val="3"/>
        <charset val="136"/>
      </rPr>
      <t>十二月</t>
    </r>
    <r>
      <rPr>
        <sz val="10"/>
        <color theme="1"/>
        <rFont val="Arial"/>
        <family val="2"/>
        <charset val="136"/>
      </rPr>
      <t/>
    </r>
    <phoneticPr fontId="5" type="noConversion"/>
  </si>
  <si>
    <t>由於受訪機構數目有所增加，令有關序列在2000年12月出現中斷情況。</t>
    <phoneticPr fontId="6" type="noConversion"/>
  </si>
  <si>
    <t>3.</t>
    <phoneticPr fontId="6" type="noConversion"/>
  </si>
  <si>
    <t>There is a break in data series at December 2000 due to an increase in the number of surveyed institutions.</t>
  </si>
  <si>
    <t>3.</t>
  </si>
  <si>
    <t>拖欠比率是指逾期超過三個月以上的按揭貸款總額佔未償還按揭貸款總額的比率。</t>
    <phoneticPr fontId="6" type="noConversion"/>
  </si>
  <si>
    <t>Delinquency ratio is measured by a ratio of total amount of loans overdue for more than 3 months to total outstanding loans.</t>
  </si>
  <si>
    <t>在本統計調查中，住宅按揭貸款指借予個人以作購買住宅物業的貸款 （包括加按及轉按），這些物業包括未完成單位，但不包括「居者有其屋計劃」、「私人機構參建居屋計劃」及「租者置其屋計劃」的單位。本統計調查並不包括借予公司客戶的按揭貸款。參與統計調查的認可機構的住宅按揭貸款業務佔有關業務總額百分之九十五以上。</t>
  </si>
  <si>
    <t>Residential mortgage loans in this survey are loans (including refinancing loans) to private individuals for the purchase of residential properties, including uncompleted units, but other than those properties under the Home Ownership Scheme, Private Sector Participation Scheme and Tenants Purchase Scheme.  Mortgage loans to corporate clients are excluded from the survey. The authorized institutions participating in this survey accounted for over 95% of the total residential mortgage lending business.</t>
    <phoneticPr fontId="6" type="noConversion"/>
  </si>
  <si>
    <t>1.</t>
    <phoneticPr fontId="6" type="noConversion"/>
  </si>
  <si>
    <t>五月</t>
  </si>
  <si>
    <t>二月</t>
  </si>
  <si>
    <t>一月</t>
  </si>
  <si>
    <t>Jan</t>
  </si>
  <si>
    <t>十二月</t>
  </si>
  <si>
    <t>Dec</t>
  </si>
  <si>
    <t>十一月</t>
  </si>
  <si>
    <t>Nov</t>
  </si>
  <si>
    <t>十月</t>
  </si>
  <si>
    <t>Oct</t>
  </si>
  <si>
    <t>九月</t>
  </si>
  <si>
    <t>Sep</t>
  </si>
  <si>
    <t>八月</t>
  </si>
  <si>
    <t>Aug</t>
  </si>
  <si>
    <t>七月</t>
  </si>
  <si>
    <t>Jul</t>
  </si>
  <si>
    <t>六月</t>
  </si>
  <si>
    <t>Jun</t>
  </si>
  <si>
    <t>Apr</t>
  </si>
  <si>
    <t>Feb</t>
  </si>
  <si>
    <t>四月</t>
  </si>
  <si>
    <t>Mar</t>
  </si>
  <si>
    <t>十一月</t>
    <phoneticPr fontId="6" type="noConversion"/>
  </si>
  <si>
    <t>四月</t>
    <phoneticPr fontId="6" type="noConversion"/>
  </si>
  <si>
    <t>三月</t>
  </si>
  <si>
    <t>一月</t>
    <phoneticPr fontId="6" type="noConversion"/>
  </si>
  <si>
    <t>Jan</t>
    <phoneticPr fontId="6" type="noConversion"/>
  </si>
  <si>
    <t>十二月</t>
    <phoneticPr fontId="6" type="noConversion"/>
  </si>
  <si>
    <t>Mar</t>
    <phoneticPr fontId="6" type="noConversion"/>
  </si>
  <si>
    <t>二月</t>
    <phoneticPr fontId="6" type="noConversion"/>
  </si>
  <si>
    <t>Feb</t>
    <phoneticPr fontId="6" type="noConversion"/>
  </si>
  <si>
    <t>Dec</t>
    <phoneticPr fontId="6" type="noConversion"/>
  </si>
  <si>
    <t>Oct</t>
    <phoneticPr fontId="6" type="noConversion"/>
  </si>
  <si>
    <t>Sep</t>
    <phoneticPr fontId="6" type="noConversion"/>
  </si>
  <si>
    <t>七月</t>
    <phoneticPr fontId="6" type="noConversion"/>
  </si>
  <si>
    <t>Jul</t>
    <phoneticPr fontId="6" type="noConversion"/>
  </si>
  <si>
    <t>Jun</t>
    <phoneticPr fontId="6" type="noConversion"/>
  </si>
  <si>
    <t>May</t>
    <phoneticPr fontId="6" type="noConversion"/>
  </si>
  <si>
    <t>Apr</t>
    <phoneticPr fontId="6" type="noConversion"/>
  </si>
  <si>
    <t>Nov</t>
    <phoneticPr fontId="6" type="noConversion"/>
  </si>
  <si>
    <t>五月</t>
    <phoneticPr fontId="6" type="noConversion"/>
  </si>
  <si>
    <t>Aug</t>
    <phoneticPr fontId="6" type="noConversion"/>
  </si>
  <si>
    <t>九月</t>
    <phoneticPr fontId="6" type="noConversion"/>
  </si>
  <si>
    <t xml:space="preserve"> </t>
    <phoneticPr fontId="6" type="noConversion"/>
  </si>
  <si>
    <t>N.A.</t>
  </si>
  <si>
    <r>
      <t>擴大後的調查組別</t>
    </r>
    <r>
      <rPr>
        <vertAlign val="superscript"/>
        <sz val="10"/>
        <rFont val="新細明體"/>
        <family val="1"/>
        <charset val="136"/>
      </rPr>
      <t>3</t>
    </r>
  </si>
  <si>
    <r>
      <t>Statistics for an expanded survey group</t>
    </r>
    <r>
      <rPr>
        <vertAlign val="superscript"/>
        <sz val="10"/>
        <rFont val="Times New Roman"/>
        <family val="1"/>
      </rPr>
      <t>3</t>
    </r>
  </si>
  <si>
    <t>原有調查組別</t>
  </si>
  <si>
    <t>Statistics for the old survey group</t>
  </si>
  <si>
    <t>(百萬港元)</t>
  </si>
  <si>
    <t>(數目)</t>
  </si>
  <si>
    <t>(百分比率)</t>
  </si>
  <si>
    <t xml:space="preserve">     (未取用)</t>
  </si>
  <si>
    <t>(已取用及未取用)</t>
  </si>
  <si>
    <t>貸款比率</t>
  </si>
  <si>
    <t xml:space="preserve">     新批核貸款</t>
  </si>
  <si>
    <t xml:space="preserve">新批核貸款       </t>
  </si>
  <si>
    <t>新取用貸款總額</t>
    <phoneticPr fontId="6" type="noConversion"/>
  </si>
  <si>
    <t>經重組</t>
  </si>
  <si>
    <r>
      <t>拖欠比率</t>
    </r>
    <r>
      <rPr>
        <vertAlign val="superscript"/>
        <sz val="10"/>
        <rFont val="新細明體"/>
        <family val="1"/>
        <charset val="136"/>
      </rPr>
      <t>2</t>
    </r>
  </si>
  <si>
    <t>未償還貸款總額</t>
  </si>
  <si>
    <t xml:space="preserve"> (but not yet drawn)</t>
  </si>
  <si>
    <t>(drawn and undrawn)</t>
  </si>
  <si>
    <t>New loans drawn down</t>
    <phoneticPr fontId="6" type="noConversion"/>
  </si>
  <si>
    <t xml:space="preserve"> loan ratio </t>
  </si>
  <si>
    <r>
      <t xml:space="preserve"> ratio</t>
    </r>
    <r>
      <rPr>
        <vertAlign val="superscript"/>
        <sz val="10"/>
        <rFont val="Times New Roman"/>
        <family val="1"/>
      </rPr>
      <t>2</t>
    </r>
  </si>
  <si>
    <t xml:space="preserve">Loans outstanding </t>
  </si>
  <si>
    <t xml:space="preserve">     New loans approved</t>
  </si>
  <si>
    <t>New loans approved</t>
  </si>
  <si>
    <t>Rescheduled</t>
  </si>
  <si>
    <t>Delinquency</t>
  </si>
  <si>
    <t>期內數字</t>
  </si>
  <si>
    <t>期末數字</t>
  </si>
  <si>
    <t>As at end of period</t>
  </si>
  <si>
    <r>
      <t xml:space="preserve">                  住宅按揭統計調查結果</t>
    </r>
    <r>
      <rPr>
        <b/>
        <vertAlign val="superscript"/>
        <sz val="14"/>
        <rFont val="新細明體"/>
        <family val="1"/>
        <charset val="136"/>
      </rPr>
      <t>1</t>
    </r>
  </si>
  <si>
    <t>*</t>
  </si>
  <si>
    <r>
      <rPr>
        <sz val="10"/>
        <rFont val="細明體"/>
        <family val="3"/>
        <charset val="136"/>
      </rPr>
      <t>一月</t>
    </r>
    <r>
      <rPr>
        <sz val="10"/>
        <color theme="1"/>
        <rFont val="Arial"/>
        <family val="2"/>
        <charset val="136"/>
      </rPr>
      <t/>
    </r>
    <phoneticPr fontId="5" type="noConversion"/>
  </si>
  <si>
    <r>
      <rPr>
        <sz val="10"/>
        <rFont val="細明體"/>
        <family val="3"/>
        <charset val="136"/>
      </rPr>
      <t>三月</t>
    </r>
    <r>
      <rPr>
        <sz val="10"/>
        <color theme="1"/>
        <rFont val="Arial"/>
        <family val="2"/>
        <charset val="136"/>
      </rPr>
      <t/>
    </r>
    <phoneticPr fontId="5" type="noConversion"/>
  </si>
  <si>
    <r>
      <rPr>
        <sz val="10"/>
        <rFont val="細明體"/>
        <family val="3"/>
        <charset val="136"/>
      </rPr>
      <t>四月</t>
    </r>
    <r>
      <rPr>
        <sz val="10"/>
        <color theme="1"/>
        <rFont val="Arial"/>
        <family val="2"/>
        <charset val="136"/>
      </rPr>
      <t/>
    </r>
    <phoneticPr fontId="5" type="noConversion"/>
  </si>
  <si>
    <r>
      <rPr>
        <sz val="10"/>
        <rFont val="細明體"/>
        <family val="3"/>
        <charset val="136"/>
      </rPr>
      <t>五月</t>
    </r>
    <r>
      <rPr>
        <sz val="10"/>
        <color theme="1"/>
        <rFont val="Arial"/>
        <family val="2"/>
        <charset val="136"/>
      </rPr>
      <t/>
    </r>
    <phoneticPr fontId="5" type="noConversion"/>
  </si>
  <si>
    <r>
      <rPr>
        <sz val="10"/>
        <rFont val="細明體"/>
        <family val="3"/>
        <charset val="136"/>
      </rPr>
      <t>六月</t>
    </r>
    <phoneticPr fontId="5" type="noConversion"/>
  </si>
  <si>
    <r>
      <rPr>
        <sz val="10"/>
        <rFont val="細明體"/>
        <family val="3"/>
        <charset val="136"/>
      </rPr>
      <t>七月</t>
    </r>
    <r>
      <rPr>
        <sz val="10"/>
        <color theme="1"/>
        <rFont val="Arial"/>
        <family val="2"/>
        <charset val="136"/>
      </rPr>
      <t/>
    </r>
    <phoneticPr fontId="5" type="noConversion"/>
  </si>
  <si>
    <r>
      <rPr>
        <sz val="10"/>
        <rFont val="細明體"/>
        <family val="3"/>
        <charset val="136"/>
      </rPr>
      <t>八月</t>
    </r>
    <r>
      <rPr>
        <sz val="10"/>
        <color theme="1"/>
        <rFont val="Arial"/>
        <family val="2"/>
        <charset val="136"/>
      </rPr>
      <t/>
    </r>
    <phoneticPr fontId="5" type="noConversion"/>
  </si>
  <si>
    <r>
      <rPr>
        <sz val="10"/>
        <rFont val="細明體"/>
        <family val="3"/>
        <charset val="136"/>
      </rPr>
      <t>九月</t>
    </r>
    <r>
      <rPr>
        <sz val="10"/>
        <color theme="1"/>
        <rFont val="Arial"/>
        <family val="2"/>
        <charset val="136"/>
      </rPr>
      <t/>
    </r>
    <phoneticPr fontId="5" type="noConversion"/>
  </si>
  <si>
    <r>
      <rPr>
        <sz val="10"/>
        <rFont val="細明體"/>
        <family val="3"/>
        <charset val="136"/>
      </rPr>
      <t>十月</t>
    </r>
    <r>
      <rPr>
        <sz val="10"/>
        <color theme="1"/>
        <rFont val="Arial"/>
        <family val="2"/>
        <charset val="136"/>
      </rPr>
      <t/>
    </r>
    <phoneticPr fontId="5" type="noConversion"/>
  </si>
  <si>
    <t>Loans written off over the past 12 months as a percentage of the average outstanding loans is calculated as: total value of loans written off during the past 12-month period as a percentage of the average outstanding loan value over the 12-month period [i.e. (opening + closing) ÷ 2].</t>
    <phoneticPr fontId="6" type="noConversion"/>
  </si>
  <si>
    <t>是項調查所涵蓋的認可機構住宅按揭貸款（residential mortgage loans）約佔銀行體系整體住宅按揭貸款的99%。</t>
  </si>
  <si>
    <t>在本統計調查中，住宅按揭貸款指借予個人以供購買住宅物業的貸款（包括加按及轉按），這些物業包括未完成單位，但不包括「居者有其屋計劃」、「私人機構參建計劃」及「租者置其屋計劃」的單位。</t>
  </si>
  <si>
    <t>拖欠比率（delinquency ratio）指逾期按揭貸款總額佔未償還按揭貸款總額的比率。</t>
  </si>
  <si>
    <t>經重組貸款比率（rescheduled loan ratio）指經重組貸款總額佔未償還貸款總額的比率。</t>
  </si>
  <si>
    <t>第二按揭計劃（co-financing schemes）指除了認可機構批出的按揭貸款外，由地產發展商或其他借貸機構提供第二按揭的貸款。本統計調查只包括由申報機構批出的貸款。</t>
  </si>
  <si>
    <t>該月份新批出貸款的平均按揭比率（average loan-to-value ratio）及貸款平均合約期（average contractual life）均為加權平均數字，計算時以個別申報機構在該月份新批出的貸款額作為加權因素。</t>
  </si>
  <si>
    <t xml:space="preserve">過去12個月撇帳的貸款（loans written off）佔平均未償還貸款的百分比的計算方法如下：在過去12個月期間內撇帳的貸款總額佔該段12個月的期間內平均未償還貸款總額 [即（期初未償還貸款結餘+期末未償還貸款結餘）÷ 2] 的百分比。
</t>
  </si>
  <si>
    <r>
      <rPr>
        <sz val="10"/>
        <rFont val="細明體"/>
        <family val="3"/>
        <charset val="136"/>
      </rPr>
      <t>新批出貸款（</t>
    </r>
    <r>
      <rPr>
        <sz val="10"/>
        <rFont val="Times New Roman"/>
        <family val="1"/>
      </rPr>
      <t>new loans approved</t>
    </r>
    <r>
      <rPr>
        <sz val="10"/>
        <rFont val="細明體"/>
        <family val="3"/>
        <charset val="136"/>
      </rPr>
      <t>）指該月份內批出的按揭貸款。這些貸款可以在同一個月內取用，亦可在較後的月份才取用。已批出但未被取用的貸款列入「該月份已批出但未被取用的新貸款」（</t>
    </r>
    <r>
      <rPr>
        <sz val="10"/>
        <rFont val="Times New Roman"/>
        <family val="1"/>
      </rPr>
      <t>new loans approved during the month but not yet drawn</t>
    </r>
    <r>
      <rPr>
        <sz val="10"/>
        <rFont val="細明體"/>
        <family val="3"/>
        <charset val="136"/>
      </rPr>
      <t>）項目內。這項數字將會影響以後的月份的新借出貸款總額。</t>
    </r>
    <phoneticPr fontId="5" type="noConversion"/>
  </si>
  <si>
    <t>1.</t>
    <phoneticPr fontId="5" type="noConversion"/>
  </si>
  <si>
    <t>Average loan-to-value ratio and average contractual life for new loans approved during the surveyed month are average figures weighted by the amount of new loans approved during the surveyed month by individual reporting institutions.</t>
    <phoneticPr fontId="6" type="noConversion"/>
  </si>
  <si>
    <r>
      <rPr>
        <b/>
        <sz val="14"/>
        <rFont val="新細明體"/>
        <family val="1"/>
        <charset val="136"/>
      </rPr>
      <t>住宅按揭統計調查結果</t>
    </r>
    <r>
      <rPr>
        <b/>
        <vertAlign val="superscript"/>
        <sz val="18"/>
        <rFont val="Times New Roman"/>
        <family val="1"/>
      </rPr>
      <t>1,2</t>
    </r>
    <phoneticPr fontId="6" type="noConversion"/>
  </si>
  <si>
    <r>
      <t xml:space="preserve"> New loans approved</t>
    </r>
    <r>
      <rPr>
        <vertAlign val="superscript"/>
        <sz val="10"/>
        <rFont val="Times New Roman"/>
        <family val="1"/>
      </rPr>
      <t>3</t>
    </r>
    <phoneticPr fontId="6" type="noConversion"/>
  </si>
  <si>
    <t>*</t>
    <phoneticPr fontId="5" type="noConversion"/>
  </si>
  <si>
    <t>9.</t>
  </si>
  <si>
    <t>June</t>
  </si>
  <si>
    <t xml:space="preserve">The data series from January 2017 to July 2020 have been revised due to classification issues of the data submitted by a reporting institution for the residential mortgage survey earlier. </t>
  </si>
  <si>
    <t>由於一家申報機構於早前申報的數據分類出現問題，2017年1月至2020年7月的住宅按揭統計調查結果已經被修訂。</t>
  </si>
  <si>
    <t>New loans approved are mortgage loans approved during the surveyed month. The loans can either be drawn down in the same month or in the following months. Loans that are approved but not yet drawn, which have implications for the amount of gross new loans made in the following months, are shown under the item “New loans approved during the month but not yet drawn”.</t>
  </si>
  <si>
    <r>
      <rPr>
        <sz val="10"/>
        <rFont val="細明體"/>
        <family val="3"/>
        <charset val="136"/>
      </rPr>
      <t>十二月</t>
    </r>
    <r>
      <rPr>
        <sz val="10"/>
        <color theme="1"/>
        <rFont val="Arial"/>
        <family val="2"/>
        <charset val="136"/>
      </rPr>
      <t/>
    </r>
  </si>
  <si>
    <t>The data for loans associated with co-financing schemes of December 2024 and January 2025 have been revised due to classification issues of the data submitted previously by a reporting institution for the residential mortgage survey.</t>
  </si>
  <si>
    <t>10.</t>
  </si>
  <si>
    <t>由於一家申報機構於早前申報的數據分類出現問題，2024年12月及2025年1月涉及第二按揭計劃的貸款的住宅按揭統計調查結果已經被修訂。</t>
  </si>
  <si>
    <r>
      <t>Table 3.7  Residential mortgage survey results</t>
    </r>
    <r>
      <rPr>
        <b/>
        <vertAlign val="superscript"/>
        <sz val="18"/>
        <rFont val="Times New Roman"/>
        <family val="1"/>
      </rPr>
      <t>1,2</t>
    </r>
  </si>
  <si>
    <r>
      <t>Table 3.7  Residential mortgage survey results</t>
    </r>
    <r>
      <rPr>
        <b/>
        <vertAlign val="superscript"/>
        <sz val="14"/>
        <rFont val="Times New Roman"/>
        <family val="1"/>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</si>
</sst>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____"/>
    <numFmt numFmtId="165" formatCode="0.0%"/>
    <numFmt numFmtId="166" formatCode="_-* #,##0_-;\-* #,##0_-;_-* &quot;-&quot;??_-;_-@_-"/>
    <numFmt numFmtId="167" formatCode="0.0"/>
  </numFmts>
  <fonts count="23">
    <font>
      <sz val="11"/>
      <color theme="1"/>
      <name val="Calibri"/>
      <family val="2"/>
      <scheme val="minor"/>
    </font>
    <font>
      <sz val="10"/>
      <color theme="1"/>
      <name val="Arial"/>
      <family val="2"/>
      <charset val="136"/>
    </font>
    <font>
      <sz val="12"/>
      <name val="新細明體"/>
      <family val="1"/>
      <charset val="136"/>
    </font>
    <font>
      <b/>
      <sz val="14"/>
      <name val="Times New Roman"/>
      <family val="1"/>
    </font>
    <font>
      <b/>
      <vertAlign val="superscript"/>
      <sz val="14"/>
      <name val="Times New Roman"/>
      <family val="1"/>
    </font>
    <font>
      <sz val="9"/>
      <name val="Calibri"/>
      <family val="3"/>
      <charset val="136"/>
      <scheme val="minor"/>
    </font>
    <font>
      <sz val="9"/>
      <name val="新細明體"/>
      <family val="1"/>
      <charset val="136"/>
    </font>
    <font>
      <sz val="11"/>
      <color theme="1"/>
      <name val="Times New Roman"/>
      <family val="1"/>
    </font>
    <font>
      <b/>
      <sz val="14"/>
      <name val="新細明體"/>
      <family val="1"/>
      <charset val="136"/>
    </font>
    <font>
      <b/>
      <sz val="10"/>
      <name val="Times New Roman"/>
      <family val="1"/>
    </font>
    <font>
      <sz val="10"/>
      <name val="Times New Roman"/>
      <family val="1"/>
    </font>
    <font>
      <sz val="10"/>
      <name val="新細明體"/>
      <family val="1"/>
      <charset val="136"/>
    </font>
    <font>
      <vertAlign val="superscript"/>
      <sz val="10"/>
      <name val="Times New Roman"/>
      <family val="1"/>
    </font>
    <font>
      <sz val="10"/>
      <name val="細明體"/>
      <family val="3"/>
      <charset val="136"/>
    </font>
    <font>
      <u/>
      <sz val="10"/>
      <name val="Times New Roman"/>
      <family val="1"/>
    </font>
    <font>
      <sz val="9"/>
      <name val="Times New Roman"/>
      <family val="1"/>
    </font>
    <font>
      <sz val="9"/>
      <name val="細明體"/>
      <family val="3"/>
      <charset val="136"/>
    </font>
    <font>
      <vertAlign val="superscript"/>
      <sz val="10"/>
      <name val="新細明體"/>
      <family val="1"/>
      <charset val="136"/>
    </font>
    <font>
      <b/>
      <sz val="10"/>
      <name val="新細明體"/>
      <family val="1"/>
      <charset val="136"/>
    </font>
    <font>
      <b/>
      <vertAlign val="superscript"/>
      <sz val="14"/>
      <name val="新細明體"/>
      <family val="1"/>
      <charset val="136"/>
    </font>
    <font>
      <sz val="11"/>
      <color theme="1"/>
      <name val="Calibri"/>
      <family val="2"/>
      <scheme val="minor"/>
    </font>
    <font>
      <b/>
      <vertAlign val="superscript"/>
      <sz val="18"/>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double">
        <color indexed="64"/>
      </bottom>
      <diagonal/>
    </border>
    <border>
      <left/>
      <right/>
      <top/>
      <bottom style="dotted">
        <color indexed="64"/>
      </bottom>
      <diagonal/>
    </border>
  </borders>
  <cellStyleXfs count="4">
    <xf numFmtId="0" fontId="0" fillId="0" borderId="0"/>
    <xf numFmtId="0" fontId="2" fillId="0" borderId="0"/>
    <xf numFmtId="43" fontId="20" fillId="0" borderId="0" applyFont="0" applyFill="0" applyBorder="0" applyAlignment="0" applyProtection="0">
      <alignment vertical="center"/>
    </xf>
    <xf numFmtId="9" fontId="20" fillId="0" borderId="0" applyFont="0" applyFill="0" applyBorder="0" applyAlignment="0" applyProtection="0">
      <alignment vertical="center"/>
    </xf>
  </cellStyleXfs>
  <cellXfs count="250">
    <xf numFmtId="0" fontId="0" fillId="0" borderId="0" xfId="0"/>
    <xf numFmtId="0" fontId="9" fillId="0" borderId="0" xfId="1" applyFont="1" applyBorder="1" applyAlignment="1">
      <alignment horizontal="center"/>
    </xf>
    <xf numFmtId="0" fontId="10" fillId="0" borderId="1" xfId="1" applyFont="1" applyBorder="1"/>
    <xf numFmtId="0" fontId="10" fillId="0" borderId="1" xfId="1" applyFont="1" applyBorder="1" applyAlignment="1">
      <alignment horizontal="right"/>
    </xf>
    <xf numFmtId="0" fontId="10" fillId="0" borderId="0" xfId="1" applyFont="1"/>
    <xf numFmtId="0" fontId="10" fillId="0" borderId="0" xfId="1" applyFont="1" applyBorder="1"/>
    <xf numFmtId="0" fontId="10" fillId="0" borderId="2" xfId="1" applyFont="1" applyBorder="1" applyAlignment="1">
      <alignment horizontal="center"/>
    </xf>
    <xf numFmtId="0" fontId="10" fillId="0" borderId="0" xfId="1" applyFont="1" applyBorder="1" applyAlignment="1">
      <alignment horizontal="center"/>
    </xf>
    <xf numFmtId="0" fontId="10" fillId="0" borderId="0" xfId="1" applyFont="1" applyFill="1" applyBorder="1" applyAlignment="1">
      <alignment horizontal="right"/>
    </xf>
    <xf numFmtId="0" fontId="10" fillId="0" borderId="2" xfId="1" applyFont="1" applyFill="1" applyBorder="1" applyAlignment="1">
      <alignment horizontal="right" wrapText="1"/>
    </xf>
    <xf numFmtId="0" fontId="10" fillId="0" borderId="0" xfId="1" applyFont="1" applyFill="1" applyBorder="1" applyAlignment="1">
      <alignment horizontal="right" wrapText="1"/>
    </xf>
    <xf numFmtId="0" fontId="10" fillId="0" borderId="0" xfId="1" applyFont="1" applyBorder="1" applyAlignment="1">
      <alignment horizontal="left"/>
    </xf>
    <xf numFmtId="0" fontId="10" fillId="0" borderId="2" xfId="1" applyFont="1" applyFill="1" applyBorder="1" applyAlignment="1">
      <alignment horizontal="right"/>
    </xf>
    <xf numFmtId="0" fontId="9" fillId="0" borderId="0" xfId="1" applyFont="1" applyBorder="1" applyAlignment="1">
      <alignment horizontal="left"/>
    </xf>
    <xf numFmtId="0" fontId="9" fillId="0" borderId="2" xfId="1" applyFont="1" applyFill="1" applyBorder="1" applyAlignment="1">
      <alignment horizontal="right"/>
    </xf>
    <xf numFmtId="0" fontId="9" fillId="0" borderId="0" xfId="1" applyFont="1" applyFill="1" applyBorder="1" applyAlignment="1">
      <alignment horizontal="center"/>
    </xf>
    <xf numFmtId="3" fontId="10" fillId="0" borderId="0" xfId="1" applyNumberFormat="1" applyFont="1" applyFill="1" applyBorder="1" applyAlignment="1">
      <alignment horizontal="right"/>
    </xf>
    <xf numFmtId="4" fontId="10" fillId="0" borderId="2" xfId="1" applyNumberFormat="1" applyFont="1" applyFill="1" applyBorder="1" applyAlignment="1">
      <alignment horizontal="right"/>
    </xf>
    <xf numFmtId="4" fontId="10" fillId="0" borderId="0" xfId="1" applyNumberFormat="1" applyFont="1" applyFill="1" applyBorder="1" applyAlignment="1">
      <alignment horizontal="center"/>
    </xf>
    <xf numFmtId="164" fontId="10" fillId="0" borderId="0" xfId="1" applyNumberFormat="1" applyFont="1" applyBorder="1" applyAlignment="1">
      <alignment horizontal="right" vertical="justify"/>
    </xf>
    <xf numFmtId="0" fontId="10" fillId="0" borderId="0" xfId="1" applyFont="1" applyFill="1" applyBorder="1"/>
    <xf numFmtId="0" fontId="10" fillId="0" borderId="1" xfId="1" applyFont="1" applyBorder="1" applyAlignment="1">
      <alignment horizontal="left"/>
    </xf>
    <xf numFmtId="0" fontId="10" fillId="0" borderId="1" xfId="1" applyFont="1" applyFill="1" applyBorder="1"/>
    <xf numFmtId="3" fontId="10" fillId="0" borderId="1" xfId="1" applyNumberFormat="1" applyFont="1" applyFill="1" applyBorder="1" applyAlignment="1">
      <alignment horizontal="right"/>
    </xf>
    <xf numFmtId="4" fontId="10" fillId="0" borderId="6" xfId="1" applyNumberFormat="1" applyFont="1" applyFill="1" applyBorder="1" applyAlignment="1">
      <alignment horizontal="right"/>
    </xf>
    <xf numFmtId="4" fontId="10" fillId="0" borderId="1" xfId="1" applyNumberFormat="1" applyFont="1" applyFill="1" applyBorder="1" applyAlignment="1">
      <alignment horizontal="right"/>
    </xf>
    <xf numFmtId="0" fontId="10" fillId="0" borderId="0" xfId="1" quotePrefix="1" applyFont="1" applyBorder="1" applyAlignment="1">
      <alignment vertical="top" wrapText="1"/>
    </xf>
    <xf numFmtId="3" fontId="10" fillId="0" borderId="0" xfId="1" applyNumberFormat="1" applyFont="1" applyFill="1" applyBorder="1" applyAlignment="1">
      <alignment horizontal="center"/>
    </xf>
    <xf numFmtId="0" fontId="7" fillId="0" borderId="0" xfId="1" applyFont="1" applyFill="1"/>
    <xf numFmtId="0" fontId="9" fillId="0" borderId="0" xfId="1" applyFont="1" applyFill="1" applyBorder="1" applyAlignment="1">
      <alignment horizontal="right"/>
    </xf>
    <xf numFmtId="4" fontId="10" fillId="0" borderId="0" xfId="1" applyNumberFormat="1" applyFont="1" applyFill="1" applyBorder="1" applyAlignment="1">
      <alignment horizontal="right"/>
    </xf>
    <xf numFmtId="0" fontId="11" fillId="0" borderId="0" xfId="1" applyFont="1" applyFill="1" applyBorder="1" applyAlignment="1">
      <alignment horizontal="center"/>
    </xf>
    <xf numFmtId="0" fontId="10" fillId="0" borderId="2" xfId="1" applyFont="1" applyFill="1" applyBorder="1" applyAlignment="1">
      <alignment horizontal="center"/>
    </xf>
    <xf numFmtId="0" fontId="10" fillId="0" borderId="0" xfId="1" applyFont="1" applyFill="1" applyBorder="1" applyAlignment="1">
      <alignment horizontal="center"/>
    </xf>
    <xf numFmtId="0" fontId="10" fillId="0" borderId="0" xfId="1" applyFont="1" applyBorder="1" applyAlignment="1">
      <alignment horizontal="right"/>
    </xf>
    <xf numFmtId="0" fontId="10" fillId="0" borderId="0" xfId="1" applyFont="1" applyFill="1" applyBorder="1" applyAlignment="1">
      <alignment horizontal="center" wrapText="1"/>
    </xf>
    <xf numFmtId="0" fontId="10" fillId="0" borderId="0" xfId="1" quotePrefix="1" applyFont="1" applyBorder="1" applyAlignment="1">
      <alignment horizontal="left" vertical="top" wrapText="1"/>
    </xf>
    <xf numFmtId="0" fontId="13" fillId="0" borderId="0" xfId="1" applyFont="1" applyBorder="1"/>
    <xf numFmtId="0" fontId="2" fillId="0" borderId="0" xfId="1"/>
    <xf numFmtId="0" fontId="2" fillId="0" borderId="0" xfId="1" applyBorder="1"/>
    <xf numFmtId="0" fontId="2" fillId="0" borderId="0" xfId="1" applyFill="1"/>
    <xf numFmtId="0" fontId="11" fillId="0" borderId="0" xfId="1" applyFont="1"/>
    <xf numFmtId="0" fontId="11" fillId="0" borderId="0" xfId="1" applyFont="1" applyAlignment="1">
      <alignment wrapText="1"/>
    </xf>
    <xf numFmtId="0" fontId="11" fillId="0" borderId="0" xfId="1" applyFont="1" applyBorder="1" applyAlignment="1">
      <alignment wrapText="1"/>
    </xf>
    <xf numFmtId="0" fontId="10" fillId="0" borderId="0" xfId="1" quotePrefix="1" applyFont="1" applyBorder="1" applyAlignment="1">
      <alignment horizontal="right" vertical="top" wrapText="1"/>
    </xf>
    <xf numFmtId="0" fontId="11" fillId="0" borderId="0" xfId="1" applyFont="1" applyBorder="1"/>
    <xf numFmtId="0" fontId="11" fillId="0" borderId="1" xfId="1" applyFont="1" applyBorder="1"/>
    <xf numFmtId="0" fontId="13" fillId="0" borderId="0" xfId="1" applyFont="1" applyFill="1" applyBorder="1"/>
    <xf numFmtId="0" fontId="11" fillId="0" borderId="0" xfId="1" applyFont="1" applyFill="1"/>
    <xf numFmtId="4" fontId="10" fillId="0" borderId="5" xfId="1" applyNumberFormat="1" applyFont="1" applyFill="1" applyBorder="1" applyAlignment="1">
      <alignment horizontal="right"/>
    </xf>
    <xf numFmtId="4" fontId="10" fillId="0" borderId="5" xfId="1" applyNumberFormat="1" applyFont="1" applyFill="1" applyBorder="1" applyAlignment="1">
      <alignment horizontal="center"/>
    </xf>
    <xf numFmtId="4" fontId="10" fillId="0" borderId="2" xfId="1" applyNumberFormat="1" applyFont="1" applyFill="1" applyBorder="1" applyAlignment="1">
      <alignment horizontal="center"/>
    </xf>
    <xf numFmtId="4" fontId="14" fillId="0" borderId="5" xfId="1" applyNumberFormat="1" applyFont="1" applyFill="1" applyBorder="1" applyAlignment="1">
      <alignment horizontal="center"/>
    </xf>
    <xf numFmtId="4" fontId="14" fillId="0" borderId="0" xfId="1" applyNumberFormat="1" applyFont="1" applyFill="1" applyBorder="1" applyAlignment="1">
      <alignment horizontal="center"/>
    </xf>
    <xf numFmtId="0" fontId="6" fillId="0" borderId="0" xfId="1" applyFont="1" applyFill="1"/>
    <xf numFmtId="3" fontId="15" fillId="0" borderId="0" xfId="1" applyNumberFormat="1" applyFont="1" applyFill="1" applyBorder="1" applyAlignment="1">
      <alignment horizontal="right"/>
    </xf>
    <xf numFmtId="4" fontId="15" fillId="0" borderId="0" xfId="1" applyNumberFormat="1" applyFont="1" applyFill="1" applyBorder="1" applyAlignment="1">
      <alignment horizontal="right"/>
    </xf>
    <xf numFmtId="4" fontId="15" fillId="0" borderId="2" xfId="1" applyNumberFormat="1" applyFont="1" applyFill="1" applyBorder="1" applyAlignment="1">
      <alignment horizontal="right"/>
    </xf>
    <xf numFmtId="0" fontId="16" fillId="0" borderId="0" xfId="1" applyFont="1" applyFill="1" applyBorder="1"/>
    <xf numFmtId="0" fontId="15" fillId="0" borderId="0" xfId="1" applyFont="1" applyBorder="1"/>
    <xf numFmtId="0" fontId="15" fillId="0" borderId="0" xfId="1" applyFont="1" applyBorder="1" applyAlignment="1">
      <alignment horizontal="left"/>
    </xf>
    <xf numFmtId="0" fontId="10" fillId="0" borderId="0" xfId="1" applyFont="1" applyFill="1" applyBorder="1" applyAlignment="1">
      <alignment horizontal="left"/>
    </xf>
    <xf numFmtId="3" fontId="10" fillId="0" borderId="0" xfId="1" applyNumberFormat="1" applyFont="1" applyBorder="1" applyAlignment="1">
      <alignment horizontal="right"/>
    </xf>
    <xf numFmtId="0" fontId="13" fillId="0" borderId="0" xfId="1" applyFont="1" applyBorder="1" applyAlignment="1">
      <alignment horizontal="left"/>
    </xf>
    <xf numFmtId="0" fontId="11" fillId="0" borderId="0" xfId="1" applyFont="1" applyBorder="1" applyAlignment="1">
      <alignment horizontal="left"/>
    </xf>
    <xf numFmtId="0" fontId="10" fillId="0" borderId="1" xfId="1" applyFont="1" applyFill="1" applyBorder="1" applyAlignment="1">
      <alignment horizontal="right"/>
    </xf>
    <xf numFmtId="0" fontId="10" fillId="0" borderId="1" xfId="1" quotePrefix="1" applyFont="1" applyBorder="1" applyAlignment="1" applyProtection="1">
      <alignment horizontal="right"/>
    </xf>
    <xf numFmtId="0" fontId="10" fillId="0" borderId="7" xfId="1" applyFont="1" applyFill="1" applyBorder="1" applyAlignment="1">
      <alignment horizontal="center"/>
    </xf>
    <xf numFmtId="0" fontId="10" fillId="0" borderId="6" xfId="1" applyFont="1" applyFill="1" applyBorder="1" applyAlignment="1">
      <alignment horizontal="right"/>
    </xf>
    <xf numFmtId="0" fontId="9" fillId="0" borderId="1" xfId="1" applyFont="1" applyBorder="1" applyAlignment="1">
      <alignment horizontal="center"/>
    </xf>
    <xf numFmtId="0" fontId="9" fillId="0" borderId="1" xfId="1" applyFont="1" applyBorder="1" applyAlignment="1">
      <alignment horizontal="left"/>
    </xf>
    <xf numFmtId="0" fontId="11" fillId="0" borderId="0" xfId="1" applyFont="1" applyFill="1" applyBorder="1" applyAlignment="1">
      <alignment horizontal="right"/>
    </xf>
    <xf numFmtId="0" fontId="11" fillId="0" borderId="0" xfId="1" quotePrefix="1" applyFont="1" applyBorder="1" applyAlignment="1" applyProtection="1">
      <alignment horizontal="right"/>
    </xf>
    <xf numFmtId="0" fontId="11" fillId="0" borderId="2" xfId="1" applyFont="1" applyFill="1" applyBorder="1" applyAlignment="1">
      <alignment horizontal="right"/>
    </xf>
    <xf numFmtId="0" fontId="18" fillId="0" borderId="0" xfId="1" applyFont="1" applyBorder="1" applyAlignment="1">
      <alignment horizontal="center"/>
    </xf>
    <xf numFmtId="0" fontId="18" fillId="0" borderId="0" xfId="1" applyFont="1" applyBorder="1" applyAlignment="1">
      <alignment horizontal="left"/>
    </xf>
    <xf numFmtId="0" fontId="11" fillId="0" borderId="0" xfId="1" applyFont="1" applyBorder="1" applyAlignment="1">
      <alignment horizontal="center"/>
    </xf>
    <xf numFmtId="0" fontId="11" fillId="0" borderId="0" xfId="1" applyFont="1" applyBorder="1" applyAlignment="1">
      <alignment horizontal="right"/>
    </xf>
    <xf numFmtId="0" fontId="11" fillId="0" borderId="0" xfId="1" applyFont="1" applyAlignment="1">
      <alignment horizontal="right"/>
    </xf>
    <xf numFmtId="0" fontId="11" fillId="0" borderId="2" xfId="1" applyFont="1" applyBorder="1" applyAlignment="1">
      <alignment horizontal="center"/>
    </xf>
    <xf numFmtId="0" fontId="8" fillId="0" borderId="0" xfId="1" applyFont="1"/>
    <xf numFmtId="0" fontId="13" fillId="0" borderId="1" xfId="1" applyFont="1" applyBorder="1"/>
    <xf numFmtId="165" fontId="10" fillId="0" borderId="0" xfId="3" applyNumberFormat="1" applyFont="1" applyFill="1" applyBorder="1" applyAlignment="1">
      <alignment horizontal="right"/>
    </xf>
    <xf numFmtId="166" fontId="10" fillId="0" borderId="0" xfId="2" applyNumberFormat="1" applyFont="1" applyFill="1" applyBorder="1" applyAlignment="1">
      <alignment horizontal="right"/>
    </xf>
    <xf numFmtId="167" fontId="10" fillId="0" borderId="0" xfId="1" applyNumberFormat="1" applyFont="1" applyFill="1" applyBorder="1" applyAlignment="1">
      <alignment horizontal="right"/>
    </xf>
    <xf numFmtId="2" fontId="10" fillId="0" borderId="0" xfId="1" applyNumberFormat="1" applyFont="1" applyFill="1" applyBorder="1" applyAlignment="1">
      <alignment horizontal="right"/>
    </xf>
    <xf numFmtId="9" fontId="10" fillId="0" borderId="0" xfId="3" applyNumberFormat="1" applyFont="1" applyFill="1" applyBorder="1" applyAlignment="1">
      <alignment horizontal="right"/>
    </xf>
    <xf numFmtId="0" fontId="3" fillId="0" borderId="0" xfId="1" applyFont="1" applyFill="1" applyBorder="1"/>
    <xf numFmtId="0" fontId="7" fillId="0" borderId="0" xfId="1" applyFont="1" applyFill="1" applyBorder="1"/>
    <xf numFmtId="0" fontId="10" fillId="0" borderId="0" xfId="1" applyFont="1" applyFill="1"/>
    <xf numFmtId="0" fontId="3" fillId="0" borderId="0" xfId="1" applyFont="1" applyFill="1"/>
    <xf numFmtId="0" fontId="10" fillId="0" borderId="3" xfId="1" applyFont="1" applyFill="1" applyBorder="1"/>
    <xf numFmtId="0" fontId="10" fillId="0" borderId="4" xfId="1" applyFont="1" applyFill="1" applyBorder="1"/>
    <xf numFmtId="0" fontId="10" fillId="0" borderId="5" xfId="1" applyFont="1" applyFill="1" applyBorder="1" applyAlignment="1">
      <alignment horizontal="right"/>
    </xf>
    <xf numFmtId="0" fontId="10" fillId="0" borderId="5" xfId="1" applyFont="1" applyFill="1" applyBorder="1"/>
    <xf numFmtId="0" fontId="10" fillId="0" borderId="0" xfId="1" applyFont="1" applyFill="1" applyAlignment="1">
      <alignment horizontal="center"/>
    </xf>
    <xf numFmtId="0" fontId="10" fillId="0" borderId="5" xfId="1" applyFont="1" applyFill="1" applyBorder="1" applyAlignment="1">
      <alignment horizontal="center"/>
    </xf>
    <xf numFmtId="0" fontId="7" fillId="0" borderId="0" xfId="1" applyFont="1" applyFill="1" applyBorder="1" applyAlignment="1">
      <alignment horizontal="center"/>
    </xf>
    <xf numFmtId="0" fontId="11" fillId="0" borderId="0" xfId="1" quotePrefix="1" applyFont="1" applyFill="1" applyBorder="1" applyAlignment="1" applyProtection="1">
      <alignment horizontal="center"/>
    </xf>
    <xf numFmtId="0" fontId="11" fillId="0" borderId="0" xfId="1" applyFont="1" applyFill="1" applyAlignment="1">
      <alignment horizontal="center"/>
    </xf>
    <xf numFmtId="0" fontId="10" fillId="0" borderId="0" xfId="1" quotePrefix="1" applyFont="1" applyFill="1" applyBorder="1" applyAlignment="1" applyProtection="1">
      <alignment horizontal="center"/>
    </xf>
    <xf numFmtId="0" fontId="9" fillId="0" borderId="0" xfId="1" applyFont="1" applyFill="1" applyBorder="1" applyAlignment="1">
      <alignment horizontal="left"/>
    </xf>
    <xf numFmtId="0" fontId="10" fillId="0" borderId="0" xfId="1" quotePrefix="1" applyFont="1" applyFill="1" applyBorder="1" applyAlignment="1" applyProtection="1">
      <alignment horizontal="right"/>
    </xf>
    <xf numFmtId="0" fontId="10" fillId="0" borderId="0" xfId="1" applyFont="1" applyFill="1" applyBorder="1" applyAlignment="1"/>
    <xf numFmtId="166" fontId="10" fillId="0" borderId="0" xfId="2" quotePrefix="1" applyNumberFormat="1" applyFont="1" applyFill="1" applyBorder="1" applyAlignment="1" applyProtection="1">
      <alignment horizontal="right"/>
    </xf>
    <xf numFmtId="164" fontId="10" fillId="0" borderId="0" xfId="1" applyNumberFormat="1" applyFont="1" applyFill="1" applyBorder="1" applyAlignment="1">
      <alignment horizontal="right" vertical="justify"/>
    </xf>
    <xf numFmtId="0" fontId="10" fillId="0" borderId="1" xfId="1" applyFont="1" applyFill="1" applyBorder="1" applyAlignment="1">
      <alignment horizontal="left"/>
    </xf>
    <xf numFmtId="0" fontId="10" fillId="0" borderId="7" xfId="1" applyFont="1" applyFill="1" applyBorder="1"/>
    <xf numFmtId="0" fontId="10" fillId="0" borderId="0" xfId="1" quotePrefix="1" applyFont="1" applyFill="1" applyBorder="1" applyAlignment="1">
      <alignment vertical="top" wrapText="1"/>
    </xf>
    <xf numFmtId="0" fontId="10" fillId="0" borderId="0" xfId="1" quotePrefix="1" applyFont="1" applyFill="1" applyBorder="1" applyAlignment="1">
      <alignment horizontal="center" vertical="top" wrapText="1"/>
    </xf>
    <xf numFmtId="0" fontId="10" fillId="0" borderId="3" xfId="1" quotePrefix="1" applyFont="1" applyFill="1" applyBorder="1" applyAlignment="1">
      <alignment vertical="top" wrapText="1"/>
    </xf>
    <xf numFmtId="0" fontId="10" fillId="0" borderId="0" xfId="1" applyFont="1" applyFill="1" applyAlignment="1">
      <alignment wrapText="1"/>
    </xf>
    <xf numFmtId="0" fontId="10" fillId="0" borderId="0" xfId="1" applyFont="1" applyFill="1" applyBorder="1" applyAlignment="1">
      <alignment wrapText="1"/>
    </xf>
    <xf numFmtId="164" fontId="10" fillId="0" borderId="0" xfId="1" quotePrefix="1" applyNumberFormat="1" applyFont="1" applyFill="1" applyBorder="1" applyAlignment="1">
      <alignment vertical="top" wrapText="1"/>
    </xf>
    <xf numFmtId="0" fontId="11" fillId="0" borderId="0" xfId="1" applyFont="1" applyFill="1" applyBorder="1" applyAlignment="1">
      <alignment vertical="top" wrapText="1"/>
    </xf>
    <xf numFmtId="0" fontId="10" fillId="0" borderId="0" xfId="1" applyFont="1" applyFill="1" applyBorder="1" applyAlignment="1">
      <alignment vertical="top" wrapText="1"/>
    </xf>
    <xf numFmtId="164" fontId="13" fillId="0" borderId="0" xfId="1" quotePrefix="1" applyNumberFormat="1" applyFont="1" applyFill="1" applyBorder="1" applyAlignment="1">
      <alignment vertical="top" wrapText="1"/>
    </xf>
    <xf numFmtId="0" fontId="10" fillId="0" borderId="0" xfId="1" quotePrefix="1" applyFont="1" applyFill="1" applyBorder="1" applyAlignment="1">
      <alignment horizontal="left" vertical="top" wrapText="1"/>
    </xf>
    <xf numFmtId="0" fontId="22" fillId="0" borderId="0" xfId="1" applyFont="1" applyFill="1" applyBorder="1"/>
    <xf numFmtId="0" fontId="22" fillId="0" borderId="0" xfId="1" applyFont="1" applyFill="1" applyBorder="1" applyAlignment="1"/>
    <xf numFmtId="165" fontId="10" fillId="0" borderId="0" xfId="3" quotePrefix="1" applyNumberFormat="1" applyFont="1" applyFill="1" applyBorder="1" applyAlignment="1" applyProtection="1">
      <alignment horizontal="right"/>
    </xf>
    <xf numFmtId="9" fontId="10" fillId="0" borderId="0" xfId="3" quotePrefix="1" applyNumberFormat="1" applyFont="1" applyFill="1" applyBorder="1" applyAlignment="1" applyProtection="1">
      <alignment horizontal="right"/>
    </xf>
    <xf numFmtId="0" fontId="10" fillId="0" borderId="0" xfId="1" applyFont="1" applyFill="1" applyBorder="1" applyAlignment="1">
      <alignment horizontal="center" wrapText="1"/>
    </xf>
    <xf numFmtId="0" fontId="10" fillId="0" borderId="0" xfId="1" applyFont="1" applyFill="1" applyBorder="1" applyAlignment="1">
      <alignment horizontal="center"/>
    </xf>
    <xf numFmtId="0" fontId="10" fillId="0" borderId="8" xfId="1" applyFont="1" applyFill="1" applyBorder="1" applyAlignment="1">
      <alignment horizontal="center"/>
    </xf>
    <xf numFmtId="0" fontId="10" fillId="0" borderId="0" xfId="1" applyFont="1" applyFill="1" applyBorder="1" applyAlignment="1">
      <alignment horizontal="right"/>
    </xf>
    <xf numFmtId="0" fontId="10" fillId="0" borderId="0" xfId="1" applyFont="1" applyFill="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165" fontId="9" fillId="0" borderId="0" xfId="3" applyNumberFormat="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10" fontId="10" fillId="0" borderId="0" xfId="3" applyNumberFormat="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quotePrefix="1" applyFont="1" applyFill="1" applyBorder="1" applyAlignment="1">
      <alignment horizontal="lef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9" fontId="10" fillId="0" borderId="0" xfId="3" quotePrefix="1" applyNumberFormat="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1" fontId="10" fillId="0" borderId="0" xfId="1" applyNumberFormat="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right"/>
    </xf>
    <xf numFmtId="9" fontId="10" fillId="0" borderId="1" xfId="3" applyFont="1" applyFill="1" applyBorder="1" applyAlignment="1">
      <alignment horizontal="right"/>
    </xf>
    <xf numFmtId="165" fontId="10" fillId="0" borderId="1" xfId="3" applyNumberFormat="1" applyFont="1" applyFill="1" applyBorder="1" applyAlignment="1">
      <alignment horizontal="right"/>
    </xf>
    <xf numFmtId="0" fontId="10" fillId="0" borderId="0" xfId="1" applyFont="1" applyFill="1" applyBorder="1" applyAlignment="1">
      <alignment horizontal="right"/>
    </xf>
    <xf numFmtId="0" fontId="10" fillId="0" borderId="0" xfId="1" applyFont="1" applyFill="1" applyBorder="1" applyAlignment="1">
      <alignment horizontal="center" wrapText="1"/>
    </xf>
    <xf numFmtId="0" fontId="10" fillId="0" borderId="0" xfId="1" applyFont="1" applyFill="1" applyBorder="1" applyAlignment="1">
      <alignment horizontal="center"/>
    </xf>
    <xf numFmtId="0" fontId="11" fillId="0" borderId="8" xfId="1" applyFont="1" applyFill="1" applyBorder="1" applyAlignment="1">
      <alignment horizontal="center" wrapText="1"/>
    </xf>
    <xf numFmtId="0" fontId="10" fillId="0" borderId="8" xfId="1" applyFont="1" applyFill="1" applyBorder="1" applyAlignment="1">
      <alignment horizontal="center" wrapText="1"/>
    </xf>
    <xf numFmtId="0" fontId="11" fillId="0" borderId="8" xfId="1" applyFont="1" applyFill="1" applyBorder="1" applyAlignment="1">
      <alignment horizontal="center"/>
    </xf>
    <xf numFmtId="0" fontId="10" fillId="0" borderId="8" xfId="1" applyFont="1" applyFill="1" applyBorder="1" applyAlignment="1">
      <alignment horizontal="center"/>
    </xf>
    <xf numFmtId="0" fontId="11" fillId="0" borderId="8" xfId="1" applyFont="1" applyFill="1" applyBorder="1" applyAlignment="1" applyProtection="1">
      <alignment horizontal="center"/>
    </xf>
    <xf numFmtId="0" fontId="11" fillId="0" borderId="9" xfId="1" applyFont="1" applyFill="1" applyBorder="1" applyAlignment="1">
      <alignment horizontal="center"/>
    </xf>
    <xf numFmtId="0" fontId="10" fillId="0" borderId="9" xfId="1" applyFont="1" applyFill="1" applyBorder="1" applyAlignment="1">
      <alignment horizontal="center"/>
    </xf>
    <xf numFmtId="0" fontId="11" fillId="0" borderId="1" xfId="1" applyFont="1" applyFill="1" applyBorder="1" applyAlignment="1">
      <alignment horizontal="center"/>
    </xf>
    <xf numFmtId="0" fontId="10" fillId="0" borderId="1" xfId="1" applyFont="1" applyFill="1" applyBorder="1" applyAlignment="1">
      <alignment horizontal="center"/>
    </xf>
    <xf numFmtId="0" fontId="10" fillId="0" borderId="1" xfId="1" quotePrefix="1" applyFont="1" applyFill="1" applyBorder="1" applyAlignment="1" applyProtection="1">
      <alignment horizontal="center"/>
    </xf>
    <xf numFmtId="0" fontId="3" fillId="0" borderId="0" xfId="1" quotePrefix="1" applyFont="1" applyFill="1" applyAlignment="1">
      <alignment horizontal="center"/>
    </xf>
    <xf numFmtId="0" fontId="3" fillId="0" borderId="0" xfId="1" applyFont="1" applyFill="1" applyAlignment="1">
      <alignment horizontal="center"/>
    </xf>
    <xf numFmtId="0" fontId="10" fillId="0" borderId="0" xfId="1" applyFont="1" applyFill="1" applyBorder="1" applyAlignment="1">
      <alignment horizontal="right"/>
    </xf>
    <xf numFmtId="0" fontId="10" fillId="0" borderId="3" xfId="1" applyFont="1" applyFill="1" applyBorder="1" applyAlignment="1" applyProtection="1">
      <alignment horizontal="right"/>
    </xf>
    <xf numFmtId="0" fontId="10" fillId="0" borderId="3" xfId="1" applyFont="1" applyFill="1" applyBorder="1" applyAlignment="1">
      <alignment horizontal="right"/>
    </xf>
    <xf numFmtId="0" fontId="10" fillId="0" borderId="0" xfId="1" applyFont="1" applyFill="1" applyAlignment="1">
      <alignment horizontal="right"/>
    </xf>
    <xf numFmtId="164" fontId="10" fillId="0" borderId="0" xfId="1" quotePrefix="1" applyNumberFormat="1" applyFont="1" applyFill="1" applyBorder="1" applyAlignment="1">
      <alignment horizontal="left" vertical="top" wrapText="1"/>
    </xf>
    <xf numFmtId="0" fontId="10" fillId="0" borderId="3" xfId="1" quotePrefix="1" applyFont="1" applyFill="1" applyBorder="1" applyAlignment="1">
      <alignment horizontal="left" vertical="top" wrapText="1"/>
    </xf>
    <xf numFmtId="0" fontId="10" fillId="0" borderId="0" xfId="1" applyFont="1" applyFill="1" applyBorder="1" applyAlignment="1">
      <alignment horizontal="left" vertical="top" wrapText="1"/>
    </xf>
    <xf numFmtId="0" fontId="10" fillId="0" borderId="3" xfId="1" applyFont="1" applyFill="1" applyBorder="1" applyAlignment="1">
      <alignment horizontal="left" vertical="top" wrapText="1"/>
    </xf>
    <xf numFmtId="0" fontId="3" fillId="0" borderId="0" xfId="1" applyFont="1" applyAlignment="1">
      <alignment horizontal="center"/>
    </xf>
    <xf numFmtId="0" fontId="8" fillId="0" borderId="0" xfId="1" quotePrefix="1" applyFont="1" applyAlignment="1">
      <alignment horizontal="center"/>
    </xf>
    <xf numFmtId="0" fontId="8" fillId="0" borderId="0" xfId="1" applyFont="1" applyAlignment="1">
      <alignment horizontal="center"/>
    </xf>
    <xf numFmtId="0" fontId="10" fillId="0" borderId="0" xfId="1" applyFont="1" applyBorder="1" applyAlignment="1">
      <alignment horizontal="left" vertical="top" wrapText="1"/>
    </xf>
    <xf numFmtId="0" fontId="10" fillId="0" borderId="0" xfId="1" quotePrefix="1" applyFont="1" applyBorder="1" applyAlignment="1">
      <alignment horizontal="left" vertical="top" wrapText="1"/>
    </xf>
    <xf numFmtId="164" fontId="11" fillId="0" borderId="0" xfId="1" quotePrefix="1" applyNumberFormat="1" applyFont="1" applyBorder="1" applyAlignment="1">
      <alignment horizontal="left" vertical="top" wrapText="1"/>
    </xf>
    <xf numFmtId="0" fontId="10" fillId="0" borderId="0" xfId="1" applyFont="1" applyBorder="1" applyAlignment="1">
      <alignment horizontal="center"/>
    </xf>
    <xf numFmtId="0" fontId="10" fillId="0" borderId="0" xfId="1" applyFont="1" applyBorder="1" applyAlignment="1" applyProtection="1">
      <alignment horizontal="center"/>
    </xf>
    <xf numFmtId="0" fontId="11" fillId="0" borderId="0" xfId="1" applyFont="1" applyBorder="1" applyAlignment="1">
      <alignment horizontal="center"/>
    </xf>
    <xf numFmtId="0" fontId="10" fillId="0" borderId="0" xfId="1" applyFont="1" applyBorder="1" applyAlignment="1">
      <alignment horizontal="right" wrapText="1"/>
    </xf>
    <xf numFmtId="0" fontId="10" fillId="0" borderId="0" xfId="1" applyFont="1" applyBorder="1" applyAlignment="1">
      <alignment horizontal="right"/>
    </xf>
    <xf numFmtId="0" fontId="11" fillId="2" borderId="0" xfId="1" applyFont="1" applyFill="1" applyBorder="1" applyAlignment="1" applyProtection="1">
      <alignment horizontal="right"/>
    </xf>
    <xf numFmtId="0" fontId="11" fillId="0" borderId="0" xfId="1" applyFont="1" applyFill="1" applyBorder="1" applyAlignment="1">
      <alignment horizontal="right" wrapText="1"/>
    </xf>
    <xf numFmtId="0" fontId="11" fillId="0" borderId="0" xfId="1" applyFont="1" applyBorder="1" applyAlignment="1">
      <alignment horizontal="right"/>
    </xf>
    <xf numFmtId="0" fontId="10" fillId="2" borderId="0" xfId="1" applyFont="1" applyFill="1" applyBorder="1" applyAlignment="1">
      <alignment horizontal="right" wrapText="1"/>
    </xf>
    <xf numFmtId="0" fontId="11" fillId="0" borderId="0" xfId="1" applyFont="1" applyBorder="1" applyAlignment="1">
      <alignment horizontal="left" vertical="top" wrapText="1"/>
    </xf>
    <xf numFmtId="0" fontId="11" fillId="0" borderId="0" xfId="1" quotePrefix="1" applyFont="1" applyBorder="1" applyAlignment="1">
      <alignment horizontal="left" vertical="top" wrapText="1"/>
    </xf>
  </cellXfs>
  <cellStyles count="4">
    <cellStyle name="Comma" xfId="2" builtinId="3"/>
    <cellStyle name="Normal" xfId="0" builtinId="0"/>
    <cellStyle name="Normal 2" xfId="1" xr:uid="{00000000-0005-0000-0000-000002000000}"/>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U608"/>
  <sheetViews>
    <sheetView tabSelected="1" view="pageBreakPreview" zoomScale="80" zoomScaleNormal="70" zoomScaleSheetLayoutView="80" workbookViewId="0">
      <pane xSplit="3" ySplit="16" topLeftCell="AR128" activePane="bottomRight" state="frozen"/>
      <selection pane="topRight" activeCell="D1" sqref="D1"/>
      <selection pane="bottomLeft" activeCell="A17" sqref="A17"/>
      <selection pane="bottomRight" activeCell="AZ139" sqref="AZ139"/>
    </sheetView>
  </sheetViews>
  <sheetFormatPr defaultRowHeight="15"/>
  <cols>
    <col min="1" max="1" width="9.85546875" style="28" customWidth="1"/>
    <col min="2" max="2" width="10.28515625" style="28" bestFit="1" customWidth="1"/>
    <col min="3" max="3" width="8.5703125" style="28" bestFit="1" customWidth="1"/>
    <col min="4" max="4" width="15.7109375" style="28" customWidth="1"/>
    <col min="5" max="5" width="11" style="28" customWidth="1"/>
    <col min="6" max="6" width="12" style="28" customWidth="1"/>
    <col min="7" max="7" width="1.7109375" style="28" customWidth="1"/>
    <col min="8" max="8" width="13.28515625" style="28" customWidth="1"/>
    <col min="9" max="9" width="13.85546875" style="28" customWidth="1"/>
    <col min="10" max="10" width="1.7109375" style="28" customWidth="1"/>
    <col min="11" max="11" width="13.28515625" style="28" customWidth="1"/>
    <col min="12" max="12" width="13.42578125" style="28" customWidth="1"/>
    <col min="13" max="13" width="1.7109375" style="28" customWidth="1"/>
    <col min="14" max="15" width="17.7109375" style="28" customWidth="1"/>
    <col min="16" max="16" width="1.7109375" style="28" customWidth="1"/>
    <col min="17" max="17" width="17.7109375" style="28" customWidth="1"/>
    <col min="18" max="19" width="2.7109375" style="28" customWidth="1"/>
    <col min="20" max="21" width="11.7109375" style="28" customWidth="1"/>
    <col min="22" max="22" width="2.5703125" style="28" customWidth="1"/>
    <col min="23" max="24" width="10.7109375" style="88" customWidth="1"/>
    <col min="25" max="25" width="1.7109375" style="28" customWidth="1"/>
    <col min="26" max="27" width="10.7109375" style="88" customWidth="1"/>
    <col min="28" max="28" width="2.28515625" style="28" customWidth="1"/>
    <col min="29" max="30" width="10.7109375" style="88" customWidth="1"/>
    <col min="31" max="31" width="1.7109375" style="28" customWidth="1"/>
    <col min="32" max="33" width="10.7109375" style="88" customWidth="1"/>
    <col min="34" max="34" width="13" style="88" customWidth="1"/>
    <col min="35" max="35" width="17.7109375" style="88" customWidth="1"/>
    <col min="36" max="36" width="16" style="88" customWidth="1"/>
    <col min="37" max="37" width="13.7109375" style="88" customWidth="1"/>
    <col min="38" max="38" width="11.140625" style="88" customWidth="1"/>
    <col min="39" max="39" width="1.7109375" style="28" customWidth="1"/>
    <col min="40" max="40" width="13.7109375" style="88" customWidth="1"/>
    <col min="41" max="41" width="15.28515625" style="88" customWidth="1"/>
    <col min="42" max="42" width="13.7109375" style="88" customWidth="1"/>
    <col min="43" max="43" width="1.7109375" style="28" customWidth="1"/>
    <col min="44" max="44" width="13.7109375" style="88" customWidth="1"/>
    <col min="45" max="45" width="15" style="88" customWidth="1"/>
    <col min="46" max="46" width="13.7109375" style="88" customWidth="1"/>
    <col min="47" max="47" width="1.7109375" style="28" customWidth="1"/>
    <col min="48" max="49" width="12.7109375" style="88" customWidth="1"/>
    <col min="50" max="50" width="2.28515625" style="28" customWidth="1"/>
    <col min="51" max="51" width="26.42578125" style="88" customWidth="1"/>
    <col min="52" max="52" width="27" style="88" customWidth="1"/>
    <col min="53" max="54" width="10.7109375" style="88" customWidth="1"/>
    <col min="55" max="55" width="2.28515625" style="28" customWidth="1"/>
    <col min="56" max="56" width="16.7109375" style="28" customWidth="1"/>
    <col min="57" max="58" width="1.5703125" style="28" customWidth="1"/>
    <col min="59" max="59" width="23.7109375" style="28" customWidth="1"/>
    <col min="60" max="60" width="30" style="28" customWidth="1"/>
    <col min="61" max="269" width="9.140625" style="88"/>
    <col min="270" max="270" width="9.85546875" style="88" customWidth="1"/>
    <col min="271" max="271" width="6.7109375" style="88" customWidth="1"/>
    <col min="272" max="272" width="7.5703125" style="88" customWidth="1"/>
    <col min="273" max="282" width="17.28515625" style="88" customWidth="1"/>
    <col min="283" max="283" width="1.7109375" style="88" customWidth="1"/>
    <col min="284" max="284" width="2.5703125" style="88" customWidth="1"/>
    <col min="285" max="285" width="10.5703125" style="88" customWidth="1"/>
    <col min="286" max="286" width="12.28515625" style="88" customWidth="1"/>
    <col min="287" max="287" width="10" style="88" customWidth="1"/>
    <col min="288" max="288" width="9.28515625" style="88" customWidth="1"/>
    <col min="289" max="290" width="10.85546875" style="88" customWidth="1"/>
    <col min="291" max="294" width="9.7109375" style="88" customWidth="1"/>
    <col min="295" max="295" width="13.28515625" style="88" customWidth="1"/>
    <col min="296" max="296" width="18.28515625" style="88" customWidth="1"/>
    <col min="297" max="297" width="15.5703125" style="88" customWidth="1"/>
    <col min="298" max="300" width="12" style="88" customWidth="1"/>
    <col min="301" max="301" width="14.42578125" style="88" bestFit="1" customWidth="1"/>
    <col min="302" max="303" width="12" style="88" customWidth="1"/>
    <col min="304" max="304" width="14.42578125" style="88" bestFit="1" customWidth="1"/>
    <col min="305" max="305" width="15.28515625" style="88" bestFit="1" customWidth="1"/>
    <col min="306" max="306" width="12.85546875" style="88" customWidth="1"/>
    <col min="307" max="307" width="12.42578125" style="88" customWidth="1"/>
    <col min="308" max="308" width="30.42578125" style="88" customWidth="1"/>
    <col min="309" max="309" width="28.5703125" style="88" customWidth="1"/>
    <col min="310" max="310" width="10.42578125" style="88" customWidth="1"/>
    <col min="311" max="311" width="9" style="88" customWidth="1"/>
    <col min="312" max="312" width="16.7109375" style="88" customWidth="1"/>
    <col min="313" max="314" width="1.5703125" style="88" customWidth="1"/>
    <col min="315" max="315" width="9.140625" style="88"/>
    <col min="316" max="316" width="30.5703125" style="88" customWidth="1"/>
    <col min="317" max="525" width="9.140625" style="88"/>
    <col min="526" max="526" width="9.85546875" style="88" customWidth="1"/>
    <col min="527" max="527" width="6.7109375" style="88" customWidth="1"/>
    <col min="528" max="528" width="7.5703125" style="88" customWidth="1"/>
    <col min="529" max="538" width="17.28515625" style="88" customWidth="1"/>
    <col min="539" max="539" width="1.7109375" style="88" customWidth="1"/>
    <col min="540" max="540" width="2.5703125" style="88" customWidth="1"/>
    <col min="541" max="541" width="10.5703125" style="88" customWidth="1"/>
    <col min="542" max="542" width="12.28515625" style="88" customWidth="1"/>
    <col min="543" max="543" width="10" style="88" customWidth="1"/>
    <col min="544" max="544" width="9.28515625" style="88" customWidth="1"/>
    <col min="545" max="546" width="10.85546875" style="88" customWidth="1"/>
    <col min="547" max="550" width="9.7109375" style="88" customWidth="1"/>
    <col min="551" max="551" width="13.28515625" style="88" customWidth="1"/>
    <col min="552" max="552" width="18.28515625" style="88" customWidth="1"/>
    <col min="553" max="553" width="15.5703125" style="88" customWidth="1"/>
    <col min="554" max="556" width="12" style="88" customWidth="1"/>
    <col min="557" max="557" width="14.42578125" style="88" bestFit="1" customWidth="1"/>
    <col min="558" max="559" width="12" style="88" customWidth="1"/>
    <col min="560" max="560" width="14.42578125" style="88" bestFit="1" customWidth="1"/>
    <col min="561" max="561" width="15.28515625" style="88" bestFit="1" customWidth="1"/>
    <col min="562" max="562" width="12.85546875" style="88" customWidth="1"/>
    <col min="563" max="563" width="12.42578125" style="88" customWidth="1"/>
    <col min="564" max="564" width="30.42578125" style="88" customWidth="1"/>
    <col min="565" max="565" width="28.5703125" style="88" customWidth="1"/>
    <col min="566" max="566" width="10.42578125" style="88" customWidth="1"/>
    <col min="567" max="567" width="9" style="88" customWidth="1"/>
    <col min="568" max="568" width="16.7109375" style="88" customWidth="1"/>
    <col min="569" max="570" width="1.5703125" style="88" customWidth="1"/>
    <col min="571" max="571" width="9.140625" style="88"/>
    <col min="572" max="572" width="30.5703125" style="88" customWidth="1"/>
    <col min="573" max="781" width="9.140625" style="88"/>
    <col min="782" max="782" width="9.85546875" style="88" customWidth="1"/>
    <col min="783" max="783" width="6.7109375" style="88" customWidth="1"/>
    <col min="784" max="784" width="7.5703125" style="88" customWidth="1"/>
    <col min="785" max="794" width="17.28515625" style="88" customWidth="1"/>
    <col min="795" max="795" width="1.7109375" style="88" customWidth="1"/>
    <col min="796" max="796" width="2.5703125" style="88" customWidth="1"/>
    <col min="797" max="797" width="10.5703125" style="88" customWidth="1"/>
    <col min="798" max="798" width="12.28515625" style="88" customWidth="1"/>
    <col min="799" max="799" width="10" style="88" customWidth="1"/>
    <col min="800" max="800" width="9.28515625" style="88" customWidth="1"/>
    <col min="801" max="802" width="10.85546875" style="88" customWidth="1"/>
    <col min="803" max="806" width="9.7109375" style="88" customWidth="1"/>
    <col min="807" max="807" width="13.28515625" style="88" customWidth="1"/>
    <col min="808" max="808" width="18.28515625" style="88" customWidth="1"/>
    <col min="809" max="809" width="15.5703125" style="88" customWidth="1"/>
    <col min="810" max="812" width="12" style="88" customWidth="1"/>
    <col min="813" max="813" width="14.42578125" style="88" bestFit="1" customWidth="1"/>
    <col min="814" max="815" width="12" style="88" customWidth="1"/>
    <col min="816" max="816" width="14.42578125" style="88" bestFit="1" customWidth="1"/>
    <col min="817" max="817" width="15.28515625" style="88" bestFit="1" customWidth="1"/>
    <col min="818" max="818" width="12.85546875" style="88" customWidth="1"/>
    <col min="819" max="819" width="12.42578125" style="88" customWidth="1"/>
    <col min="820" max="820" width="30.42578125" style="88" customWidth="1"/>
    <col min="821" max="821" width="28.5703125" style="88" customWidth="1"/>
    <col min="822" max="822" width="10.42578125" style="88" customWidth="1"/>
    <col min="823" max="823" width="9" style="88" customWidth="1"/>
    <col min="824" max="824" width="16.7109375" style="88" customWidth="1"/>
    <col min="825" max="826" width="1.5703125" style="88" customWidth="1"/>
    <col min="827" max="827" width="9.140625" style="88"/>
    <col min="828" max="828" width="30.5703125" style="88" customWidth="1"/>
    <col min="829" max="1037" width="9.140625" style="88"/>
    <col min="1038" max="1038" width="9.85546875" style="88" customWidth="1"/>
    <col min="1039" max="1039" width="6.7109375" style="88" customWidth="1"/>
    <col min="1040" max="1040" width="7.5703125" style="88" customWidth="1"/>
    <col min="1041" max="1050" width="17.28515625" style="88" customWidth="1"/>
    <col min="1051" max="1051" width="1.7109375" style="88" customWidth="1"/>
    <col min="1052" max="1052" width="2.5703125" style="88" customWidth="1"/>
    <col min="1053" max="1053" width="10.5703125" style="88" customWidth="1"/>
    <col min="1054" max="1054" width="12.28515625" style="88" customWidth="1"/>
    <col min="1055" max="1055" width="10" style="88" customWidth="1"/>
    <col min="1056" max="1056" width="9.28515625" style="88" customWidth="1"/>
    <col min="1057" max="1058" width="10.85546875" style="88" customWidth="1"/>
    <col min="1059" max="1062" width="9.7109375" style="88" customWidth="1"/>
    <col min="1063" max="1063" width="13.28515625" style="88" customWidth="1"/>
    <col min="1064" max="1064" width="18.28515625" style="88" customWidth="1"/>
    <col min="1065" max="1065" width="15.5703125" style="88" customWidth="1"/>
    <col min="1066" max="1068" width="12" style="88" customWidth="1"/>
    <col min="1069" max="1069" width="14.42578125" style="88" bestFit="1" customWidth="1"/>
    <col min="1070" max="1071" width="12" style="88" customWidth="1"/>
    <col min="1072" max="1072" width="14.42578125" style="88" bestFit="1" customWidth="1"/>
    <col min="1073" max="1073" width="15.28515625" style="88" bestFit="1" customWidth="1"/>
    <col min="1074" max="1074" width="12.85546875" style="88" customWidth="1"/>
    <col min="1075" max="1075" width="12.42578125" style="88" customWidth="1"/>
    <col min="1076" max="1076" width="30.42578125" style="88" customWidth="1"/>
    <col min="1077" max="1077" width="28.5703125" style="88" customWidth="1"/>
    <col min="1078" max="1078" width="10.42578125" style="88" customWidth="1"/>
    <col min="1079" max="1079" width="9" style="88" customWidth="1"/>
    <col min="1080" max="1080" width="16.7109375" style="88" customWidth="1"/>
    <col min="1081" max="1082" width="1.5703125" style="88" customWidth="1"/>
    <col min="1083" max="1083" width="9.140625" style="88"/>
    <col min="1084" max="1084" width="30.5703125" style="88" customWidth="1"/>
    <col min="1085" max="1293" width="9.140625" style="88"/>
    <col min="1294" max="1294" width="9.85546875" style="88" customWidth="1"/>
    <col min="1295" max="1295" width="6.7109375" style="88" customWidth="1"/>
    <col min="1296" max="1296" width="7.5703125" style="88" customWidth="1"/>
    <col min="1297" max="1306" width="17.28515625" style="88" customWidth="1"/>
    <col min="1307" max="1307" width="1.7109375" style="88" customWidth="1"/>
    <col min="1308" max="1308" width="2.5703125" style="88" customWidth="1"/>
    <col min="1309" max="1309" width="10.5703125" style="88" customWidth="1"/>
    <col min="1310" max="1310" width="12.28515625" style="88" customWidth="1"/>
    <col min="1311" max="1311" width="10" style="88" customWidth="1"/>
    <col min="1312" max="1312" width="9.28515625" style="88" customWidth="1"/>
    <col min="1313" max="1314" width="10.85546875" style="88" customWidth="1"/>
    <col min="1315" max="1318" width="9.7109375" style="88" customWidth="1"/>
    <col min="1319" max="1319" width="13.28515625" style="88" customWidth="1"/>
    <col min="1320" max="1320" width="18.28515625" style="88" customWidth="1"/>
    <col min="1321" max="1321" width="15.5703125" style="88" customWidth="1"/>
    <col min="1322" max="1324" width="12" style="88" customWidth="1"/>
    <col min="1325" max="1325" width="14.42578125" style="88" bestFit="1" customWidth="1"/>
    <col min="1326" max="1327" width="12" style="88" customWidth="1"/>
    <col min="1328" max="1328" width="14.42578125" style="88" bestFit="1" customWidth="1"/>
    <col min="1329" max="1329" width="15.28515625" style="88" bestFit="1" customWidth="1"/>
    <col min="1330" max="1330" width="12.85546875" style="88" customWidth="1"/>
    <col min="1331" max="1331" width="12.42578125" style="88" customWidth="1"/>
    <col min="1332" max="1332" width="30.42578125" style="88" customWidth="1"/>
    <col min="1333" max="1333" width="28.5703125" style="88" customWidth="1"/>
    <col min="1334" max="1334" width="10.42578125" style="88" customWidth="1"/>
    <col min="1335" max="1335" width="9" style="88" customWidth="1"/>
    <col min="1336" max="1336" width="16.7109375" style="88" customWidth="1"/>
    <col min="1337" max="1338" width="1.5703125" style="88" customWidth="1"/>
    <col min="1339" max="1339" width="9.140625" style="88"/>
    <col min="1340" max="1340" width="30.5703125" style="88" customWidth="1"/>
    <col min="1341" max="1549" width="9.140625" style="88"/>
    <col min="1550" max="1550" width="9.85546875" style="88" customWidth="1"/>
    <col min="1551" max="1551" width="6.7109375" style="88" customWidth="1"/>
    <col min="1552" max="1552" width="7.5703125" style="88" customWidth="1"/>
    <col min="1553" max="1562" width="17.28515625" style="88" customWidth="1"/>
    <col min="1563" max="1563" width="1.7109375" style="88" customWidth="1"/>
    <col min="1564" max="1564" width="2.5703125" style="88" customWidth="1"/>
    <col min="1565" max="1565" width="10.5703125" style="88" customWidth="1"/>
    <col min="1566" max="1566" width="12.28515625" style="88" customWidth="1"/>
    <col min="1567" max="1567" width="10" style="88" customWidth="1"/>
    <col min="1568" max="1568" width="9.28515625" style="88" customWidth="1"/>
    <col min="1569" max="1570" width="10.85546875" style="88" customWidth="1"/>
    <col min="1571" max="1574" width="9.7109375" style="88" customWidth="1"/>
    <col min="1575" max="1575" width="13.28515625" style="88" customWidth="1"/>
    <col min="1576" max="1576" width="18.28515625" style="88" customWidth="1"/>
    <col min="1577" max="1577" width="15.5703125" style="88" customWidth="1"/>
    <col min="1578" max="1580" width="12" style="88" customWidth="1"/>
    <col min="1581" max="1581" width="14.42578125" style="88" bestFit="1" customWidth="1"/>
    <col min="1582" max="1583" width="12" style="88" customWidth="1"/>
    <col min="1584" max="1584" width="14.42578125" style="88" bestFit="1" customWidth="1"/>
    <col min="1585" max="1585" width="15.28515625" style="88" bestFit="1" customWidth="1"/>
    <col min="1586" max="1586" width="12.85546875" style="88" customWidth="1"/>
    <col min="1587" max="1587" width="12.42578125" style="88" customWidth="1"/>
    <col min="1588" max="1588" width="30.42578125" style="88" customWidth="1"/>
    <col min="1589" max="1589" width="28.5703125" style="88" customWidth="1"/>
    <col min="1590" max="1590" width="10.42578125" style="88" customWidth="1"/>
    <col min="1591" max="1591" width="9" style="88" customWidth="1"/>
    <col min="1592" max="1592" width="16.7109375" style="88" customWidth="1"/>
    <col min="1593" max="1594" width="1.5703125" style="88" customWidth="1"/>
    <col min="1595" max="1595" width="9.140625" style="88"/>
    <col min="1596" max="1596" width="30.5703125" style="88" customWidth="1"/>
    <col min="1597" max="1805" width="9.140625" style="88"/>
    <col min="1806" max="1806" width="9.85546875" style="88" customWidth="1"/>
    <col min="1807" max="1807" width="6.7109375" style="88" customWidth="1"/>
    <col min="1808" max="1808" width="7.5703125" style="88" customWidth="1"/>
    <col min="1809" max="1818" width="17.28515625" style="88" customWidth="1"/>
    <col min="1819" max="1819" width="1.7109375" style="88" customWidth="1"/>
    <col min="1820" max="1820" width="2.5703125" style="88" customWidth="1"/>
    <col min="1821" max="1821" width="10.5703125" style="88" customWidth="1"/>
    <col min="1822" max="1822" width="12.28515625" style="88" customWidth="1"/>
    <col min="1823" max="1823" width="10" style="88" customWidth="1"/>
    <col min="1824" max="1824" width="9.28515625" style="88" customWidth="1"/>
    <col min="1825" max="1826" width="10.85546875" style="88" customWidth="1"/>
    <col min="1827" max="1830" width="9.7109375" style="88" customWidth="1"/>
    <col min="1831" max="1831" width="13.28515625" style="88" customWidth="1"/>
    <col min="1832" max="1832" width="18.28515625" style="88" customWidth="1"/>
    <col min="1833" max="1833" width="15.5703125" style="88" customWidth="1"/>
    <col min="1834" max="1836" width="12" style="88" customWidth="1"/>
    <col min="1837" max="1837" width="14.42578125" style="88" bestFit="1" customWidth="1"/>
    <col min="1838" max="1839" width="12" style="88" customWidth="1"/>
    <col min="1840" max="1840" width="14.42578125" style="88" bestFit="1" customWidth="1"/>
    <col min="1841" max="1841" width="15.28515625" style="88" bestFit="1" customWidth="1"/>
    <col min="1842" max="1842" width="12.85546875" style="88" customWidth="1"/>
    <col min="1843" max="1843" width="12.42578125" style="88" customWidth="1"/>
    <col min="1844" max="1844" width="30.42578125" style="88" customWidth="1"/>
    <col min="1845" max="1845" width="28.5703125" style="88" customWidth="1"/>
    <col min="1846" max="1846" width="10.42578125" style="88" customWidth="1"/>
    <col min="1847" max="1847" width="9" style="88" customWidth="1"/>
    <col min="1848" max="1848" width="16.7109375" style="88" customWidth="1"/>
    <col min="1849" max="1850" width="1.5703125" style="88" customWidth="1"/>
    <col min="1851" max="1851" width="9.140625" style="88"/>
    <col min="1852" max="1852" width="30.5703125" style="88" customWidth="1"/>
    <col min="1853" max="2061" width="9.140625" style="88"/>
    <col min="2062" max="2062" width="9.85546875" style="88" customWidth="1"/>
    <col min="2063" max="2063" width="6.7109375" style="88" customWidth="1"/>
    <col min="2064" max="2064" width="7.5703125" style="88" customWidth="1"/>
    <col min="2065" max="2074" width="17.28515625" style="88" customWidth="1"/>
    <col min="2075" max="2075" width="1.7109375" style="88" customWidth="1"/>
    <col min="2076" max="2076" width="2.5703125" style="88" customWidth="1"/>
    <col min="2077" max="2077" width="10.5703125" style="88" customWidth="1"/>
    <col min="2078" max="2078" width="12.28515625" style="88" customWidth="1"/>
    <col min="2079" max="2079" width="10" style="88" customWidth="1"/>
    <col min="2080" max="2080" width="9.28515625" style="88" customWidth="1"/>
    <col min="2081" max="2082" width="10.85546875" style="88" customWidth="1"/>
    <col min="2083" max="2086" width="9.7109375" style="88" customWidth="1"/>
    <col min="2087" max="2087" width="13.28515625" style="88" customWidth="1"/>
    <col min="2088" max="2088" width="18.28515625" style="88" customWidth="1"/>
    <col min="2089" max="2089" width="15.5703125" style="88" customWidth="1"/>
    <col min="2090" max="2092" width="12" style="88" customWidth="1"/>
    <col min="2093" max="2093" width="14.42578125" style="88" bestFit="1" customWidth="1"/>
    <col min="2094" max="2095" width="12" style="88" customWidth="1"/>
    <col min="2096" max="2096" width="14.42578125" style="88" bestFit="1" customWidth="1"/>
    <col min="2097" max="2097" width="15.28515625" style="88" bestFit="1" customWidth="1"/>
    <col min="2098" max="2098" width="12.85546875" style="88" customWidth="1"/>
    <col min="2099" max="2099" width="12.42578125" style="88" customWidth="1"/>
    <col min="2100" max="2100" width="30.42578125" style="88" customWidth="1"/>
    <col min="2101" max="2101" width="28.5703125" style="88" customWidth="1"/>
    <col min="2102" max="2102" width="10.42578125" style="88" customWidth="1"/>
    <col min="2103" max="2103" width="9" style="88" customWidth="1"/>
    <col min="2104" max="2104" width="16.7109375" style="88" customWidth="1"/>
    <col min="2105" max="2106" width="1.5703125" style="88" customWidth="1"/>
    <col min="2107" max="2107" width="9.140625" style="88"/>
    <col min="2108" max="2108" width="30.5703125" style="88" customWidth="1"/>
    <col min="2109" max="2317" width="9.140625" style="88"/>
    <col min="2318" max="2318" width="9.85546875" style="88" customWidth="1"/>
    <col min="2319" max="2319" width="6.7109375" style="88" customWidth="1"/>
    <col min="2320" max="2320" width="7.5703125" style="88" customWidth="1"/>
    <col min="2321" max="2330" width="17.28515625" style="88" customWidth="1"/>
    <col min="2331" max="2331" width="1.7109375" style="88" customWidth="1"/>
    <col min="2332" max="2332" width="2.5703125" style="88" customWidth="1"/>
    <col min="2333" max="2333" width="10.5703125" style="88" customWidth="1"/>
    <col min="2334" max="2334" width="12.28515625" style="88" customWidth="1"/>
    <col min="2335" max="2335" width="10" style="88" customWidth="1"/>
    <col min="2336" max="2336" width="9.28515625" style="88" customWidth="1"/>
    <col min="2337" max="2338" width="10.85546875" style="88" customWidth="1"/>
    <col min="2339" max="2342" width="9.7109375" style="88" customWidth="1"/>
    <col min="2343" max="2343" width="13.28515625" style="88" customWidth="1"/>
    <col min="2344" max="2344" width="18.28515625" style="88" customWidth="1"/>
    <col min="2345" max="2345" width="15.5703125" style="88" customWidth="1"/>
    <col min="2346" max="2348" width="12" style="88" customWidth="1"/>
    <col min="2349" max="2349" width="14.42578125" style="88" bestFit="1" customWidth="1"/>
    <col min="2350" max="2351" width="12" style="88" customWidth="1"/>
    <col min="2352" max="2352" width="14.42578125" style="88" bestFit="1" customWidth="1"/>
    <col min="2353" max="2353" width="15.28515625" style="88" bestFit="1" customWidth="1"/>
    <col min="2354" max="2354" width="12.85546875" style="88" customWidth="1"/>
    <col min="2355" max="2355" width="12.42578125" style="88" customWidth="1"/>
    <col min="2356" max="2356" width="30.42578125" style="88" customWidth="1"/>
    <col min="2357" max="2357" width="28.5703125" style="88" customWidth="1"/>
    <col min="2358" max="2358" width="10.42578125" style="88" customWidth="1"/>
    <col min="2359" max="2359" width="9" style="88" customWidth="1"/>
    <col min="2360" max="2360" width="16.7109375" style="88" customWidth="1"/>
    <col min="2361" max="2362" width="1.5703125" style="88" customWidth="1"/>
    <col min="2363" max="2363" width="9.140625" style="88"/>
    <col min="2364" max="2364" width="30.5703125" style="88" customWidth="1"/>
    <col min="2365" max="2573" width="9.140625" style="88"/>
    <col min="2574" max="2574" width="9.85546875" style="88" customWidth="1"/>
    <col min="2575" max="2575" width="6.7109375" style="88" customWidth="1"/>
    <col min="2576" max="2576" width="7.5703125" style="88" customWidth="1"/>
    <col min="2577" max="2586" width="17.28515625" style="88" customWidth="1"/>
    <col min="2587" max="2587" width="1.7109375" style="88" customWidth="1"/>
    <col min="2588" max="2588" width="2.5703125" style="88" customWidth="1"/>
    <col min="2589" max="2589" width="10.5703125" style="88" customWidth="1"/>
    <col min="2590" max="2590" width="12.28515625" style="88" customWidth="1"/>
    <col min="2591" max="2591" width="10" style="88" customWidth="1"/>
    <col min="2592" max="2592" width="9.28515625" style="88" customWidth="1"/>
    <col min="2593" max="2594" width="10.85546875" style="88" customWidth="1"/>
    <col min="2595" max="2598" width="9.7109375" style="88" customWidth="1"/>
    <col min="2599" max="2599" width="13.28515625" style="88" customWidth="1"/>
    <col min="2600" max="2600" width="18.28515625" style="88" customWidth="1"/>
    <col min="2601" max="2601" width="15.5703125" style="88" customWidth="1"/>
    <col min="2602" max="2604" width="12" style="88" customWidth="1"/>
    <col min="2605" max="2605" width="14.42578125" style="88" bestFit="1" customWidth="1"/>
    <col min="2606" max="2607" width="12" style="88" customWidth="1"/>
    <col min="2608" max="2608" width="14.42578125" style="88" bestFit="1" customWidth="1"/>
    <col min="2609" max="2609" width="15.28515625" style="88" bestFit="1" customWidth="1"/>
    <col min="2610" max="2610" width="12.85546875" style="88" customWidth="1"/>
    <col min="2611" max="2611" width="12.42578125" style="88" customWidth="1"/>
    <col min="2612" max="2612" width="30.42578125" style="88" customWidth="1"/>
    <col min="2613" max="2613" width="28.5703125" style="88" customWidth="1"/>
    <col min="2614" max="2614" width="10.42578125" style="88" customWidth="1"/>
    <col min="2615" max="2615" width="9" style="88" customWidth="1"/>
    <col min="2616" max="2616" width="16.7109375" style="88" customWidth="1"/>
    <col min="2617" max="2618" width="1.5703125" style="88" customWidth="1"/>
    <col min="2619" max="2619" width="9.140625" style="88"/>
    <col min="2620" max="2620" width="30.5703125" style="88" customWidth="1"/>
    <col min="2621" max="2829" width="9.140625" style="88"/>
    <col min="2830" max="2830" width="9.85546875" style="88" customWidth="1"/>
    <col min="2831" max="2831" width="6.7109375" style="88" customWidth="1"/>
    <col min="2832" max="2832" width="7.5703125" style="88" customWidth="1"/>
    <col min="2833" max="2842" width="17.28515625" style="88" customWidth="1"/>
    <col min="2843" max="2843" width="1.7109375" style="88" customWidth="1"/>
    <col min="2844" max="2844" width="2.5703125" style="88" customWidth="1"/>
    <col min="2845" max="2845" width="10.5703125" style="88" customWidth="1"/>
    <col min="2846" max="2846" width="12.28515625" style="88" customWidth="1"/>
    <col min="2847" max="2847" width="10" style="88" customWidth="1"/>
    <col min="2848" max="2848" width="9.28515625" style="88" customWidth="1"/>
    <col min="2849" max="2850" width="10.85546875" style="88" customWidth="1"/>
    <col min="2851" max="2854" width="9.7109375" style="88" customWidth="1"/>
    <col min="2855" max="2855" width="13.28515625" style="88" customWidth="1"/>
    <col min="2856" max="2856" width="18.28515625" style="88" customWidth="1"/>
    <col min="2857" max="2857" width="15.5703125" style="88" customWidth="1"/>
    <col min="2858" max="2860" width="12" style="88" customWidth="1"/>
    <col min="2861" max="2861" width="14.42578125" style="88" bestFit="1" customWidth="1"/>
    <col min="2862" max="2863" width="12" style="88" customWidth="1"/>
    <col min="2864" max="2864" width="14.42578125" style="88" bestFit="1" customWidth="1"/>
    <col min="2865" max="2865" width="15.28515625" style="88" bestFit="1" customWidth="1"/>
    <col min="2866" max="2866" width="12.85546875" style="88" customWidth="1"/>
    <col min="2867" max="2867" width="12.42578125" style="88" customWidth="1"/>
    <col min="2868" max="2868" width="30.42578125" style="88" customWidth="1"/>
    <col min="2869" max="2869" width="28.5703125" style="88" customWidth="1"/>
    <col min="2870" max="2870" width="10.42578125" style="88" customWidth="1"/>
    <col min="2871" max="2871" width="9" style="88" customWidth="1"/>
    <col min="2872" max="2872" width="16.7109375" style="88" customWidth="1"/>
    <col min="2873" max="2874" width="1.5703125" style="88" customWidth="1"/>
    <col min="2875" max="2875" width="9.140625" style="88"/>
    <col min="2876" max="2876" width="30.5703125" style="88" customWidth="1"/>
    <col min="2877" max="3085" width="9.140625" style="88"/>
    <col min="3086" max="3086" width="9.85546875" style="88" customWidth="1"/>
    <col min="3087" max="3087" width="6.7109375" style="88" customWidth="1"/>
    <col min="3088" max="3088" width="7.5703125" style="88" customWidth="1"/>
    <col min="3089" max="3098" width="17.28515625" style="88" customWidth="1"/>
    <col min="3099" max="3099" width="1.7109375" style="88" customWidth="1"/>
    <col min="3100" max="3100" width="2.5703125" style="88" customWidth="1"/>
    <col min="3101" max="3101" width="10.5703125" style="88" customWidth="1"/>
    <col min="3102" max="3102" width="12.28515625" style="88" customWidth="1"/>
    <col min="3103" max="3103" width="10" style="88" customWidth="1"/>
    <col min="3104" max="3104" width="9.28515625" style="88" customWidth="1"/>
    <col min="3105" max="3106" width="10.85546875" style="88" customWidth="1"/>
    <col min="3107" max="3110" width="9.7109375" style="88" customWidth="1"/>
    <col min="3111" max="3111" width="13.28515625" style="88" customWidth="1"/>
    <col min="3112" max="3112" width="18.28515625" style="88" customWidth="1"/>
    <col min="3113" max="3113" width="15.5703125" style="88" customWidth="1"/>
    <col min="3114" max="3116" width="12" style="88" customWidth="1"/>
    <col min="3117" max="3117" width="14.42578125" style="88" bestFit="1" customWidth="1"/>
    <col min="3118" max="3119" width="12" style="88" customWidth="1"/>
    <col min="3120" max="3120" width="14.42578125" style="88" bestFit="1" customWidth="1"/>
    <col min="3121" max="3121" width="15.28515625" style="88" bestFit="1" customWidth="1"/>
    <col min="3122" max="3122" width="12.85546875" style="88" customWidth="1"/>
    <col min="3123" max="3123" width="12.42578125" style="88" customWidth="1"/>
    <col min="3124" max="3124" width="30.42578125" style="88" customWidth="1"/>
    <col min="3125" max="3125" width="28.5703125" style="88" customWidth="1"/>
    <col min="3126" max="3126" width="10.42578125" style="88" customWidth="1"/>
    <col min="3127" max="3127" width="9" style="88" customWidth="1"/>
    <col min="3128" max="3128" width="16.7109375" style="88" customWidth="1"/>
    <col min="3129" max="3130" width="1.5703125" style="88" customWidth="1"/>
    <col min="3131" max="3131" width="9.140625" style="88"/>
    <col min="3132" max="3132" width="30.5703125" style="88" customWidth="1"/>
    <col min="3133" max="3341" width="9.140625" style="88"/>
    <col min="3342" max="3342" width="9.85546875" style="88" customWidth="1"/>
    <col min="3343" max="3343" width="6.7109375" style="88" customWidth="1"/>
    <col min="3344" max="3344" width="7.5703125" style="88" customWidth="1"/>
    <col min="3345" max="3354" width="17.28515625" style="88" customWidth="1"/>
    <col min="3355" max="3355" width="1.7109375" style="88" customWidth="1"/>
    <col min="3356" max="3356" width="2.5703125" style="88" customWidth="1"/>
    <col min="3357" max="3357" width="10.5703125" style="88" customWidth="1"/>
    <col min="3358" max="3358" width="12.28515625" style="88" customWidth="1"/>
    <col min="3359" max="3359" width="10" style="88" customWidth="1"/>
    <col min="3360" max="3360" width="9.28515625" style="88" customWidth="1"/>
    <col min="3361" max="3362" width="10.85546875" style="88" customWidth="1"/>
    <col min="3363" max="3366" width="9.7109375" style="88" customWidth="1"/>
    <col min="3367" max="3367" width="13.28515625" style="88" customWidth="1"/>
    <col min="3368" max="3368" width="18.28515625" style="88" customWidth="1"/>
    <col min="3369" max="3369" width="15.5703125" style="88" customWidth="1"/>
    <col min="3370" max="3372" width="12" style="88" customWidth="1"/>
    <col min="3373" max="3373" width="14.42578125" style="88" bestFit="1" customWidth="1"/>
    <col min="3374" max="3375" width="12" style="88" customWidth="1"/>
    <col min="3376" max="3376" width="14.42578125" style="88" bestFit="1" customWidth="1"/>
    <col min="3377" max="3377" width="15.28515625" style="88" bestFit="1" customWidth="1"/>
    <col min="3378" max="3378" width="12.85546875" style="88" customWidth="1"/>
    <col min="3379" max="3379" width="12.42578125" style="88" customWidth="1"/>
    <col min="3380" max="3380" width="30.42578125" style="88" customWidth="1"/>
    <col min="3381" max="3381" width="28.5703125" style="88" customWidth="1"/>
    <col min="3382" max="3382" width="10.42578125" style="88" customWidth="1"/>
    <col min="3383" max="3383" width="9" style="88" customWidth="1"/>
    <col min="3384" max="3384" width="16.7109375" style="88" customWidth="1"/>
    <col min="3385" max="3386" width="1.5703125" style="88" customWidth="1"/>
    <col min="3387" max="3387" width="9.140625" style="88"/>
    <col min="3388" max="3388" width="30.5703125" style="88" customWidth="1"/>
    <col min="3389" max="3597" width="9.140625" style="88"/>
    <col min="3598" max="3598" width="9.85546875" style="88" customWidth="1"/>
    <col min="3599" max="3599" width="6.7109375" style="88" customWidth="1"/>
    <col min="3600" max="3600" width="7.5703125" style="88" customWidth="1"/>
    <col min="3601" max="3610" width="17.28515625" style="88" customWidth="1"/>
    <col min="3611" max="3611" width="1.7109375" style="88" customWidth="1"/>
    <col min="3612" max="3612" width="2.5703125" style="88" customWidth="1"/>
    <col min="3613" max="3613" width="10.5703125" style="88" customWidth="1"/>
    <col min="3614" max="3614" width="12.28515625" style="88" customWidth="1"/>
    <col min="3615" max="3615" width="10" style="88" customWidth="1"/>
    <col min="3616" max="3616" width="9.28515625" style="88" customWidth="1"/>
    <col min="3617" max="3618" width="10.85546875" style="88" customWidth="1"/>
    <col min="3619" max="3622" width="9.7109375" style="88" customWidth="1"/>
    <col min="3623" max="3623" width="13.28515625" style="88" customWidth="1"/>
    <col min="3624" max="3624" width="18.28515625" style="88" customWidth="1"/>
    <col min="3625" max="3625" width="15.5703125" style="88" customWidth="1"/>
    <col min="3626" max="3628" width="12" style="88" customWidth="1"/>
    <col min="3629" max="3629" width="14.42578125" style="88" bestFit="1" customWidth="1"/>
    <col min="3630" max="3631" width="12" style="88" customWidth="1"/>
    <col min="3632" max="3632" width="14.42578125" style="88" bestFit="1" customWidth="1"/>
    <col min="3633" max="3633" width="15.28515625" style="88" bestFit="1" customWidth="1"/>
    <col min="3634" max="3634" width="12.85546875" style="88" customWidth="1"/>
    <col min="3635" max="3635" width="12.42578125" style="88" customWidth="1"/>
    <col min="3636" max="3636" width="30.42578125" style="88" customWidth="1"/>
    <col min="3637" max="3637" width="28.5703125" style="88" customWidth="1"/>
    <col min="3638" max="3638" width="10.42578125" style="88" customWidth="1"/>
    <col min="3639" max="3639" width="9" style="88" customWidth="1"/>
    <col min="3640" max="3640" width="16.7109375" style="88" customWidth="1"/>
    <col min="3641" max="3642" width="1.5703125" style="88" customWidth="1"/>
    <col min="3643" max="3643" width="9.140625" style="88"/>
    <col min="3644" max="3644" width="30.5703125" style="88" customWidth="1"/>
    <col min="3645" max="3853" width="9.140625" style="88"/>
    <col min="3854" max="3854" width="9.85546875" style="88" customWidth="1"/>
    <col min="3855" max="3855" width="6.7109375" style="88" customWidth="1"/>
    <col min="3856" max="3856" width="7.5703125" style="88" customWidth="1"/>
    <col min="3857" max="3866" width="17.28515625" style="88" customWidth="1"/>
    <col min="3867" max="3867" width="1.7109375" style="88" customWidth="1"/>
    <col min="3868" max="3868" width="2.5703125" style="88" customWidth="1"/>
    <col min="3869" max="3869" width="10.5703125" style="88" customWidth="1"/>
    <col min="3870" max="3870" width="12.28515625" style="88" customWidth="1"/>
    <col min="3871" max="3871" width="10" style="88" customWidth="1"/>
    <col min="3872" max="3872" width="9.28515625" style="88" customWidth="1"/>
    <col min="3873" max="3874" width="10.85546875" style="88" customWidth="1"/>
    <col min="3875" max="3878" width="9.7109375" style="88" customWidth="1"/>
    <col min="3879" max="3879" width="13.28515625" style="88" customWidth="1"/>
    <col min="3880" max="3880" width="18.28515625" style="88" customWidth="1"/>
    <col min="3881" max="3881" width="15.5703125" style="88" customWidth="1"/>
    <col min="3882" max="3884" width="12" style="88" customWidth="1"/>
    <col min="3885" max="3885" width="14.42578125" style="88" bestFit="1" customWidth="1"/>
    <col min="3886" max="3887" width="12" style="88" customWidth="1"/>
    <col min="3888" max="3888" width="14.42578125" style="88" bestFit="1" customWidth="1"/>
    <col min="3889" max="3889" width="15.28515625" style="88" bestFit="1" customWidth="1"/>
    <col min="3890" max="3890" width="12.85546875" style="88" customWidth="1"/>
    <col min="3891" max="3891" width="12.42578125" style="88" customWidth="1"/>
    <col min="3892" max="3892" width="30.42578125" style="88" customWidth="1"/>
    <col min="3893" max="3893" width="28.5703125" style="88" customWidth="1"/>
    <col min="3894" max="3894" width="10.42578125" style="88" customWidth="1"/>
    <col min="3895" max="3895" width="9" style="88" customWidth="1"/>
    <col min="3896" max="3896" width="16.7109375" style="88" customWidth="1"/>
    <col min="3897" max="3898" width="1.5703125" style="88" customWidth="1"/>
    <col min="3899" max="3899" width="9.140625" style="88"/>
    <col min="3900" max="3900" width="30.5703125" style="88" customWidth="1"/>
    <col min="3901" max="4109" width="9.140625" style="88"/>
    <col min="4110" max="4110" width="9.85546875" style="88" customWidth="1"/>
    <col min="4111" max="4111" width="6.7109375" style="88" customWidth="1"/>
    <col min="4112" max="4112" width="7.5703125" style="88" customWidth="1"/>
    <col min="4113" max="4122" width="17.28515625" style="88" customWidth="1"/>
    <col min="4123" max="4123" width="1.7109375" style="88" customWidth="1"/>
    <col min="4124" max="4124" width="2.5703125" style="88" customWidth="1"/>
    <col min="4125" max="4125" width="10.5703125" style="88" customWidth="1"/>
    <col min="4126" max="4126" width="12.28515625" style="88" customWidth="1"/>
    <col min="4127" max="4127" width="10" style="88" customWidth="1"/>
    <col min="4128" max="4128" width="9.28515625" style="88" customWidth="1"/>
    <col min="4129" max="4130" width="10.85546875" style="88" customWidth="1"/>
    <col min="4131" max="4134" width="9.7109375" style="88" customWidth="1"/>
    <col min="4135" max="4135" width="13.28515625" style="88" customWidth="1"/>
    <col min="4136" max="4136" width="18.28515625" style="88" customWidth="1"/>
    <col min="4137" max="4137" width="15.5703125" style="88" customWidth="1"/>
    <col min="4138" max="4140" width="12" style="88" customWidth="1"/>
    <col min="4141" max="4141" width="14.42578125" style="88" bestFit="1" customWidth="1"/>
    <col min="4142" max="4143" width="12" style="88" customWidth="1"/>
    <col min="4144" max="4144" width="14.42578125" style="88" bestFit="1" customWidth="1"/>
    <col min="4145" max="4145" width="15.28515625" style="88" bestFit="1" customWidth="1"/>
    <col min="4146" max="4146" width="12.85546875" style="88" customWidth="1"/>
    <col min="4147" max="4147" width="12.42578125" style="88" customWidth="1"/>
    <col min="4148" max="4148" width="30.42578125" style="88" customWidth="1"/>
    <col min="4149" max="4149" width="28.5703125" style="88" customWidth="1"/>
    <col min="4150" max="4150" width="10.42578125" style="88" customWidth="1"/>
    <col min="4151" max="4151" width="9" style="88" customWidth="1"/>
    <col min="4152" max="4152" width="16.7109375" style="88" customWidth="1"/>
    <col min="4153" max="4154" width="1.5703125" style="88" customWidth="1"/>
    <col min="4155" max="4155" width="9.140625" style="88"/>
    <col min="4156" max="4156" width="30.5703125" style="88" customWidth="1"/>
    <col min="4157" max="4365" width="9.140625" style="88"/>
    <col min="4366" max="4366" width="9.85546875" style="88" customWidth="1"/>
    <col min="4367" max="4367" width="6.7109375" style="88" customWidth="1"/>
    <col min="4368" max="4368" width="7.5703125" style="88" customWidth="1"/>
    <col min="4369" max="4378" width="17.28515625" style="88" customWidth="1"/>
    <col min="4379" max="4379" width="1.7109375" style="88" customWidth="1"/>
    <col min="4380" max="4380" width="2.5703125" style="88" customWidth="1"/>
    <col min="4381" max="4381" width="10.5703125" style="88" customWidth="1"/>
    <col min="4382" max="4382" width="12.28515625" style="88" customWidth="1"/>
    <col min="4383" max="4383" width="10" style="88" customWidth="1"/>
    <col min="4384" max="4384" width="9.28515625" style="88" customWidth="1"/>
    <col min="4385" max="4386" width="10.85546875" style="88" customWidth="1"/>
    <col min="4387" max="4390" width="9.7109375" style="88" customWidth="1"/>
    <col min="4391" max="4391" width="13.28515625" style="88" customWidth="1"/>
    <col min="4392" max="4392" width="18.28515625" style="88" customWidth="1"/>
    <col min="4393" max="4393" width="15.5703125" style="88" customWidth="1"/>
    <col min="4394" max="4396" width="12" style="88" customWidth="1"/>
    <col min="4397" max="4397" width="14.42578125" style="88" bestFit="1" customWidth="1"/>
    <col min="4398" max="4399" width="12" style="88" customWidth="1"/>
    <col min="4400" max="4400" width="14.42578125" style="88" bestFit="1" customWidth="1"/>
    <col min="4401" max="4401" width="15.28515625" style="88" bestFit="1" customWidth="1"/>
    <col min="4402" max="4402" width="12.85546875" style="88" customWidth="1"/>
    <col min="4403" max="4403" width="12.42578125" style="88" customWidth="1"/>
    <col min="4404" max="4404" width="30.42578125" style="88" customWidth="1"/>
    <col min="4405" max="4405" width="28.5703125" style="88" customWidth="1"/>
    <col min="4406" max="4406" width="10.42578125" style="88" customWidth="1"/>
    <col min="4407" max="4407" width="9" style="88" customWidth="1"/>
    <col min="4408" max="4408" width="16.7109375" style="88" customWidth="1"/>
    <col min="4409" max="4410" width="1.5703125" style="88" customWidth="1"/>
    <col min="4411" max="4411" width="9.140625" style="88"/>
    <col min="4412" max="4412" width="30.5703125" style="88" customWidth="1"/>
    <col min="4413" max="4621" width="9.140625" style="88"/>
    <col min="4622" max="4622" width="9.85546875" style="88" customWidth="1"/>
    <col min="4623" max="4623" width="6.7109375" style="88" customWidth="1"/>
    <col min="4624" max="4624" width="7.5703125" style="88" customWidth="1"/>
    <col min="4625" max="4634" width="17.28515625" style="88" customWidth="1"/>
    <col min="4635" max="4635" width="1.7109375" style="88" customWidth="1"/>
    <col min="4636" max="4636" width="2.5703125" style="88" customWidth="1"/>
    <col min="4637" max="4637" width="10.5703125" style="88" customWidth="1"/>
    <col min="4638" max="4638" width="12.28515625" style="88" customWidth="1"/>
    <col min="4639" max="4639" width="10" style="88" customWidth="1"/>
    <col min="4640" max="4640" width="9.28515625" style="88" customWidth="1"/>
    <col min="4641" max="4642" width="10.85546875" style="88" customWidth="1"/>
    <col min="4643" max="4646" width="9.7109375" style="88" customWidth="1"/>
    <col min="4647" max="4647" width="13.28515625" style="88" customWidth="1"/>
    <col min="4648" max="4648" width="18.28515625" style="88" customWidth="1"/>
    <col min="4649" max="4649" width="15.5703125" style="88" customWidth="1"/>
    <col min="4650" max="4652" width="12" style="88" customWidth="1"/>
    <col min="4653" max="4653" width="14.42578125" style="88" bestFit="1" customWidth="1"/>
    <col min="4654" max="4655" width="12" style="88" customWidth="1"/>
    <col min="4656" max="4656" width="14.42578125" style="88" bestFit="1" customWidth="1"/>
    <col min="4657" max="4657" width="15.28515625" style="88" bestFit="1" customWidth="1"/>
    <col min="4658" max="4658" width="12.85546875" style="88" customWidth="1"/>
    <col min="4659" max="4659" width="12.42578125" style="88" customWidth="1"/>
    <col min="4660" max="4660" width="30.42578125" style="88" customWidth="1"/>
    <col min="4661" max="4661" width="28.5703125" style="88" customWidth="1"/>
    <col min="4662" max="4662" width="10.42578125" style="88" customWidth="1"/>
    <col min="4663" max="4663" width="9" style="88" customWidth="1"/>
    <col min="4664" max="4664" width="16.7109375" style="88" customWidth="1"/>
    <col min="4665" max="4666" width="1.5703125" style="88" customWidth="1"/>
    <col min="4667" max="4667" width="9.140625" style="88"/>
    <col min="4668" max="4668" width="30.5703125" style="88" customWidth="1"/>
    <col min="4669" max="4877" width="9.140625" style="88"/>
    <col min="4878" max="4878" width="9.85546875" style="88" customWidth="1"/>
    <col min="4879" max="4879" width="6.7109375" style="88" customWidth="1"/>
    <col min="4880" max="4880" width="7.5703125" style="88" customWidth="1"/>
    <col min="4881" max="4890" width="17.28515625" style="88" customWidth="1"/>
    <col min="4891" max="4891" width="1.7109375" style="88" customWidth="1"/>
    <col min="4892" max="4892" width="2.5703125" style="88" customWidth="1"/>
    <col min="4893" max="4893" width="10.5703125" style="88" customWidth="1"/>
    <col min="4894" max="4894" width="12.28515625" style="88" customWidth="1"/>
    <col min="4895" max="4895" width="10" style="88" customWidth="1"/>
    <col min="4896" max="4896" width="9.28515625" style="88" customWidth="1"/>
    <col min="4897" max="4898" width="10.85546875" style="88" customWidth="1"/>
    <col min="4899" max="4902" width="9.7109375" style="88" customWidth="1"/>
    <col min="4903" max="4903" width="13.28515625" style="88" customWidth="1"/>
    <col min="4904" max="4904" width="18.28515625" style="88" customWidth="1"/>
    <col min="4905" max="4905" width="15.5703125" style="88" customWidth="1"/>
    <col min="4906" max="4908" width="12" style="88" customWidth="1"/>
    <col min="4909" max="4909" width="14.42578125" style="88" bestFit="1" customWidth="1"/>
    <col min="4910" max="4911" width="12" style="88" customWidth="1"/>
    <col min="4912" max="4912" width="14.42578125" style="88" bestFit="1" customWidth="1"/>
    <col min="4913" max="4913" width="15.28515625" style="88" bestFit="1" customWidth="1"/>
    <col min="4914" max="4914" width="12.85546875" style="88" customWidth="1"/>
    <col min="4915" max="4915" width="12.42578125" style="88" customWidth="1"/>
    <col min="4916" max="4916" width="30.42578125" style="88" customWidth="1"/>
    <col min="4917" max="4917" width="28.5703125" style="88" customWidth="1"/>
    <col min="4918" max="4918" width="10.42578125" style="88" customWidth="1"/>
    <col min="4919" max="4919" width="9" style="88" customWidth="1"/>
    <col min="4920" max="4920" width="16.7109375" style="88" customWidth="1"/>
    <col min="4921" max="4922" width="1.5703125" style="88" customWidth="1"/>
    <col min="4923" max="4923" width="9.140625" style="88"/>
    <col min="4924" max="4924" width="30.5703125" style="88" customWidth="1"/>
    <col min="4925" max="5133" width="9.140625" style="88"/>
    <col min="5134" max="5134" width="9.85546875" style="88" customWidth="1"/>
    <col min="5135" max="5135" width="6.7109375" style="88" customWidth="1"/>
    <col min="5136" max="5136" width="7.5703125" style="88" customWidth="1"/>
    <col min="5137" max="5146" width="17.28515625" style="88" customWidth="1"/>
    <col min="5147" max="5147" width="1.7109375" style="88" customWidth="1"/>
    <col min="5148" max="5148" width="2.5703125" style="88" customWidth="1"/>
    <col min="5149" max="5149" width="10.5703125" style="88" customWidth="1"/>
    <col min="5150" max="5150" width="12.28515625" style="88" customWidth="1"/>
    <col min="5151" max="5151" width="10" style="88" customWidth="1"/>
    <col min="5152" max="5152" width="9.28515625" style="88" customWidth="1"/>
    <col min="5153" max="5154" width="10.85546875" style="88" customWidth="1"/>
    <col min="5155" max="5158" width="9.7109375" style="88" customWidth="1"/>
    <col min="5159" max="5159" width="13.28515625" style="88" customWidth="1"/>
    <col min="5160" max="5160" width="18.28515625" style="88" customWidth="1"/>
    <col min="5161" max="5161" width="15.5703125" style="88" customWidth="1"/>
    <col min="5162" max="5164" width="12" style="88" customWidth="1"/>
    <col min="5165" max="5165" width="14.42578125" style="88" bestFit="1" customWidth="1"/>
    <col min="5166" max="5167" width="12" style="88" customWidth="1"/>
    <col min="5168" max="5168" width="14.42578125" style="88" bestFit="1" customWidth="1"/>
    <col min="5169" max="5169" width="15.28515625" style="88" bestFit="1" customWidth="1"/>
    <col min="5170" max="5170" width="12.85546875" style="88" customWidth="1"/>
    <col min="5171" max="5171" width="12.42578125" style="88" customWidth="1"/>
    <col min="5172" max="5172" width="30.42578125" style="88" customWidth="1"/>
    <col min="5173" max="5173" width="28.5703125" style="88" customWidth="1"/>
    <col min="5174" max="5174" width="10.42578125" style="88" customWidth="1"/>
    <col min="5175" max="5175" width="9" style="88" customWidth="1"/>
    <col min="5176" max="5176" width="16.7109375" style="88" customWidth="1"/>
    <col min="5177" max="5178" width="1.5703125" style="88" customWidth="1"/>
    <col min="5179" max="5179" width="9.140625" style="88"/>
    <col min="5180" max="5180" width="30.5703125" style="88" customWidth="1"/>
    <col min="5181" max="5389" width="9.140625" style="88"/>
    <col min="5390" max="5390" width="9.85546875" style="88" customWidth="1"/>
    <col min="5391" max="5391" width="6.7109375" style="88" customWidth="1"/>
    <col min="5392" max="5392" width="7.5703125" style="88" customWidth="1"/>
    <col min="5393" max="5402" width="17.28515625" style="88" customWidth="1"/>
    <col min="5403" max="5403" width="1.7109375" style="88" customWidth="1"/>
    <col min="5404" max="5404" width="2.5703125" style="88" customWidth="1"/>
    <col min="5405" max="5405" width="10.5703125" style="88" customWidth="1"/>
    <col min="5406" max="5406" width="12.28515625" style="88" customWidth="1"/>
    <col min="5407" max="5407" width="10" style="88" customWidth="1"/>
    <col min="5408" max="5408" width="9.28515625" style="88" customWidth="1"/>
    <col min="5409" max="5410" width="10.85546875" style="88" customWidth="1"/>
    <col min="5411" max="5414" width="9.7109375" style="88" customWidth="1"/>
    <col min="5415" max="5415" width="13.28515625" style="88" customWidth="1"/>
    <col min="5416" max="5416" width="18.28515625" style="88" customWidth="1"/>
    <col min="5417" max="5417" width="15.5703125" style="88" customWidth="1"/>
    <col min="5418" max="5420" width="12" style="88" customWidth="1"/>
    <col min="5421" max="5421" width="14.42578125" style="88" bestFit="1" customWidth="1"/>
    <col min="5422" max="5423" width="12" style="88" customWidth="1"/>
    <col min="5424" max="5424" width="14.42578125" style="88" bestFit="1" customWidth="1"/>
    <col min="5425" max="5425" width="15.28515625" style="88" bestFit="1" customWidth="1"/>
    <col min="5426" max="5426" width="12.85546875" style="88" customWidth="1"/>
    <col min="5427" max="5427" width="12.42578125" style="88" customWidth="1"/>
    <col min="5428" max="5428" width="30.42578125" style="88" customWidth="1"/>
    <col min="5429" max="5429" width="28.5703125" style="88" customWidth="1"/>
    <col min="5430" max="5430" width="10.42578125" style="88" customWidth="1"/>
    <col min="5431" max="5431" width="9" style="88" customWidth="1"/>
    <col min="5432" max="5432" width="16.7109375" style="88" customWidth="1"/>
    <col min="5433" max="5434" width="1.5703125" style="88" customWidth="1"/>
    <col min="5435" max="5435" width="9.140625" style="88"/>
    <col min="5436" max="5436" width="30.5703125" style="88" customWidth="1"/>
    <col min="5437" max="5645" width="9.140625" style="88"/>
    <col min="5646" max="5646" width="9.85546875" style="88" customWidth="1"/>
    <col min="5647" max="5647" width="6.7109375" style="88" customWidth="1"/>
    <col min="5648" max="5648" width="7.5703125" style="88" customWidth="1"/>
    <col min="5649" max="5658" width="17.28515625" style="88" customWidth="1"/>
    <col min="5659" max="5659" width="1.7109375" style="88" customWidth="1"/>
    <col min="5660" max="5660" width="2.5703125" style="88" customWidth="1"/>
    <col min="5661" max="5661" width="10.5703125" style="88" customWidth="1"/>
    <col min="5662" max="5662" width="12.28515625" style="88" customWidth="1"/>
    <col min="5663" max="5663" width="10" style="88" customWidth="1"/>
    <col min="5664" max="5664" width="9.28515625" style="88" customWidth="1"/>
    <col min="5665" max="5666" width="10.85546875" style="88" customWidth="1"/>
    <col min="5667" max="5670" width="9.7109375" style="88" customWidth="1"/>
    <col min="5671" max="5671" width="13.28515625" style="88" customWidth="1"/>
    <col min="5672" max="5672" width="18.28515625" style="88" customWidth="1"/>
    <col min="5673" max="5673" width="15.5703125" style="88" customWidth="1"/>
    <col min="5674" max="5676" width="12" style="88" customWidth="1"/>
    <col min="5677" max="5677" width="14.42578125" style="88" bestFit="1" customWidth="1"/>
    <col min="5678" max="5679" width="12" style="88" customWidth="1"/>
    <col min="5680" max="5680" width="14.42578125" style="88" bestFit="1" customWidth="1"/>
    <col min="5681" max="5681" width="15.28515625" style="88" bestFit="1" customWidth="1"/>
    <col min="5682" max="5682" width="12.85546875" style="88" customWidth="1"/>
    <col min="5683" max="5683" width="12.42578125" style="88" customWidth="1"/>
    <col min="5684" max="5684" width="30.42578125" style="88" customWidth="1"/>
    <col min="5685" max="5685" width="28.5703125" style="88" customWidth="1"/>
    <col min="5686" max="5686" width="10.42578125" style="88" customWidth="1"/>
    <col min="5687" max="5687" width="9" style="88" customWidth="1"/>
    <col min="5688" max="5688" width="16.7109375" style="88" customWidth="1"/>
    <col min="5689" max="5690" width="1.5703125" style="88" customWidth="1"/>
    <col min="5691" max="5691" width="9.140625" style="88"/>
    <col min="5692" max="5692" width="30.5703125" style="88" customWidth="1"/>
    <col min="5693" max="5901" width="9.140625" style="88"/>
    <col min="5902" max="5902" width="9.85546875" style="88" customWidth="1"/>
    <col min="5903" max="5903" width="6.7109375" style="88" customWidth="1"/>
    <col min="5904" max="5904" width="7.5703125" style="88" customWidth="1"/>
    <col min="5905" max="5914" width="17.28515625" style="88" customWidth="1"/>
    <col min="5915" max="5915" width="1.7109375" style="88" customWidth="1"/>
    <col min="5916" max="5916" width="2.5703125" style="88" customWidth="1"/>
    <col min="5917" max="5917" width="10.5703125" style="88" customWidth="1"/>
    <col min="5918" max="5918" width="12.28515625" style="88" customWidth="1"/>
    <col min="5919" max="5919" width="10" style="88" customWidth="1"/>
    <col min="5920" max="5920" width="9.28515625" style="88" customWidth="1"/>
    <col min="5921" max="5922" width="10.85546875" style="88" customWidth="1"/>
    <col min="5923" max="5926" width="9.7109375" style="88" customWidth="1"/>
    <col min="5927" max="5927" width="13.28515625" style="88" customWidth="1"/>
    <col min="5928" max="5928" width="18.28515625" style="88" customWidth="1"/>
    <col min="5929" max="5929" width="15.5703125" style="88" customWidth="1"/>
    <col min="5930" max="5932" width="12" style="88" customWidth="1"/>
    <col min="5933" max="5933" width="14.42578125" style="88" bestFit="1" customWidth="1"/>
    <col min="5934" max="5935" width="12" style="88" customWidth="1"/>
    <col min="5936" max="5936" width="14.42578125" style="88" bestFit="1" customWidth="1"/>
    <col min="5937" max="5937" width="15.28515625" style="88" bestFit="1" customWidth="1"/>
    <col min="5938" max="5938" width="12.85546875" style="88" customWidth="1"/>
    <col min="5939" max="5939" width="12.42578125" style="88" customWidth="1"/>
    <col min="5940" max="5940" width="30.42578125" style="88" customWidth="1"/>
    <col min="5941" max="5941" width="28.5703125" style="88" customWidth="1"/>
    <col min="5942" max="5942" width="10.42578125" style="88" customWidth="1"/>
    <col min="5943" max="5943" width="9" style="88" customWidth="1"/>
    <col min="5944" max="5944" width="16.7109375" style="88" customWidth="1"/>
    <col min="5945" max="5946" width="1.5703125" style="88" customWidth="1"/>
    <col min="5947" max="5947" width="9.140625" style="88"/>
    <col min="5948" max="5948" width="30.5703125" style="88" customWidth="1"/>
    <col min="5949" max="6157" width="9.140625" style="88"/>
    <col min="6158" max="6158" width="9.85546875" style="88" customWidth="1"/>
    <col min="6159" max="6159" width="6.7109375" style="88" customWidth="1"/>
    <col min="6160" max="6160" width="7.5703125" style="88" customWidth="1"/>
    <col min="6161" max="6170" width="17.28515625" style="88" customWidth="1"/>
    <col min="6171" max="6171" width="1.7109375" style="88" customWidth="1"/>
    <col min="6172" max="6172" width="2.5703125" style="88" customWidth="1"/>
    <col min="6173" max="6173" width="10.5703125" style="88" customWidth="1"/>
    <col min="6174" max="6174" width="12.28515625" style="88" customWidth="1"/>
    <col min="6175" max="6175" width="10" style="88" customWidth="1"/>
    <col min="6176" max="6176" width="9.28515625" style="88" customWidth="1"/>
    <col min="6177" max="6178" width="10.85546875" style="88" customWidth="1"/>
    <col min="6179" max="6182" width="9.7109375" style="88" customWidth="1"/>
    <col min="6183" max="6183" width="13.28515625" style="88" customWidth="1"/>
    <col min="6184" max="6184" width="18.28515625" style="88" customWidth="1"/>
    <col min="6185" max="6185" width="15.5703125" style="88" customWidth="1"/>
    <col min="6186" max="6188" width="12" style="88" customWidth="1"/>
    <col min="6189" max="6189" width="14.42578125" style="88" bestFit="1" customWidth="1"/>
    <col min="6190" max="6191" width="12" style="88" customWidth="1"/>
    <col min="6192" max="6192" width="14.42578125" style="88" bestFit="1" customWidth="1"/>
    <col min="6193" max="6193" width="15.28515625" style="88" bestFit="1" customWidth="1"/>
    <col min="6194" max="6194" width="12.85546875" style="88" customWidth="1"/>
    <col min="6195" max="6195" width="12.42578125" style="88" customWidth="1"/>
    <col min="6196" max="6196" width="30.42578125" style="88" customWidth="1"/>
    <col min="6197" max="6197" width="28.5703125" style="88" customWidth="1"/>
    <col min="6198" max="6198" width="10.42578125" style="88" customWidth="1"/>
    <col min="6199" max="6199" width="9" style="88" customWidth="1"/>
    <col min="6200" max="6200" width="16.7109375" style="88" customWidth="1"/>
    <col min="6201" max="6202" width="1.5703125" style="88" customWidth="1"/>
    <col min="6203" max="6203" width="9.140625" style="88"/>
    <col min="6204" max="6204" width="30.5703125" style="88" customWidth="1"/>
    <col min="6205" max="6413" width="9.140625" style="88"/>
    <col min="6414" max="6414" width="9.85546875" style="88" customWidth="1"/>
    <col min="6415" max="6415" width="6.7109375" style="88" customWidth="1"/>
    <col min="6416" max="6416" width="7.5703125" style="88" customWidth="1"/>
    <col min="6417" max="6426" width="17.28515625" style="88" customWidth="1"/>
    <col min="6427" max="6427" width="1.7109375" style="88" customWidth="1"/>
    <col min="6428" max="6428" width="2.5703125" style="88" customWidth="1"/>
    <col min="6429" max="6429" width="10.5703125" style="88" customWidth="1"/>
    <col min="6430" max="6430" width="12.28515625" style="88" customWidth="1"/>
    <col min="6431" max="6431" width="10" style="88" customWidth="1"/>
    <col min="6432" max="6432" width="9.28515625" style="88" customWidth="1"/>
    <col min="6433" max="6434" width="10.85546875" style="88" customWidth="1"/>
    <col min="6435" max="6438" width="9.7109375" style="88" customWidth="1"/>
    <col min="6439" max="6439" width="13.28515625" style="88" customWidth="1"/>
    <col min="6440" max="6440" width="18.28515625" style="88" customWidth="1"/>
    <col min="6441" max="6441" width="15.5703125" style="88" customWidth="1"/>
    <col min="6442" max="6444" width="12" style="88" customWidth="1"/>
    <col min="6445" max="6445" width="14.42578125" style="88" bestFit="1" customWidth="1"/>
    <col min="6446" max="6447" width="12" style="88" customWidth="1"/>
    <col min="6448" max="6448" width="14.42578125" style="88" bestFit="1" customWidth="1"/>
    <col min="6449" max="6449" width="15.28515625" style="88" bestFit="1" customWidth="1"/>
    <col min="6450" max="6450" width="12.85546875" style="88" customWidth="1"/>
    <col min="6451" max="6451" width="12.42578125" style="88" customWidth="1"/>
    <col min="6452" max="6452" width="30.42578125" style="88" customWidth="1"/>
    <col min="6453" max="6453" width="28.5703125" style="88" customWidth="1"/>
    <col min="6454" max="6454" width="10.42578125" style="88" customWidth="1"/>
    <col min="6455" max="6455" width="9" style="88" customWidth="1"/>
    <col min="6456" max="6456" width="16.7109375" style="88" customWidth="1"/>
    <col min="6457" max="6458" width="1.5703125" style="88" customWidth="1"/>
    <col min="6459" max="6459" width="9.140625" style="88"/>
    <col min="6460" max="6460" width="30.5703125" style="88" customWidth="1"/>
    <col min="6461" max="6669" width="9.140625" style="88"/>
    <col min="6670" max="6670" width="9.85546875" style="88" customWidth="1"/>
    <col min="6671" max="6671" width="6.7109375" style="88" customWidth="1"/>
    <col min="6672" max="6672" width="7.5703125" style="88" customWidth="1"/>
    <col min="6673" max="6682" width="17.28515625" style="88" customWidth="1"/>
    <col min="6683" max="6683" width="1.7109375" style="88" customWidth="1"/>
    <col min="6684" max="6684" width="2.5703125" style="88" customWidth="1"/>
    <col min="6685" max="6685" width="10.5703125" style="88" customWidth="1"/>
    <col min="6686" max="6686" width="12.28515625" style="88" customWidth="1"/>
    <col min="6687" max="6687" width="10" style="88" customWidth="1"/>
    <col min="6688" max="6688" width="9.28515625" style="88" customWidth="1"/>
    <col min="6689" max="6690" width="10.85546875" style="88" customWidth="1"/>
    <col min="6691" max="6694" width="9.7109375" style="88" customWidth="1"/>
    <col min="6695" max="6695" width="13.28515625" style="88" customWidth="1"/>
    <col min="6696" max="6696" width="18.28515625" style="88" customWidth="1"/>
    <col min="6697" max="6697" width="15.5703125" style="88" customWidth="1"/>
    <col min="6698" max="6700" width="12" style="88" customWidth="1"/>
    <col min="6701" max="6701" width="14.42578125" style="88" bestFit="1" customWidth="1"/>
    <col min="6702" max="6703" width="12" style="88" customWidth="1"/>
    <col min="6704" max="6704" width="14.42578125" style="88" bestFit="1" customWidth="1"/>
    <col min="6705" max="6705" width="15.28515625" style="88" bestFit="1" customWidth="1"/>
    <col min="6706" max="6706" width="12.85546875" style="88" customWidth="1"/>
    <col min="6707" max="6707" width="12.42578125" style="88" customWidth="1"/>
    <col min="6708" max="6708" width="30.42578125" style="88" customWidth="1"/>
    <col min="6709" max="6709" width="28.5703125" style="88" customWidth="1"/>
    <col min="6710" max="6710" width="10.42578125" style="88" customWidth="1"/>
    <col min="6711" max="6711" width="9" style="88" customWidth="1"/>
    <col min="6712" max="6712" width="16.7109375" style="88" customWidth="1"/>
    <col min="6713" max="6714" width="1.5703125" style="88" customWidth="1"/>
    <col min="6715" max="6715" width="9.140625" style="88"/>
    <col min="6716" max="6716" width="30.5703125" style="88" customWidth="1"/>
    <col min="6717" max="6925" width="9.140625" style="88"/>
    <col min="6926" max="6926" width="9.85546875" style="88" customWidth="1"/>
    <col min="6927" max="6927" width="6.7109375" style="88" customWidth="1"/>
    <col min="6928" max="6928" width="7.5703125" style="88" customWidth="1"/>
    <col min="6929" max="6938" width="17.28515625" style="88" customWidth="1"/>
    <col min="6939" max="6939" width="1.7109375" style="88" customWidth="1"/>
    <col min="6940" max="6940" width="2.5703125" style="88" customWidth="1"/>
    <col min="6941" max="6941" width="10.5703125" style="88" customWidth="1"/>
    <col min="6942" max="6942" width="12.28515625" style="88" customWidth="1"/>
    <col min="6943" max="6943" width="10" style="88" customWidth="1"/>
    <col min="6944" max="6944" width="9.28515625" style="88" customWidth="1"/>
    <col min="6945" max="6946" width="10.85546875" style="88" customWidth="1"/>
    <col min="6947" max="6950" width="9.7109375" style="88" customWidth="1"/>
    <col min="6951" max="6951" width="13.28515625" style="88" customWidth="1"/>
    <col min="6952" max="6952" width="18.28515625" style="88" customWidth="1"/>
    <col min="6953" max="6953" width="15.5703125" style="88" customWidth="1"/>
    <col min="6954" max="6956" width="12" style="88" customWidth="1"/>
    <col min="6957" max="6957" width="14.42578125" style="88" bestFit="1" customWidth="1"/>
    <col min="6958" max="6959" width="12" style="88" customWidth="1"/>
    <col min="6960" max="6960" width="14.42578125" style="88" bestFit="1" customWidth="1"/>
    <col min="6961" max="6961" width="15.28515625" style="88" bestFit="1" customWidth="1"/>
    <col min="6962" max="6962" width="12.85546875" style="88" customWidth="1"/>
    <col min="6963" max="6963" width="12.42578125" style="88" customWidth="1"/>
    <col min="6964" max="6964" width="30.42578125" style="88" customWidth="1"/>
    <col min="6965" max="6965" width="28.5703125" style="88" customWidth="1"/>
    <col min="6966" max="6966" width="10.42578125" style="88" customWidth="1"/>
    <col min="6967" max="6967" width="9" style="88" customWidth="1"/>
    <col min="6968" max="6968" width="16.7109375" style="88" customWidth="1"/>
    <col min="6969" max="6970" width="1.5703125" style="88" customWidth="1"/>
    <col min="6971" max="6971" width="9.140625" style="88"/>
    <col min="6972" max="6972" width="30.5703125" style="88" customWidth="1"/>
    <col min="6973" max="7181" width="9.140625" style="88"/>
    <col min="7182" max="7182" width="9.85546875" style="88" customWidth="1"/>
    <col min="7183" max="7183" width="6.7109375" style="88" customWidth="1"/>
    <col min="7184" max="7184" width="7.5703125" style="88" customWidth="1"/>
    <col min="7185" max="7194" width="17.28515625" style="88" customWidth="1"/>
    <col min="7195" max="7195" width="1.7109375" style="88" customWidth="1"/>
    <col min="7196" max="7196" width="2.5703125" style="88" customWidth="1"/>
    <col min="7197" max="7197" width="10.5703125" style="88" customWidth="1"/>
    <col min="7198" max="7198" width="12.28515625" style="88" customWidth="1"/>
    <col min="7199" max="7199" width="10" style="88" customWidth="1"/>
    <col min="7200" max="7200" width="9.28515625" style="88" customWidth="1"/>
    <col min="7201" max="7202" width="10.85546875" style="88" customWidth="1"/>
    <col min="7203" max="7206" width="9.7109375" style="88" customWidth="1"/>
    <col min="7207" max="7207" width="13.28515625" style="88" customWidth="1"/>
    <col min="7208" max="7208" width="18.28515625" style="88" customWidth="1"/>
    <col min="7209" max="7209" width="15.5703125" style="88" customWidth="1"/>
    <col min="7210" max="7212" width="12" style="88" customWidth="1"/>
    <col min="7213" max="7213" width="14.42578125" style="88" bestFit="1" customWidth="1"/>
    <col min="7214" max="7215" width="12" style="88" customWidth="1"/>
    <col min="7216" max="7216" width="14.42578125" style="88" bestFit="1" customWidth="1"/>
    <col min="7217" max="7217" width="15.28515625" style="88" bestFit="1" customWidth="1"/>
    <col min="7218" max="7218" width="12.85546875" style="88" customWidth="1"/>
    <col min="7219" max="7219" width="12.42578125" style="88" customWidth="1"/>
    <col min="7220" max="7220" width="30.42578125" style="88" customWidth="1"/>
    <col min="7221" max="7221" width="28.5703125" style="88" customWidth="1"/>
    <col min="7222" max="7222" width="10.42578125" style="88" customWidth="1"/>
    <col min="7223" max="7223" width="9" style="88" customWidth="1"/>
    <col min="7224" max="7224" width="16.7109375" style="88" customWidth="1"/>
    <col min="7225" max="7226" width="1.5703125" style="88" customWidth="1"/>
    <col min="7227" max="7227" width="9.140625" style="88"/>
    <col min="7228" max="7228" width="30.5703125" style="88" customWidth="1"/>
    <col min="7229" max="7437" width="9.140625" style="88"/>
    <col min="7438" max="7438" width="9.85546875" style="88" customWidth="1"/>
    <col min="7439" max="7439" width="6.7109375" style="88" customWidth="1"/>
    <col min="7440" max="7440" width="7.5703125" style="88" customWidth="1"/>
    <col min="7441" max="7450" width="17.28515625" style="88" customWidth="1"/>
    <col min="7451" max="7451" width="1.7109375" style="88" customWidth="1"/>
    <col min="7452" max="7452" width="2.5703125" style="88" customWidth="1"/>
    <col min="7453" max="7453" width="10.5703125" style="88" customWidth="1"/>
    <col min="7454" max="7454" width="12.28515625" style="88" customWidth="1"/>
    <col min="7455" max="7455" width="10" style="88" customWidth="1"/>
    <col min="7456" max="7456" width="9.28515625" style="88" customWidth="1"/>
    <col min="7457" max="7458" width="10.85546875" style="88" customWidth="1"/>
    <col min="7459" max="7462" width="9.7109375" style="88" customWidth="1"/>
    <col min="7463" max="7463" width="13.28515625" style="88" customWidth="1"/>
    <col min="7464" max="7464" width="18.28515625" style="88" customWidth="1"/>
    <col min="7465" max="7465" width="15.5703125" style="88" customWidth="1"/>
    <col min="7466" max="7468" width="12" style="88" customWidth="1"/>
    <col min="7469" max="7469" width="14.42578125" style="88" bestFit="1" customWidth="1"/>
    <col min="7470" max="7471" width="12" style="88" customWidth="1"/>
    <col min="7472" max="7472" width="14.42578125" style="88" bestFit="1" customWidth="1"/>
    <col min="7473" max="7473" width="15.28515625" style="88" bestFit="1" customWidth="1"/>
    <col min="7474" max="7474" width="12.85546875" style="88" customWidth="1"/>
    <col min="7475" max="7475" width="12.42578125" style="88" customWidth="1"/>
    <col min="7476" max="7476" width="30.42578125" style="88" customWidth="1"/>
    <col min="7477" max="7477" width="28.5703125" style="88" customWidth="1"/>
    <col min="7478" max="7478" width="10.42578125" style="88" customWidth="1"/>
    <col min="7479" max="7479" width="9" style="88" customWidth="1"/>
    <col min="7480" max="7480" width="16.7109375" style="88" customWidth="1"/>
    <col min="7481" max="7482" width="1.5703125" style="88" customWidth="1"/>
    <col min="7483" max="7483" width="9.140625" style="88"/>
    <col min="7484" max="7484" width="30.5703125" style="88" customWidth="1"/>
    <col min="7485" max="7693" width="9.140625" style="88"/>
    <col min="7694" max="7694" width="9.85546875" style="88" customWidth="1"/>
    <col min="7695" max="7695" width="6.7109375" style="88" customWidth="1"/>
    <col min="7696" max="7696" width="7.5703125" style="88" customWidth="1"/>
    <col min="7697" max="7706" width="17.28515625" style="88" customWidth="1"/>
    <col min="7707" max="7707" width="1.7109375" style="88" customWidth="1"/>
    <col min="7708" max="7708" width="2.5703125" style="88" customWidth="1"/>
    <col min="7709" max="7709" width="10.5703125" style="88" customWidth="1"/>
    <col min="7710" max="7710" width="12.28515625" style="88" customWidth="1"/>
    <col min="7711" max="7711" width="10" style="88" customWidth="1"/>
    <col min="7712" max="7712" width="9.28515625" style="88" customWidth="1"/>
    <col min="7713" max="7714" width="10.85546875" style="88" customWidth="1"/>
    <col min="7715" max="7718" width="9.7109375" style="88" customWidth="1"/>
    <col min="7719" max="7719" width="13.28515625" style="88" customWidth="1"/>
    <col min="7720" max="7720" width="18.28515625" style="88" customWidth="1"/>
    <col min="7721" max="7721" width="15.5703125" style="88" customWidth="1"/>
    <col min="7722" max="7724" width="12" style="88" customWidth="1"/>
    <col min="7725" max="7725" width="14.42578125" style="88" bestFit="1" customWidth="1"/>
    <col min="7726" max="7727" width="12" style="88" customWidth="1"/>
    <col min="7728" max="7728" width="14.42578125" style="88" bestFit="1" customWidth="1"/>
    <col min="7729" max="7729" width="15.28515625" style="88" bestFit="1" customWidth="1"/>
    <col min="7730" max="7730" width="12.85546875" style="88" customWidth="1"/>
    <col min="7731" max="7731" width="12.42578125" style="88" customWidth="1"/>
    <col min="7732" max="7732" width="30.42578125" style="88" customWidth="1"/>
    <col min="7733" max="7733" width="28.5703125" style="88" customWidth="1"/>
    <col min="7734" max="7734" width="10.42578125" style="88" customWidth="1"/>
    <col min="7735" max="7735" width="9" style="88" customWidth="1"/>
    <col min="7736" max="7736" width="16.7109375" style="88" customWidth="1"/>
    <col min="7737" max="7738" width="1.5703125" style="88" customWidth="1"/>
    <col min="7739" max="7739" width="9.140625" style="88"/>
    <col min="7740" max="7740" width="30.5703125" style="88" customWidth="1"/>
    <col min="7741" max="7949" width="9.140625" style="88"/>
    <col min="7950" max="7950" width="9.85546875" style="88" customWidth="1"/>
    <col min="7951" max="7951" width="6.7109375" style="88" customWidth="1"/>
    <col min="7952" max="7952" width="7.5703125" style="88" customWidth="1"/>
    <col min="7953" max="7962" width="17.28515625" style="88" customWidth="1"/>
    <col min="7963" max="7963" width="1.7109375" style="88" customWidth="1"/>
    <col min="7964" max="7964" width="2.5703125" style="88" customWidth="1"/>
    <col min="7965" max="7965" width="10.5703125" style="88" customWidth="1"/>
    <col min="7966" max="7966" width="12.28515625" style="88" customWidth="1"/>
    <col min="7967" max="7967" width="10" style="88" customWidth="1"/>
    <col min="7968" max="7968" width="9.28515625" style="88" customWidth="1"/>
    <col min="7969" max="7970" width="10.85546875" style="88" customWidth="1"/>
    <col min="7971" max="7974" width="9.7109375" style="88" customWidth="1"/>
    <col min="7975" max="7975" width="13.28515625" style="88" customWidth="1"/>
    <col min="7976" max="7976" width="18.28515625" style="88" customWidth="1"/>
    <col min="7977" max="7977" width="15.5703125" style="88" customWidth="1"/>
    <col min="7978" max="7980" width="12" style="88" customWidth="1"/>
    <col min="7981" max="7981" width="14.42578125" style="88" bestFit="1" customWidth="1"/>
    <col min="7982" max="7983" width="12" style="88" customWidth="1"/>
    <col min="7984" max="7984" width="14.42578125" style="88" bestFit="1" customWidth="1"/>
    <col min="7985" max="7985" width="15.28515625" style="88" bestFit="1" customWidth="1"/>
    <col min="7986" max="7986" width="12.85546875" style="88" customWidth="1"/>
    <col min="7987" max="7987" width="12.42578125" style="88" customWidth="1"/>
    <col min="7988" max="7988" width="30.42578125" style="88" customWidth="1"/>
    <col min="7989" max="7989" width="28.5703125" style="88" customWidth="1"/>
    <col min="7990" max="7990" width="10.42578125" style="88" customWidth="1"/>
    <col min="7991" max="7991" width="9" style="88" customWidth="1"/>
    <col min="7992" max="7992" width="16.7109375" style="88" customWidth="1"/>
    <col min="7993" max="7994" width="1.5703125" style="88" customWidth="1"/>
    <col min="7995" max="7995" width="9.140625" style="88"/>
    <col min="7996" max="7996" width="30.5703125" style="88" customWidth="1"/>
    <col min="7997" max="8205" width="9.140625" style="88"/>
    <col min="8206" max="8206" width="9.85546875" style="88" customWidth="1"/>
    <col min="8207" max="8207" width="6.7109375" style="88" customWidth="1"/>
    <col min="8208" max="8208" width="7.5703125" style="88" customWidth="1"/>
    <col min="8209" max="8218" width="17.28515625" style="88" customWidth="1"/>
    <col min="8219" max="8219" width="1.7109375" style="88" customWidth="1"/>
    <col min="8220" max="8220" width="2.5703125" style="88" customWidth="1"/>
    <col min="8221" max="8221" width="10.5703125" style="88" customWidth="1"/>
    <col min="8222" max="8222" width="12.28515625" style="88" customWidth="1"/>
    <col min="8223" max="8223" width="10" style="88" customWidth="1"/>
    <col min="8224" max="8224" width="9.28515625" style="88" customWidth="1"/>
    <col min="8225" max="8226" width="10.85546875" style="88" customWidth="1"/>
    <col min="8227" max="8230" width="9.7109375" style="88" customWidth="1"/>
    <col min="8231" max="8231" width="13.28515625" style="88" customWidth="1"/>
    <col min="8232" max="8232" width="18.28515625" style="88" customWidth="1"/>
    <col min="8233" max="8233" width="15.5703125" style="88" customWidth="1"/>
    <col min="8234" max="8236" width="12" style="88" customWidth="1"/>
    <col min="8237" max="8237" width="14.42578125" style="88" bestFit="1" customWidth="1"/>
    <col min="8238" max="8239" width="12" style="88" customWidth="1"/>
    <col min="8240" max="8240" width="14.42578125" style="88" bestFit="1" customWidth="1"/>
    <col min="8241" max="8241" width="15.28515625" style="88" bestFit="1" customWidth="1"/>
    <col min="8242" max="8242" width="12.85546875" style="88" customWidth="1"/>
    <col min="8243" max="8243" width="12.42578125" style="88" customWidth="1"/>
    <col min="8244" max="8244" width="30.42578125" style="88" customWidth="1"/>
    <col min="8245" max="8245" width="28.5703125" style="88" customWidth="1"/>
    <col min="8246" max="8246" width="10.42578125" style="88" customWidth="1"/>
    <col min="8247" max="8247" width="9" style="88" customWidth="1"/>
    <col min="8248" max="8248" width="16.7109375" style="88" customWidth="1"/>
    <col min="8249" max="8250" width="1.5703125" style="88" customWidth="1"/>
    <col min="8251" max="8251" width="9.140625" style="88"/>
    <col min="8252" max="8252" width="30.5703125" style="88" customWidth="1"/>
    <col min="8253" max="8461" width="9.140625" style="88"/>
    <col min="8462" max="8462" width="9.85546875" style="88" customWidth="1"/>
    <col min="8463" max="8463" width="6.7109375" style="88" customWidth="1"/>
    <col min="8464" max="8464" width="7.5703125" style="88" customWidth="1"/>
    <col min="8465" max="8474" width="17.28515625" style="88" customWidth="1"/>
    <col min="8475" max="8475" width="1.7109375" style="88" customWidth="1"/>
    <col min="8476" max="8476" width="2.5703125" style="88" customWidth="1"/>
    <col min="8477" max="8477" width="10.5703125" style="88" customWidth="1"/>
    <col min="8478" max="8478" width="12.28515625" style="88" customWidth="1"/>
    <col min="8479" max="8479" width="10" style="88" customWidth="1"/>
    <col min="8480" max="8480" width="9.28515625" style="88" customWidth="1"/>
    <col min="8481" max="8482" width="10.85546875" style="88" customWidth="1"/>
    <col min="8483" max="8486" width="9.7109375" style="88" customWidth="1"/>
    <col min="8487" max="8487" width="13.28515625" style="88" customWidth="1"/>
    <col min="8488" max="8488" width="18.28515625" style="88" customWidth="1"/>
    <col min="8489" max="8489" width="15.5703125" style="88" customWidth="1"/>
    <col min="8490" max="8492" width="12" style="88" customWidth="1"/>
    <col min="8493" max="8493" width="14.42578125" style="88" bestFit="1" customWidth="1"/>
    <col min="8494" max="8495" width="12" style="88" customWidth="1"/>
    <col min="8496" max="8496" width="14.42578125" style="88" bestFit="1" customWidth="1"/>
    <col min="8497" max="8497" width="15.28515625" style="88" bestFit="1" customWidth="1"/>
    <col min="8498" max="8498" width="12.85546875" style="88" customWidth="1"/>
    <col min="8499" max="8499" width="12.42578125" style="88" customWidth="1"/>
    <col min="8500" max="8500" width="30.42578125" style="88" customWidth="1"/>
    <col min="8501" max="8501" width="28.5703125" style="88" customWidth="1"/>
    <col min="8502" max="8502" width="10.42578125" style="88" customWidth="1"/>
    <col min="8503" max="8503" width="9" style="88" customWidth="1"/>
    <col min="8504" max="8504" width="16.7109375" style="88" customWidth="1"/>
    <col min="8505" max="8506" width="1.5703125" style="88" customWidth="1"/>
    <col min="8507" max="8507" width="9.140625" style="88"/>
    <col min="8508" max="8508" width="30.5703125" style="88" customWidth="1"/>
    <col min="8509" max="8717" width="9.140625" style="88"/>
    <col min="8718" max="8718" width="9.85546875" style="88" customWidth="1"/>
    <col min="8719" max="8719" width="6.7109375" style="88" customWidth="1"/>
    <col min="8720" max="8720" width="7.5703125" style="88" customWidth="1"/>
    <col min="8721" max="8730" width="17.28515625" style="88" customWidth="1"/>
    <col min="8731" max="8731" width="1.7109375" style="88" customWidth="1"/>
    <col min="8732" max="8732" width="2.5703125" style="88" customWidth="1"/>
    <col min="8733" max="8733" width="10.5703125" style="88" customWidth="1"/>
    <col min="8734" max="8734" width="12.28515625" style="88" customWidth="1"/>
    <col min="8735" max="8735" width="10" style="88" customWidth="1"/>
    <col min="8736" max="8736" width="9.28515625" style="88" customWidth="1"/>
    <col min="8737" max="8738" width="10.85546875" style="88" customWidth="1"/>
    <col min="8739" max="8742" width="9.7109375" style="88" customWidth="1"/>
    <col min="8743" max="8743" width="13.28515625" style="88" customWidth="1"/>
    <col min="8744" max="8744" width="18.28515625" style="88" customWidth="1"/>
    <col min="8745" max="8745" width="15.5703125" style="88" customWidth="1"/>
    <col min="8746" max="8748" width="12" style="88" customWidth="1"/>
    <col min="8749" max="8749" width="14.42578125" style="88" bestFit="1" customWidth="1"/>
    <col min="8750" max="8751" width="12" style="88" customWidth="1"/>
    <col min="8752" max="8752" width="14.42578125" style="88" bestFit="1" customWidth="1"/>
    <col min="8753" max="8753" width="15.28515625" style="88" bestFit="1" customWidth="1"/>
    <col min="8754" max="8754" width="12.85546875" style="88" customWidth="1"/>
    <col min="8755" max="8755" width="12.42578125" style="88" customWidth="1"/>
    <col min="8756" max="8756" width="30.42578125" style="88" customWidth="1"/>
    <col min="8757" max="8757" width="28.5703125" style="88" customWidth="1"/>
    <col min="8758" max="8758" width="10.42578125" style="88" customWidth="1"/>
    <col min="8759" max="8759" width="9" style="88" customWidth="1"/>
    <col min="8760" max="8760" width="16.7109375" style="88" customWidth="1"/>
    <col min="8761" max="8762" width="1.5703125" style="88" customWidth="1"/>
    <col min="8763" max="8763" width="9.140625" style="88"/>
    <col min="8764" max="8764" width="30.5703125" style="88" customWidth="1"/>
    <col min="8765" max="8973" width="9.140625" style="88"/>
    <col min="8974" max="8974" width="9.85546875" style="88" customWidth="1"/>
    <col min="8975" max="8975" width="6.7109375" style="88" customWidth="1"/>
    <col min="8976" max="8976" width="7.5703125" style="88" customWidth="1"/>
    <col min="8977" max="8986" width="17.28515625" style="88" customWidth="1"/>
    <col min="8987" max="8987" width="1.7109375" style="88" customWidth="1"/>
    <col min="8988" max="8988" width="2.5703125" style="88" customWidth="1"/>
    <col min="8989" max="8989" width="10.5703125" style="88" customWidth="1"/>
    <col min="8990" max="8990" width="12.28515625" style="88" customWidth="1"/>
    <col min="8991" max="8991" width="10" style="88" customWidth="1"/>
    <col min="8992" max="8992" width="9.28515625" style="88" customWidth="1"/>
    <col min="8993" max="8994" width="10.85546875" style="88" customWidth="1"/>
    <col min="8995" max="8998" width="9.7109375" style="88" customWidth="1"/>
    <col min="8999" max="8999" width="13.28515625" style="88" customWidth="1"/>
    <col min="9000" max="9000" width="18.28515625" style="88" customWidth="1"/>
    <col min="9001" max="9001" width="15.5703125" style="88" customWidth="1"/>
    <col min="9002" max="9004" width="12" style="88" customWidth="1"/>
    <col min="9005" max="9005" width="14.42578125" style="88" bestFit="1" customWidth="1"/>
    <col min="9006" max="9007" width="12" style="88" customWidth="1"/>
    <col min="9008" max="9008" width="14.42578125" style="88" bestFit="1" customWidth="1"/>
    <col min="9009" max="9009" width="15.28515625" style="88" bestFit="1" customWidth="1"/>
    <col min="9010" max="9010" width="12.85546875" style="88" customWidth="1"/>
    <col min="9011" max="9011" width="12.42578125" style="88" customWidth="1"/>
    <col min="9012" max="9012" width="30.42578125" style="88" customWidth="1"/>
    <col min="9013" max="9013" width="28.5703125" style="88" customWidth="1"/>
    <col min="9014" max="9014" width="10.42578125" style="88" customWidth="1"/>
    <col min="9015" max="9015" width="9" style="88" customWidth="1"/>
    <col min="9016" max="9016" width="16.7109375" style="88" customWidth="1"/>
    <col min="9017" max="9018" width="1.5703125" style="88" customWidth="1"/>
    <col min="9019" max="9019" width="9.140625" style="88"/>
    <col min="9020" max="9020" width="30.5703125" style="88" customWidth="1"/>
    <col min="9021" max="9229" width="9.140625" style="88"/>
    <col min="9230" max="9230" width="9.85546875" style="88" customWidth="1"/>
    <col min="9231" max="9231" width="6.7109375" style="88" customWidth="1"/>
    <col min="9232" max="9232" width="7.5703125" style="88" customWidth="1"/>
    <col min="9233" max="9242" width="17.28515625" style="88" customWidth="1"/>
    <col min="9243" max="9243" width="1.7109375" style="88" customWidth="1"/>
    <col min="9244" max="9244" width="2.5703125" style="88" customWidth="1"/>
    <col min="9245" max="9245" width="10.5703125" style="88" customWidth="1"/>
    <col min="9246" max="9246" width="12.28515625" style="88" customWidth="1"/>
    <col min="9247" max="9247" width="10" style="88" customWidth="1"/>
    <col min="9248" max="9248" width="9.28515625" style="88" customWidth="1"/>
    <col min="9249" max="9250" width="10.85546875" style="88" customWidth="1"/>
    <col min="9251" max="9254" width="9.7109375" style="88" customWidth="1"/>
    <col min="9255" max="9255" width="13.28515625" style="88" customWidth="1"/>
    <col min="9256" max="9256" width="18.28515625" style="88" customWidth="1"/>
    <col min="9257" max="9257" width="15.5703125" style="88" customWidth="1"/>
    <col min="9258" max="9260" width="12" style="88" customWidth="1"/>
    <col min="9261" max="9261" width="14.42578125" style="88" bestFit="1" customWidth="1"/>
    <col min="9262" max="9263" width="12" style="88" customWidth="1"/>
    <col min="9264" max="9264" width="14.42578125" style="88" bestFit="1" customWidth="1"/>
    <col min="9265" max="9265" width="15.28515625" style="88" bestFit="1" customWidth="1"/>
    <col min="9266" max="9266" width="12.85546875" style="88" customWidth="1"/>
    <col min="9267" max="9267" width="12.42578125" style="88" customWidth="1"/>
    <col min="9268" max="9268" width="30.42578125" style="88" customWidth="1"/>
    <col min="9269" max="9269" width="28.5703125" style="88" customWidth="1"/>
    <col min="9270" max="9270" width="10.42578125" style="88" customWidth="1"/>
    <col min="9271" max="9271" width="9" style="88" customWidth="1"/>
    <col min="9272" max="9272" width="16.7109375" style="88" customWidth="1"/>
    <col min="9273" max="9274" width="1.5703125" style="88" customWidth="1"/>
    <col min="9275" max="9275" width="9.140625" style="88"/>
    <col min="9276" max="9276" width="30.5703125" style="88" customWidth="1"/>
    <col min="9277" max="9485" width="9.140625" style="88"/>
    <col min="9486" max="9486" width="9.85546875" style="88" customWidth="1"/>
    <col min="9487" max="9487" width="6.7109375" style="88" customWidth="1"/>
    <col min="9488" max="9488" width="7.5703125" style="88" customWidth="1"/>
    <col min="9489" max="9498" width="17.28515625" style="88" customWidth="1"/>
    <col min="9499" max="9499" width="1.7109375" style="88" customWidth="1"/>
    <col min="9500" max="9500" width="2.5703125" style="88" customWidth="1"/>
    <col min="9501" max="9501" width="10.5703125" style="88" customWidth="1"/>
    <col min="9502" max="9502" width="12.28515625" style="88" customWidth="1"/>
    <col min="9503" max="9503" width="10" style="88" customWidth="1"/>
    <col min="9504" max="9504" width="9.28515625" style="88" customWidth="1"/>
    <col min="9505" max="9506" width="10.85546875" style="88" customWidth="1"/>
    <col min="9507" max="9510" width="9.7109375" style="88" customWidth="1"/>
    <col min="9511" max="9511" width="13.28515625" style="88" customWidth="1"/>
    <col min="9512" max="9512" width="18.28515625" style="88" customWidth="1"/>
    <col min="9513" max="9513" width="15.5703125" style="88" customWidth="1"/>
    <col min="9514" max="9516" width="12" style="88" customWidth="1"/>
    <col min="9517" max="9517" width="14.42578125" style="88" bestFit="1" customWidth="1"/>
    <col min="9518" max="9519" width="12" style="88" customWidth="1"/>
    <col min="9520" max="9520" width="14.42578125" style="88" bestFit="1" customWidth="1"/>
    <col min="9521" max="9521" width="15.28515625" style="88" bestFit="1" customWidth="1"/>
    <col min="9522" max="9522" width="12.85546875" style="88" customWidth="1"/>
    <col min="9523" max="9523" width="12.42578125" style="88" customWidth="1"/>
    <col min="9524" max="9524" width="30.42578125" style="88" customWidth="1"/>
    <col min="9525" max="9525" width="28.5703125" style="88" customWidth="1"/>
    <col min="9526" max="9526" width="10.42578125" style="88" customWidth="1"/>
    <col min="9527" max="9527" width="9" style="88" customWidth="1"/>
    <col min="9528" max="9528" width="16.7109375" style="88" customWidth="1"/>
    <col min="9529" max="9530" width="1.5703125" style="88" customWidth="1"/>
    <col min="9531" max="9531" width="9.140625" style="88"/>
    <col min="9532" max="9532" width="30.5703125" style="88" customWidth="1"/>
    <col min="9533" max="9741" width="9.140625" style="88"/>
    <col min="9742" max="9742" width="9.85546875" style="88" customWidth="1"/>
    <col min="9743" max="9743" width="6.7109375" style="88" customWidth="1"/>
    <col min="9744" max="9744" width="7.5703125" style="88" customWidth="1"/>
    <col min="9745" max="9754" width="17.28515625" style="88" customWidth="1"/>
    <col min="9755" max="9755" width="1.7109375" style="88" customWidth="1"/>
    <col min="9756" max="9756" width="2.5703125" style="88" customWidth="1"/>
    <col min="9757" max="9757" width="10.5703125" style="88" customWidth="1"/>
    <col min="9758" max="9758" width="12.28515625" style="88" customWidth="1"/>
    <col min="9759" max="9759" width="10" style="88" customWidth="1"/>
    <col min="9760" max="9760" width="9.28515625" style="88" customWidth="1"/>
    <col min="9761" max="9762" width="10.85546875" style="88" customWidth="1"/>
    <col min="9763" max="9766" width="9.7109375" style="88" customWidth="1"/>
    <col min="9767" max="9767" width="13.28515625" style="88" customWidth="1"/>
    <col min="9768" max="9768" width="18.28515625" style="88" customWidth="1"/>
    <col min="9769" max="9769" width="15.5703125" style="88" customWidth="1"/>
    <col min="9770" max="9772" width="12" style="88" customWidth="1"/>
    <col min="9773" max="9773" width="14.42578125" style="88" bestFit="1" customWidth="1"/>
    <col min="9774" max="9775" width="12" style="88" customWidth="1"/>
    <col min="9776" max="9776" width="14.42578125" style="88" bestFit="1" customWidth="1"/>
    <col min="9777" max="9777" width="15.28515625" style="88" bestFit="1" customWidth="1"/>
    <col min="9778" max="9778" width="12.85546875" style="88" customWidth="1"/>
    <col min="9779" max="9779" width="12.42578125" style="88" customWidth="1"/>
    <col min="9780" max="9780" width="30.42578125" style="88" customWidth="1"/>
    <col min="9781" max="9781" width="28.5703125" style="88" customWidth="1"/>
    <col min="9782" max="9782" width="10.42578125" style="88" customWidth="1"/>
    <col min="9783" max="9783" width="9" style="88" customWidth="1"/>
    <col min="9784" max="9784" width="16.7109375" style="88" customWidth="1"/>
    <col min="9785" max="9786" width="1.5703125" style="88" customWidth="1"/>
    <col min="9787" max="9787" width="9.140625" style="88"/>
    <col min="9788" max="9788" width="30.5703125" style="88" customWidth="1"/>
    <col min="9789" max="9997" width="9.140625" style="88"/>
    <col min="9998" max="9998" width="9.85546875" style="88" customWidth="1"/>
    <col min="9999" max="9999" width="6.7109375" style="88" customWidth="1"/>
    <col min="10000" max="10000" width="7.5703125" style="88" customWidth="1"/>
    <col min="10001" max="10010" width="17.28515625" style="88" customWidth="1"/>
    <col min="10011" max="10011" width="1.7109375" style="88" customWidth="1"/>
    <col min="10012" max="10012" width="2.5703125" style="88" customWidth="1"/>
    <col min="10013" max="10013" width="10.5703125" style="88" customWidth="1"/>
    <col min="10014" max="10014" width="12.28515625" style="88" customWidth="1"/>
    <col min="10015" max="10015" width="10" style="88" customWidth="1"/>
    <col min="10016" max="10016" width="9.28515625" style="88" customWidth="1"/>
    <col min="10017" max="10018" width="10.85546875" style="88" customWidth="1"/>
    <col min="10019" max="10022" width="9.7109375" style="88" customWidth="1"/>
    <col min="10023" max="10023" width="13.28515625" style="88" customWidth="1"/>
    <col min="10024" max="10024" width="18.28515625" style="88" customWidth="1"/>
    <col min="10025" max="10025" width="15.5703125" style="88" customWidth="1"/>
    <col min="10026" max="10028" width="12" style="88" customWidth="1"/>
    <col min="10029" max="10029" width="14.42578125" style="88" bestFit="1" customWidth="1"/>
    <col min="10030" max="10031" width="12" style="88" customWidth="1"/>
    <col min="10032" max="10032" width="14.42578125" style="88" bestFit="1" customWidth="1"/>
    <col min="10033" max="10033" width="15.28515625" style="88" bestFit="1" customWidth="1"/>
    <col min="10034" max="10034" width="12.85546875" style="88" customWidth="1"/>
    <col min="10035" max="10035" width="12.42578125" style="88" customWidth="1"/>
    <col min="10036" max="10036" width="30.42578125" style="88" customWidth="1"/>
    <col min="10037" max="10037" width="28.5703125" style="88" customWidth="1"/>
    <col min="10038" max="10038" width="10.42578125" style="88" customWidth="1"/>
    <col min="10039" max="10039" width="9" style="88" customWidth="1"/>
    <col min="10040" max="10040" width="16.7109375" style="88" customWidth="1"/>
    <col min="10041" max="10042" width="1.5703125" style="88" customWidth="1"/>
    <col min="10043" max="10043" width="9.140625" style="88"/>
    <col min="10044" max="10044" width="30.5703125" style="88" customWidth="1"/>
    <col min="10045" max="10253" width="9.140625" style="88"/>
    <col min="10254" max="10254" width="9.85546875" style="88" customWidth="1"/>
    <col min="10255" max="10255" width="6.7109375" style="88" customWidth="1"/>
    <col min="10256" max="10256" width="7.5703125" style="88" customWidth="1"/>
    <col min="10257" max="10266" width="17.28515625" style="88" customWidth="1"/>
    <col min="10267" max="10267" width="1.7109375" style="88" customWidth="1"/>
    <col min="10268" max="10268" width="2.5703125" style="88" customWidth="1"/>
    <col min="10269" max="10269" width="10.5703125" style="88" customWidth="1"/>
    <col min="10270" max="10270" width="12.28515625" style="88" customWidth="1"/>
    <col min="10271" max="10271" width="10" style="88" customWidth="1"/>
    <col min="10272" max="10272" width="9.28515625" style="88" customWidth="1"/>
    <col min="10273" max="10274" width="10.85546875" style="88" customWidth="1"/>
    <col min="10275" max="10278" width="9.7109375" style="88" customWidth="1"/>
    <col min="10279" max="10279" width="13.28515625" style="88" customWidth="1"/>
    <col min="10280" max="10280" width="18.28515625" style="88" customWidth="1"/>
    <col min="10281" max="10281" width="15.5703125" style="88" customWidth="1"/>
    <col min="10282" max="10284" width="12" style="88" customWidth="1"/>
    <col min="10285" max="10285" width="14.42578125" style="88" bestFit="1" customWidth="1"/>
    <col min="10286" max="10287" width="12" style="88" customWidth="1"/>
    <col min="10288" max="10288" width="14.42578125" style="88" bestFit="1" customWidth="1"/>
    <col min="10289" max="10289" width="15.28515625" style="88" bestFit="1" customWidth="1"/>
    <col min="10290" max="10290" width="12.85546875" style="88" customWidth="1"/>
    <col min="10291" max="10291" width="12.42578125" style="88" customWidth="1"/>
    <col min="10292" max="10292" width="30.42578125" style="88" customWidth="1"/>
    <col min="10293" max="10293" width="28.5703125" style="88" customWidth="1"/>
    <col min="10294" max="10294" width="10.42578125" style="88" customWidth="1"/>
    <col min="10295" max="10295" width="9" style="88" customWidth="1"/>
    <col min="10296" max="10296" width="16.7109375" style="88" customWidth="1"/>
    <col min="10297" max="10298" width="1.5703125" style="88" customWidth="1"/>
    <col min="10299" max="10299" width="9.140625" style="88"/>
    <col min="10300" max="10300" width="30.5703125" style="88" customWidth="1"/>
    <col min="10301" max="10509" width="9.140625" style="88"/>
    <col min="10510" max="10510" width="9.85546875" style="88" customWidth="1"/>
    <col min="10511" max="10511" width="6.7109375" style="88" customWidth="1"/>
    <col min="10512" max="10512" width="7.5703125" style="88" customWidth="1"/>
    <col min="10513" max="10522" width="17.28515625" style="88" customWidth="1"/>
    <col min="10523" max="10523" width="1.7109375" style="88" customWidth="1"/>
    <col min="10524" max="10524" width="2.5703125" style="88" customWidth="1"/>
    <col min="10525" max="10525" width="10.5703125" style="88" customWidth="1"/>
    <col min="10526" max="10526" width="12.28515625" style="88" customWidth="1"/>
    <col min="10527" max="10527" width="10" style="88" customWidth="1"/>
    <col min="10528" max="10528" width="9.28515625" style="88" customWidth="1"/>
    <col min="10529" max="10530" width="10.85546875" style="88" customWidth="1"/>
    <col min="10531" max="10534" width="9.7109375" style="88" customWidth="1"/>
    <col min="10535" max="10535" width="13.28515625" style="88" customWidth="1"/>
    <col min="10536" max="10536" width="18.28515625" style="88" customWidth="1"/>
    <col min="10537" max="10537" width="15.5703125" style="88" customWidth="1"/>
    <col min="10538" max="10540" width="12" style="88" customWidth="1"/>
    <col min="10541" max="10541" width="14.42578125" style="88" bestFit="1" customWidth="1"/>
    <col min="10542" max="10543" width="12" style="88" customWidth="1"/>
    <col min="10544" max="10544" width="14.42578125" style="88" bestFit="1" customWidth="1"/>
    <col min="10545" max="10545" width="15.28515625" style="88" bestFit="1" customWidth="1"/>
    <col min="10546" max="10546" width="12.85546875" style="88" customWidth="1"/>
    <col min="10547" max="10547" width="12.42578125" style="88" customWidth="1"/>
    <col min="10548" max="10548" width="30.42578125" style="88" customWidth="1"/>
    <col min="10549" max="10549" width="28.5703125" style="88" customWidth="1"/>
    <col min="10550" max="10550" width="10.42578125" style="88" customWidth="1"/>
    <col min="10551" max="10551" width="9" style="88" customWidth="1"/>
    <col min="10552" max="10552" width="16.7109375" style="88" customWidth="1"/>
    <col min="10553" max="10554" width="1.5703125" style="88" customWidth="1"/>
    <col min="10555" max="10555" width="9.140625" style="88"/>
    <col min="10556" max="10556" width="30.5703125" style="88" customWidth="1"/>
    <col min="10557" max="10765" width="9.140625" style="88"/>
    <col min="10766" max="10766" width="9.85546875" style="88" customWidth="1"/>
    <col min="10767" max="10767" width="6.7109375" style="88" customWidth="1"/>
    <col min="10768" max="10768" width="7.5703125" style="88" customWidth="1"/>
    <col min="10769" max="10778" width="17.28515625" style="88" customWidth="1"/>
    <col min="10779" max="10779" width="1.7109375" style="88" customWidth="1"/>
    <col min="10780" max="10780" width="2.5703125" style="88" customWidth="1"/>
    <col min="10781" max="10781" width="10.5703125" style="88" customWidth="1"/>
    <col min="10782" max="10782" width="12.28515625" style="88" customWidth="1"/>
    <col min="10783" max="10783" width="10" style="88" customWidth="1"/>
    <col min="10784" max="10784" width="9.28515625" style="88" customWidth="1"/>
    <col min="10785" max="10786" width="10.85546875" style="88" customWidth="1"/>
    <col min="10787" max="10790" width="9.7109375" style="88" customWidth="1"/>
    <col min="10791" max="10791" width="13.28515625" style="88" customWidth="1"/>
    <col min="10792" max="10792" width="18.28515625" style="88" customWidth="1"/>
    <col min="10793" max="10793" width="15.5703125" style="88" customWidth="1"/>
    <col min="10794" max="10796" width="12" style="88" customWidth="1"/>
    <col min="10797" max="10797" width="14.42578125" style="88" bestFit="1" customWidth="1"/>
    <col min="10798" max="10799" width="12" style="88" customWidth="1"/>
    <col min="10800" max="10800" width="14.42578125" style="88" bestFit="1" customWidth="1"/>
    <col min="10801" max="10801" width="15.28515625" style="88" bestFit="1" customWidth="1"/>
    <col min="10802" max="10802" width="12.85546875" style="88" customWidth="1"/>
    <col min="10803" max="10803" width="12.42578125" style="88" customWidth="1"/>
    <col min="10804" max="10804" width="30.42578125" style="88" customWidth="1"/>
    <col min="10805" max="10805" width="28.5703125" style="88" customWidth="1"/>
    <col min="10806" max="10806" width="10.42578125" style="88" customWidth="1"/>
    <col min="10807" max="10807" width="9" style="88" customWidth="1"/>
    <col min="10808" max="10808" width="16.7109375" style="88" customWidth="1"/>
    <col min="10809" max="10810" width="1.5703125" style="88" customWidth="1"/>
    <col min="10811" max="10811" width="9.140625" style="88"/>
    <col min="10812" max="10812" width="30.5703125" style="88" customWidth="1"/>
    <col min="10813" max="11021" width="9.140625" style="88"/>
    <col min="11022" max="11022" width="9.85546875" style="88" customWidth="1"/>
    <col min="11023" max="11023" width="6.7109375" style="88" customWidth="1"/>
    <col min="11024" max="11024" width="7.5703125" style="88" customWidth="1"/>
    <col min="11025" max="11034" width="17.28515625" style="88" customWidth="1"/>
    <col min="11035" max="11035" width="1.7109375" style="88" customWidth="1"/>
    <col min="11036" max="11036" width="2.5703125" style="88" customWidth="1"/>
    <col min="11037" max="11037" width="10.5703125" style="88" customWidth="1"/>
    <col min="11038" max="11038" width="12.28515625" style="88" customWidth="1"/>
    <col min="11039" max="11039" width="10" style="88" customWidth="1"/>
    <col min="11040" max="11040" width="9.28515625" style="88" customWidth="1"/>
    <col min="11041" max="11042" width="10.85546875" style="88" customWidth="1"/>
    <col min="11043" max="11046" width="9.7109375" style="88" customWidth="1"/>
    <col min="11047" max="11047" width="13.28515625" style="88" customWidth="1"/>
    <col min="11048" max="11048" width="18.28515625" style="88" customWidth="1"/>
    <col min="11049" max="11049" width="15.5703125" style="88" customWidth="1"/>
    <col min="11050" max="11052" width="12" style="88" customWidth="1"/>
    <col min="11053" max="11053" width="14.42578125" style="88" bestFit="1" customWidth="1"/>
    <col min="11054" max="11055" width="12" style="88" customWidth="1"/>
    <col min="11056" max="11056" width="14.42578125" style="88" bestFit="1" customWidth="1"/>
    <col min="11057" max="11057" width="15.28515625" style="88" bestFit="1" customWidth="1"/>
    <col min="11058" max="11058" width="12.85546875" style="88" customWidth="1"/>
    <col min="11059" max="11059" width="12.42578125" style="88" customWidth="1"/>
    <col min="11060" max="11060" width="30.42578125" style="88" customWidth="1"/>
    <col min="11061" max="11061" width="28.5703125" style="88" customWidth="1"/>
    <col min="11062" max="11062" width="10.42578125" style="88" customWidth="1"/>
    <col min="11063" max="11063" width="9" style="88" customWidth="1"/>
    <col min="11064" max="11064" width="16.7109375" style="88" customWidth="1"/>
    <col min="11065" max="11066" width="1.5703125" style="88" customWidth="1"/>
    <col min="11067" max="11067" width="9.140625" style="88"/>
    <col min="11068" max="11068" width="30.5703125" style="88" customWidth="1"/>
    <col min="11069" max="11277" width="9.140625" style="88"/>
    <col min="11278" max="11278" width="9.85546875" style="88" customWidth="1"/>
    <col min="11279" max="11279" width="6.7109375" style="88" customWidth="1"/>
    <col min="11280" max="11280" width="7.5703125" style="88" customWidth="1"/>
    <col min="11281" max="11290" width="17.28515625" style="88" customWidth="1"/>
    <col min="11291" max="11291" width="1.7109375" style="88" customWidth="1"/>
    <col min="11292" max="11292" width="2.5703125" style="88" customWidth="1"/>
    <col min="11293" max="11293" width="10.5703125" style="88" customWidth="1"/>
    <col min="11294" max="11294" width="12.28515625" style="88" customWidth="1"/>
    <col min="11295" max="11295" width="10" style="88" customWidth="1"/>
    <col min="11296" max="11296" width="9.28515625" style="88" customWidth="1"/>
    <col min="11297" max="11298" width="10.85546875" style="88" customWidth="1"/>
    <col min="11299" max="11302" width="9.7109375" style="88" customWidth="1"/>
    <col min="11303" max="11303" width="13.28515625" style="88" customWidth="1"/>
    <col min="11304" max="11304" width="18.28515625" style="88" customWidth="1"/>
    <col min="11305" max="11305" width="15.5703125" style="88" customWidth="1"/>
    <col min="11306" max="11308" width="12" style="88" customWidth="1"/>
    <col min="11309" max="11309" width="14.42578125" style="88" bestFit="1" customWidth="1"/>
    <col min="11310" max="11311" width="12" style="88" customWidth="1"/>
    <col min="11312" max="11312" width="14.42578125" style="88" bestFit="1" customWidth="1"/>
    <col min="11313" max="11313" width="15.28515625" style="88" bestFit="1" customWidth="1"/>
    <col min="11314" max="11314" width="12.85546875" style="88" customWidth="1"/>
    <col min="11315" max="11315" width="12.42578125" style="88" customWidth="1"/>
    <col min="11316" max="11316" width="30.42578125" style="88" customWidth="1"/>
    <col min="11317" max="11317" width="28.5703125" style="88" customWidth="1"/>
    <col min="11318" max="11318" width="10.42578125" style="88" customWidth="1"/>
    <col min="11319" max="11319" width="9" style="88" customWidth="1"/>
    <col min="11320" max="11320" width="16.7109375" style="88" customWidth="1"/>
    <col min="11321" max="11322" width="1.5703125" style="88" customWidth="1"/>
    <col min="11323" max="11323" width="9.140625" style="88"/>
    <col min="11324" max="11324" width="30.5703125" style="88" customWidth="1"/>
    <col min="11325" max="11533" width="9.140625" style="88"/>
    <col min="11534" max="11534" width="9.85546875" style="88" customWidth="1"/>
    <col min="11535" max="11535" width="6.7109375" style="88" customWidth="1"/>
    <col min="11536" max="11536" width="7.5703125" style="88" customWidth="1"/>
    <col min="11537" max="11546" width="17.28515625" style="88" customWidth="1"/>
    <col min="11547" max="11547" width="1.7109375" style="88" customWidth="1"/>
    <col min="11548" max="11548" width="2.5703125" style="88" customWidth="1"/>
    <col min="11549" max="11549" width="10.5703125" style="88" customWidth="1"/>
    <col min="11550" max="11550" width="12.28515625" style="88" customWidth="1"/>
    <col min="11551" max="11551" width="10" style="88" customWidth="1"/>
    <col min="11552" max="11552" width="9.28515625" style="88" customWidth="1"/>
    <col min="11553" max="11554" width="10.85546875" style="88" customWidth="1"/>
    <col min="11555" max="11558" width="9.7109375" style="88" customWidth="1"/>
    <col min="11559" max="11559" width="13.28515625" style="88" customWidth="1"/>
    <col min="11560" max="11560" width="18.28515625" style="88" customWidth="1"/>
    <col min="11561" max="11561" width="15.5703125" style="88" customWidth="1"/>
    <col min="11562" max="11564" width="12" style="88" customWidth="1"/>
    <col min="11565" max="11565" width="14.42578125" style="88" bestFit="1" customWidth="1"/>
    <col min="11566" max="11567" width="12" style="88" customWidth="1"/>
    <col min="11568" max="11568" width="14.42578125" style="88" bestFit="1" customWidth="1"/>
    <col min="11569" max="11569" width="15.28515625" style="88" bestFit="1" customWidth="1"/>
    <col min="11570" max="11570" width="12.85546875" style="88" customWidth="1"/>
    <col min="11571" max="11571" width="12.42578125" style="88" customWidth="1"/>
    <col min="11572" max="11572" width="30.42578125" style="88" customWidth="1"/>
    <col min="11573" max="11573" width="28.5703125" style="88" customWidth="1"/>
    <col min="11574" max="11574" width="10.42578125" style="88" customWidth="1"/>
    <col min="11575" max="11575" width="9" style="88" customWidth="1"/>
    <col min="11576" max="11576" width="16.7109375" style="88" customWidth="1"/>
    <col min="11577" max="11578" width="1.5703125" style="88" customWidth="1"/>
    <col min="11579" max="11579" width="9.140625" style="88"/>
    <col min="11580" max="11580" width="30.5703125" style="88" customWidth="1"/>
    <col min="11581" max="11789" width="9.140625" style="88"/>
    <col min="11790" max="11790" width="9.85546875" style="88" customWidth="1"/>
    <col min="11791" max="11791" width="6.7109375" style="88" customWidth="1"/>
    <col min="11792" max="11792" width="7.5703125" style="88" customWidth="1"/>
    <col min="11793" max="11802" width="17.28515625" style="88" customWidth="1"/>
    <col min="11803" max="11803" width="1.7109375" style="88" customWidth="1"/>
    <col min="11804" max="11804" width="2.5703125" style="88" customWidth="1"/>
    <col min="11805" max="11805" width="10.5703125" style="88" customWidth="1"/>
    <col min="11806" max="11806" width="12.28515625" style="88" customWidth="1"/>
    <col min="11807" max="11807" width="10" style="88" customWidth="1"/>
    <col min="11808" max="11808" width="9.28515625" style="88" customWidth="1"/>
    <col min="11809" max="11810" width="10.85546875" style="88" customWidth="1"/>
    <col min="11811" max="11814" width="9.7109375" style="88" customWidth="1"/>
    <col min="11815" max="11815" width="13.28515625" style="88" customWidth="1"/>
    <col min="11816" max="11816" width="18.28515625" style="88" customWidth="1"/>
    <col min="11817" max="11817" width="15.5703125" style="88" customWidth="1"/>
    <col min="11818" max="11820" width="12" style="88" customWidth="1"/>
    <col min="11821" max="11821" width="14.42578125" style="88" bestFit="1" customWidth="1"/>
    <col min="11822" max="11823" width="12" style="88" customWidth="1"/>
    <col min="11824" max="11824" width="14.42578125" style="88" bestFit="1" customWidth="1"/>
    <col min="11825" max="11825" width="15.28515625" style="88" bestFit="1" customWidth="1"/>
    <col min="11826" max="11826" width="12.85546875" style="88" customWidth="1"/>
    <col min="11827" max="11827" width="12.42578125" style="88" customWidth="1"/>
    <col min="11828" max="11828" width="30.42578125" style="88" customWidth="1"/>
    <col min="11829" max="11829" width="28.5703125" style="88" customWidth="1"/>
    <col min="11830" max="11830" width="10.42578125" style="88" customWidth="1"/>
    <col min="11831" max="11831" width="9" style="88" customWidth="1"/>
    <col min="11832" max="11832" width="16.7109375" style="88" customWidth="1"/>
    <col min="11833" max="11834" width="1.5703125" style="88" customWidth="1"/>
    <col min="11835" max="11835" width="9.140625" style="88"/>
    <col min="11836" max="11836" width="30.5703125" style="88" customWidth="1"/>
    <col min="11837" max="12045" width="9.140625" style="88"/>
    <col min="12046" max="12046" width="9.85546875" style="88" customWidth="1"/>
    <col min="12047" max="12047" width="6.7109375" style="88" customWidth="1"/>
    <col min="12048" max="12048" width="7.5703125" style="88" customWidth="1"/>
    <col min="12049" max="12058" width="17.28515625" style="88" customWidth="1"/>
    <col min="12059" max="12059" width="1.7109375" style="88" customWidth="1"/>
    <col min="12060" max="12060" width="2.5703125" style="88" customWidth="1"/>
    <col min="12061" max="12061" width="10.5703125" style="88" customWidth="1"/>
    <col min="12062" max="12062" width="12.28515625" style="88" customWidth="1"/>
    <col min="12063" max="12063" width="10" style="88" customWidth="1"/>
    <col min="12064" max="12064" width="9.28515625" style="88" customWidth="1"/>
    <col min="12065" max="12066" width="10.85546875" style="88" customWidth="1"/>
    <col min="12067" max="12070" width="9.7109375" style="88" customWidth="1"/>
    <col min="12071" max="12071" width="13.28515625" style="88" customWidth="1"/>
    <col min="12072" max="12072" width="18.28515625" style="88" customWidth="1"/>
    <col min="12073" max="12073" width="15.5703125" style="88" customWidth="1"/>
    <col min="12074" max="12076" width="12" style="88" customWidth="1"/>
    <col min="12077" max="12077" width="14.42578125" style="88" bestFit="1" customWidth="1"/>
    <col min="12078" max="12079" width="12" style="88" customWidth="1"/>
    <col min="12080" max="12080" width="14.42578125" style="88" bestFit="1" customWidth="1"/>
    <col min="12081" max="12081" width="15.28515625" style="88" bestFit="1" customWidth="1"/>
    <col min="12082" max="12082" width="12.85546875" style="88" customWidth="1"/>
    <col min="12083" max="12083" width="12.42578125" style="88" customWidth="1"/>
    <col min="12084" max="12084" width="30.42578125" style="88" customWidth="1"/>
    <col min="12085" max="12085" width="28.5703125" style="88" customWidth="1"/>
    <col min="12086" max="12086" width="10.42578125" style="88" customWidth="1"/>
    <col min="12087" max="12087" width="9" style="88" customWidth="1"/>
    <col min="12088" max="12088" width="16.7109375" style="88" customWidth="1"/>
    <col min="12089" max="12090" width="1.5703125" style="88" customWidth="1"/>
    <col min="12091" max="12091" width="9.140625" style="88"/>
    <col min="12092" max="12092" width="30.5703125" style="88" customWidth="1"/>
    <col min="12093" max="12301" width="9.140625" style="88"/>
    <col min="12302" max="12302" width="9.85546875" style="88" customWidth="1"/>
    <col min="12303" max="12303" width="6.7109375" style="88" customWidth="1"/>
    <col min="12304" max="12304" width="7.5703125" style="88" customWidth="1"/>
    <col min="12305" max="12314" width="17.28515625" style="88" customWidth="1"/>
    <col min="12315" max="12315" width="1.7109375" style="88" customWidth="1"/>
    <col min="12316" max="12316" width="2.5703125" style="88" customWidth="1"/>
    <col min="12317" max="12317" width="10.5703125" style="88" customWidth="1"/>
    <col min="12318" max="12318" width="12.28515625" style="88" customWidth="1"/>
    <col min="12319" max="12319" width="10" style="88" customWidth="1"/>
    <col min="12320" max="12320" width="9.28515625" style="88" customWidth="1"/>
    <col min="12321" max="12322" width="10.85546875" style="88" customWidth="1"/>
    <col min="12323" max="12326" width="9.7109375" style="88" customWidth="1"/>
    <col min="12327" max="12327" width="13.28515625" style="88" customWidth="1"/>
    <col min="12328" max="12328" width="18.28515625" style="88" customWidth="1"/>
    <col min="12329" max="12329" width="15.5703125" style="88" customWidth="1"/>
    <col min="12330" max="12332" width="12" style="88" customWidth="1"/>
    <col min="12333" max="12333" width="14.42578125" style="88" bestFit="1" customWidth="1"/>
    <col min="12334" max="12335" width="12" style="88" customWidth="1"/>
    <col min="12336" max="12336" width="14.42578125" style="88" bestFit="1" customWidth="1"/>
    <col min="12337" max="12337" width="15.28515625" style="88" bestFit="1" customWidth="1"/>
    <col min="12338" max="12338" width="12.85546875" style="88" customWidth="1"/>
    <col min="12339" max="12339" width="12.42578125" style="88" customWidth="1"/>
    <col min="12340" max="12340" width="30.42578125" style="88" customWidth="1"/>
    <col min="12341" max="12341" width="28.5703125" style="88" customWidth="1"/>
    <col min="12342" max="12342" width="10.42578125" style="88" customWidth="1"/>
    <col min="12343" max="12343" width="9" style="88" customWidth="1"/>
    <col min="12344" max="12344" width="16.7109375" style="88" customWidth="1"/>
    <col min="12345" max="12346" width="1.5703125" style="88" customWidth="1"/>
    <col min="12347" max="12347" width="9.140625" style="88"/>
    <col min="12348" max="12348" width="30.5703125" style="88" customWidth="1"/>
    <col min="12349" max="12557" width="9.140625" style="88"/>
    <col min="12558" max="12558" width="9.85546875" style="88" customWidth="1"/>
    <col min="12559" max="12559" width="6.7109375" style="88" customWidth="1"/>
    <col min="12560" max="12560" width="7.5703125" style="88" customWidth="1"/>
    <col min="12561" max="12570" width="17.28515625" style="88" customWidth="1"/>
    <col min="12571" max="12571" width="1.7109375" style="88" customWidth="1"/>
    <col min="12572" max="12572" width="2.5703125" style="88" customWidth="1"/>
    <col min="12573" max="12573" width="10.5703125" style="88" customWidth="1"/>
    <col min="12574" max="12574" width="12.28515625" style="88" customWidth="1"/>
    <col min="12575" max="12575" width="10" style="88" customWidth="1"/>
    <col min="12576" max="12576" width="9.28515625" style="88" customWidth="1"/>
    <col min="12577" max="12578" width="10.85546875" style="88" customWidth="1"/>
    <col min="12579" max="12582" width="9.7109375" style="88" customWidth="1"/>
    <col min="12583" max="12583" width="13.28515625" style="88" customWidth="1"/>
    <col min="12584" max="12584" width="18.28515625" style="88" customWidth="1"/>
    <col min="12585" max="12585" width="15.5703125" style="88" customWidth="1"/>
    <col min="12586" max="12588" width="12" style="88" customWidth="1"/>
    <col min="12589" max="12589" width="14.42578125" style="88" bestFit="1" customWidth="1"/>
    <col min="12590" max="12591" width="12" style="88" customWidth="1"/>
    <col min="12592" max="12592" width="14.42578125" style="88" bestFit="1" customWidth="1"/>
    <col min="12593" max="12593" width="15.28515625" style="88" bestFit="1" customWidth="1"/>
    <col min="12594" max="12594" width="12.85546875" style="88" customWidth="1"/>
    <col min="12595" max="12595" width="12.42578125" style="88" customWidth="1"/>
    <col min="12596" max="12596" width="30.42578125" style="88" customWidth="1"/>
    <col min="12597" max="12597" width="28.5703125" style="88" customWidth="1"/>
    <col min="12598" max="12598" width="10.42578125" style="88" customWidth="1"/>
    <col min="12599" max="12599" width="9" style="88" customWidth="1"/>
    <col min="12600" max="12600" width="16.7109375" style="88" customWidth="1"/>
    <col min="12601" max="12602" width="1.5703125" style="88" customWidth="1"/>
    <col min="12603" max="12603" width="9.140625" style="88"/>
    <col min="12604" max="12604" width="30.5703125" style="88" customWidth="1"/>
    <col min="12605" max="12813" width="9.140625" style="88"/>
    <col min="12814" max="12814" width="9.85546875" style="88" customWidth="1"/>
    <col min="12815" max="12815" width="6.7109375" style="88" customWidth="1"/>
    <col min="12816" max="12816" width="7.5703125" style="88" customWidth="1"/>
    <col min="12817" max="12826" width="17.28515625" style="88" customWidth="1"/>
    <col min="12827" max="12827" width="1.7109375" style="88" customWidth="1"/>
    <col min="12828" max="12828" width="2.5703125" style="88" customWidth="1"/>
    <col min="12829" max="12829" width="10.5703125" style="88" customWidth="1"/>
    <col min="12830" max="12830" width="12.28515625" style="88" customWidth="1"/>
    <col min="12831" max="12831" width="10" style="88" customWidth="1"/>
    <col min="12832" max="12832" width="9.28515625" style="88" customWidth="1"/>
    <col min="12833" max="12834" width="10.85546875" style="88" customWidth="1"/>
    <col min="12835" max="12838" width="9.7109375" style="88" customWidth="1"/>
    <col min="12839" max="12839" width="13.28515625" style="88" customWidth="1"/>
    <col min="12840" max="12840" width="18.28515625" style="88" customWidth="1"/>
    <col min="12841" max="12841" width="15.5703125" style="88" customWidth="1"/>
    <col min="12842" max="12844" width="12" style="88" customWidth="1"/>
    <col min="12845" max="12845" width="14.42578125" style="88" bestFit="1" customWidth="1"/>
    <col min="12846" max="12847" width="12" style="88" customWidth="1"/>
    <col min="12848" max="12848" width="14.42578125" style="88" bestFit="1" customWidth="1"/>
    <col min="12849" max="12849" width="15.28515625" style="88" bestFit="1" customWidth="1"/>
    <col min="12850" max="12850" width="12.85546875" style="88" customWidth="1"/>
    <col min="12851" max="12851" width="12.42578125" style="88" customWidth="1"/>
    <col min="12852" max="12852" width="30.42578125" style="88" customWidth="1"/>
    <col min="12853" max="12853" width="28.5703125" style="88" customWidth="1"/>
    <col min="12854" max="12854" width="10.42578125" style="88" customWidth="1"/>
    <col min="12855" max="12855" width="9" style="88" customWidth="1"/>
    <col min="12856" max="12856" width="16.7109375" style="88" customWidth="1"/>
    <col min="12857" max="12858" width="1.5703125" style="88" customWidth="1"/>
    <col min="12859" max="12859" width="9.140625" style="88"/>
    <col min="12860" max="12860" width="30.5703125" style="88" customWidth="1"/>
    <col min="12861" max="13069" width="9.140625" style="88"/>
    <col min="13070" max="13070" width="9.85546875" style="88" customWidth="1"/>
    <col min="13071" max="13071" width="6.7109375" style="88" customWidth="1"/>
    <col min="13072" max="13072" width="7.5703125" style="88" customWidth="1"/>
    <col min="13073" max="13082" width="17.28515625" style="88" customWidth="1"/>
    <col min="13083" max="13083" width="1.7109375" style="88" customWidth="1"/>
    <col min="13084" max="13084" width="2.5703125" style="88" customWidth="1"/>
    <col min="13085" max="13085" width="10.5703125" style="88" customWidth="1"/>
    <col min="13086" max="13086" width="12.28515625" style="88" customWidth="1"/>
    <col min="13087" max="13087" width="10" style="88" customWidth="1"/>
    <col min="13088" max="13088" width="9.28515625" style="88" customWidth="1"/>
    <col min="13089" max="13090" width="10.85546875" style="88" customWidth="1"/>
    <col min="13091" max="13094" width="9.7109375" style="88" customWidth="1"/>
    <col min="13095" max="13095" width="13.28515625" style="88" customWidth="1"/>
    <col min="13096" max="13096" width="18.28515625" style="88" customWidth="1"/>
    <col min="13097" max="13097" width="15.5703125" style="88" customWidth="1"/>
    <col min="13098" max="13100" width="12" style="88" customWidth="1"/>
    <col min="13101" max="13101" width="14.42578125" style="88" bestFit="1" customWidth="1"/>
    <col min="13102" max="13103" width="12" style="88" customWidth="1"/>
    <col min="13104" max="13104" width="14.42578125" style="88" bestFit="1" customWidth="1"/>
    <col min="13105" max="13105" width="15.28515625" style="88" bestFit="1" customWidth="1"/>
    <col min="13106" max="13106" width="12.85546875" style="88" customWidth="1"/>
    <col min="13107" max="13107" width="12.42578125" style="88" customWidth="1"/>
    <col min="13108" max="13108" width="30.42578125" style="88" customWidth="1"/>
    <col min="13109" max="13109" width="28.5703125" style="88" customWidth="1"/>
    <col min="13110" max="13110" width="10.42578125" style="88" customWidth="1"/>
    <col min="13111" max="13111" width="9" style="88" customWidth="1"/>
    <col min="13112" max="13112" width="16.7109375" style="88" customWidth="1"/>
    <col min="13113" max="13114" width="1.5703125" style="88" customWidth="1"/>
    <col min="13115" max="13115" width="9.140625" style="88"/>
    <col min="13116" max="13116" width="30.5703125" style="88" customWidth="1"/>
    <col min="13117" max="13325" width="9.140625" style="88"/>
    <col min="13326" max="13326" width="9.85546875" style="88" customWidth="1"/>
    <col min="13327" max="13327" width="6.7109375" style="88" customWidth="1"/>
    <col min="13328" max="13328" width="7.5703125" style="88" customWidth="1"/>
    <col min="13329" max="13338" width="17.28515625" style="88" customWidth="1"/>
    <col min="13339" max="13339" width="1.7109375" style="88" customWidth="1"/>
    <col min="13340" max="13340" width="2.5703125" style="88" customWidth="1"/>
    <col min="13341" max="13341" width="10.5703125" style="88" customWidth="1"/>
    <col min="13342" max="13342" width="12.28515625" style="88" customWidth="1"/>
    <col min="13343" max="13343" width="10" style="88" customWidth="1"/>
    <col min="13344" max="13344" width="9.28515625" style="88" customWidth="1"/>
    <col min="13345" max="13346" width="10.85546875" style="88" customWidth="1"/>
    <col min="13347" max="13350" width="9.7109375" style="88" customWidth="1"/>
    <col min="13351" max="13351" width="13.28515625" style="88" customWidth="1"/>
    <col min="13352" max="13352" width="18.28515625" style="88" customWidth="1"/>
    <col min="13353" max="13353" width="15.5703125" style="88" customWidth="1"/>
    <col min="13354" max="13356" width="12" style="88" customWidth="1"/>
    <col min="13357" max="13357" width="14.42578125" style="88" bestFit="1" customWidth="1"/>
    <col min="13358" max="13359" width="12" style="88" customWidth="1"/>
    <col min="13360" max="13360" width="14.42578125" style="88" bestFit="1" customWidth="1"/>
    <col min="13361" max="13361" width="15.28515625" style="88" bestFit="1" customWidth="1"/>
    <col min="13362" max="13362" width="12.85546875" style="88" customWidth="1"/>
    <col min="13363" max="13363" width="12.42578125" style="88" customWidth="1"/>
    <col min="13364" max="13364" width="30.42578125" style="88" customWidth="1"/>
    <col min="13365" max="13365" width="28.5703125" style="88" customWidth="1"/>
    <col min="13366" max="13366" width="10.42578125" style="88" customWidth="1"/>
    <col min="13367" max="13367" width="9" style="88" customWidth="1"/>
    <col min="13368" max="13368" width="16.7109375" style="88" customWidth="1"/>
    <col min="13369" max="13370" width="1.5703125" style="88" customWidth="1"/>
    <col min="13371" max="13371" width="9.140625" style="88"/>
    <col min="13372" max="13372" width="30.5703125" style="88" customWidth="1"/>
    <col min="13373" max="13581" width="9.140625" style="88"/>
    <col min="13582" max="13582" width="9.85546875" style="88" customWidth="1"/>
    <col min="13583" max="13583" width="6.7109375" style="88" customWidth="1"/>
    <col min="13584" max="13584" width="7.5703125" style="88" customWidth="1"/>
    <col min="13585" max="13594" width="17.28515625" style="88" customWidth="1"/>
    <col min="13595" max="13595" width="1.7109375" style="88" customWidth="1"/>
    <col min="13596" max="13596" width="2.5703125" style="88" customWidth="1"/>
    <col min="13597" max="13597" width="10.5703125" style="88" customWidth="1"/>
    <col min="13598" max="13598" width="12.28515625" style="88" customWidth="1"/>
    <col min="13599" max="13599" width="10" style="88" customWidth="1"/>
    <col min="13600" max="13600" width="9.28515625" style="88" customWidth="1"/>
    <col min="13601" max="13602" width="10.85546875" style="88" customWidth="1"/>
    <col min="13603" max="13606" width="9.7109375" style="88" customWidth="1"/>
    <col min="13607" max="13607" width="13.28515625" style="88" customWidth="1"/>
    <col min="13608" max="13608" width="18.28515625" style="88" customWidth="1"/>
    <col min="13609" max="13609" width="15.5703125" style="88" customWidth="1"/>
    <col min="13610" max="13612" width="12" style="88" customWidth="1"/>
    <col min="13613" max="13613" width="14.42578125" style="88" bestFit="1" customWidth="1"/>
    <col min="13614" max="13615" width="12" style="88" customWidth="1"/>
    <col min="13616" max="13616" width="14.42578125" style="88" bestFit="1" customWidth="1"/>
    <col min="13617" max="13617" width="15.28515625" style="88" bestFit="1" customWidth="1"/>
    <col min="13618" max="13618" width="12.85546875" style="88" customWidth="1"/>
    <col min="13619" max="13619" width="12.42578125" style="88" customWidth="1"/>
    <col min="13620" max="13620" width="30.42578125" style="88" customWidth="1"/>
    <col min="13621" max="13621" width="28.5703125" style="88" customWidth="1"/>
    <col min="13622" max="13622" width="10.42578125" style="88" customWidth="1"/>
    <col min="13623" max="13623" width="9" style="88" customWidth="1"/>
    <col min="13624" max="13624" width="16.7109375" style="88" customWidth="1"/>
    <col min="13625" max="13626" width="1.5703125" style="88" customWidth="1"/>
    <col min="13627" max="13627" width="9.140625" style="88"/>
    <col min="13628" max="13628" width="30.5703125" style="88" customWidth="1"/>
    <col min="13629" max="13837" width="9.140625" style="88"/>
    <col min="13838" max="13838" width="9.85546875" style="88" customWidth="1"/>
    <col min="13839" max="13839" width="6.7109375" style="88" customWidth="1"/>
    <col min="13840" max="13840" width="7.5703125" style="88" customWidth="1"/>
    <col min="13841" max="13850" width="17.28515625" style="88" customWidth="1"/>
    <col min="13851" max="13851" width="1.7109375" style="88" customWidth="1"/>
    <col min="13852" max="13852" width="2.5703125" style="88" customWidth="1"/>
    <col min="13853" max="13853" width="10.5703125" style="88" customWidth="1"/>
    <col min="13854" max="13854" width="12.28515625" style="88" customWidth="1"/>
    <col min="13855" max="13855" width="10" style="88" customWidth="1"/>
    <col min="13856" max="13856" width="9.28515625" style="88" customWidth="1"/>
    <col min="13857" max="13858" width="10.85546875" style="88" customWidth="1"/>
    <col min="13859" max="13862" width="9.7109375" style="88" customWidth="1"/>
    <col min="13863" max="13863" width="13.28515625" style="88" customWidth="1"/>
    <col min="13864" max="13864" width="18.28515625" style="88" customWidth="1"/>
    <col min="13865" max="13865" width="15.5703125" style="88" customWidth="1"/>
    <col min="13866" max="13868" width="12" style="88" customWidth="1"/>
    <col min="13869" max="13869" width="14.42578125" style="88" bestFit="1" customWidth="1"/>
    <col min="13870" max="13871" width="12" style="88" customWidth="1"/>
    <col min="13872" max="13872" width="14.42578125" style="88" bestFit="1" customWidth="1"/>
    <col min="13873" max="13873" width="15.28515625" style="88" bestFit="1" customWidth="1"/>
    <col min="13874" max="13874" width="12.85546875" style="88" customWidth="1"/>
    <col min="13875" max="13875" width="12.42578125" style="88" customWidth="1"/>
    <col min="13876" max="13876" width="30.42578125" style="88" customWidth="1"/>
    <col min="13877" max="13877" width="28.5703125" style="88" customWidth="1"/>
    <col min="13878" max="13878" width="10.42578125" style="88" customWidth="1"/>
    <col min="13879" max="13879" width="9" style="88" customWidth="1"/>
    <col min="13880" max="13880" width="16.7109375" style="88" customWidth="1"/>
    <col min="13881" max="13882" width="1.5703125" style="88" customWidth="1"/>
    <col min="13883" max="13883" width="9.140625" style="88"/>
    <col min="13884" max="13884" width="30.5703125" style="88" customWidth="1"/>
    <col min="13885" max="14093" width="9.140625" style="88"/>
    <col min="14094" max="14094" width="9.85546875" style="88" customWidth="1"/>
    <col min="14095" max="14095" width="6.7109375" style="88" customWidth="1"/>
    <col min="14096" max="14096" width="7.5703125" style="88" customWidth="1"/>
    <col min="14097" max="14106" width="17.28515625" style="88" customWidth="1"/>
    <col min="14107" max="14107" width="1.7109375" style="88" customWidth="1"/>
    <col min="14108" max="14108" width="2.5703125" style="88" customWidth="1"/>
    <col min="14109" max="14109" width="10.5703125" style="88" customWidth="1"/>
    <col min="14110" max="14110" width="12.28515625" style="88" customWidth="1"/>
    <col min="14111" max="14111" width="10" style="88" customWidth="1"/>
    <col min="14112" max="14112" width="9.28515625" style="88" customWidth="1"/>
    <col min="14113" max="14114" width="10.85546875" style="88" customWidth="1"/>
    <col min="14115" max="14118" width="9.7109375" style="88" customWidth="1"/>
    <col min="14119" max="14119" width="13.28515625" style="88" customWidth="1"/>
    <col min="14120" max="14120" width="18.28515625" style="88" customWidth="1"/>
    <col min="14121" max="14121" width="15.5703125" style="88" customWidth="1"/>
    <col min="14122" max="14124" width="12" style="88" customWidth="1"/>
    <col min="14125" max="14125" width="14.42578125" style="88" bestFit="1" customWidth="1"/>
    <col min="14126" max="14127" width="12" style="88" customWidth="1"/>
    <col min="14128" max="14128" width="14.42578125" style="88" bestFit="1" customWidth="1"/>
    <col min="14129" max="14129" width="15.28515625" style="88" bestFit="1" customWidth="1"/>
    <col min="14130" max="14130" width="12.85546875" style="88" customWidth="1"/>
    <col min="14131" max="14131" width="12.42578125" style="88" customWidth="1"/>
    <col min="14132" max="14132" width="30.42578125" style="88" customWidth="1"/>
    <col min="14133" max="14133" width="28.5703125" style="88" customWidth="1"/>
    <col min="14134" max="14134" width="10.42578125" style="88" customWidth="1"/>
    <col min="14135" max="14135" width="9" style="88" customWidth="1"/>
    <col min="14136" max="14136" width="16.7109375" style="88" customWidth="1"/>
    <col min="14137" max="14138" width="1.5703125" style="88" customWidth="1"/>
    <col min="14139" max="14139" width="9.140625" style="88"/>
    <col min="14140" max="14140" width="30.5703125" style="88" customWidth="1"/>
    <col min="14141" max="14349" width="9.140625" style="88"/>
    <col min="14350" max="14350" width="9.85546875" style="88" customWidth="1"/>
    <col min="14351" max="14351" width="6.7109375" style="88" customWidth="1"/>
    <col min="14352" max="14352" width="7.5703125" style="88" customWidth="1"/>
    <col min="14353" max="14362" width="17.28515625" style="88" customWidth="1"/>
    <col min="14363" max="14363" width="1.7109375" style="88" customWidth="1"/>
    <col min="14364" max="14364" width="2.5703125" style="88" customWidth="1"/>
    <col min="14365" max="14365" width="10.5703125" style="88" customWidth="1"/>
    <col min="14366" max="14366" width="12.28515625" style="88" customWidth="1"/>
    <col min="14367" max="14367" width="10" style="88" customWidth="1"/>
    <col min="14368" max="14368" width="9.28515625" style="88" customWidth="1"/>
    <col min="14369" max="14370" width="10.85546875" style="88" customWidth="1"/>
    <col min="14371" max="14374" width="9.7109375" style="88" customWidth="1"/>
    <col min="14375" max="14375" width="13.28515625" style="88" customWidth="1"/>
    <col min="14376" max="14376" width="18.28515625" style="88" customWidth="1"/>
    <col min="14377" max="14377" width="15.5703125" style="88" customWidth="1"/>
    <col min="14378" max="14380" width="12" style="88" customWidth="1"/>
    <col min="14381" max="14381" width="14.42578125" style="88" bestFit="1" customWidth="1"/>
    <col min="14382" max="14383" width="12" style="88" customWidth="1"/>
    <col min="14384" max="14384" width="14.42578125" style="88" bestFit="1" customWidth="1"/>
    <col min="14385" max="14385" width="15.28515625" style="88" bestFit="1" customWidth="1"/>
    <col min="14386" max="14386" width="12.85546875" style="88" customWidth="1"/>
    <col min="14387" max="14387" width="12.42578125" style="88" customWidth="1"/>
    <col min="14388" max="14388" width="30.42578125" style="88" customWidth="1"/>
    <col min="14389" max="14389" width="28.5703125" style="88" customWidth="1"/>
    <col min="14390" max="14390" width="10.42578125" style="88" customWidth="1"/>
    <col min="14391" max="14391" width="9" style="88" customWidth="1"/>
    <col min="14392" max="14392" width="16.7109375" style="88" customWidth="1"/>
    <col min="14393" max="14394" width="1.5703125" style="88" customWidth="1"/>
    <col min="14395" max="14395" width="9.140625" style="88"/>
    <col min="14396" max="14396" width="30.5703125" style="88" customWidth="1"/>
    <col min="14397" max="14605" width="9.140625" style="88"/>
    <col min="14606" max="14606" width="9.85546875" style="88" customWidth="1"/>
    <col min="14607" max="14607" width="6.7109375" style="88" customWidth="1"/>
    <col min="14608" max="14608" width="7.5703125" style="88" customWidth="1"/>
    <col min="14609" max="14618" width="17.28515625" style="88" customWidth="1"/>
    <col min="14619" max="14619" width="1.7109375" style="88" customWidth="1"/>
    <col min="14620" max="14620" width="2.5703125" style="88" customWidth="1"/>
    <col min="14621" max="14621" width="10.5703125" style="88" customWidth="1"/>
    <col min="14622" max="14622" width="12.28515625" style="88" customWidth="1"/>
    <col min="14623" max="14623" width="10" style="88" customWidth="1"/>
    <col min="14624" max="14624" width="9.28515625" style="88" customWidth="1"/>
    <col min="14625" max="14626" width="10.85546875" style="88" customWidth="1"/>
    <col min="14627" max="14630" width="9.7109375" style="88" customWidth="1"/>
    <col min="14631" max="14631" width="13.28515625" style="88" customWidth="1"/>
    <col min="14632" max="14632" width="18.28515625" style="88" customWidth="1"/>
    <col min="14633" max="14633" width="15.5703125" style="88" customWidth="1"/>
    <col min="14634" max="14636" width="12" style="88" customWidth="1"/>
    <col min="14637" max="14637" width="14.42578125" style="88" bestFit="1" customWidth="1"/>
    <col min="14638" max="14639" width="12" style="88" customWidth="1"/>
    <col min="14640" max="14640" width="14.42578125" style="88" bestFit="1" customWidth="1"/>
    <col min="14641" max="14641" width="15.28515625" style="88" bestFit="1" customWidth="1"/>
    <col min="14642" max="14642" width="12.85546875" style="88" customWidth="1"/>
    <col min="14643" max="14643" width="12.42578125" style="88" customWidth="1"/>
    <col min="14644" max="14644" width="30.42578125" style="88" customWidth="1"/>
    <col min="14645" max="14645" width="28.5703125" style="88" customWidth="1"/>
    <col min="14646" max="14646" width="10.42578125" style="88" customWidth="1"/>
    <col min="14647" max="14647" width="9" style="88" customWidth="1"/>
    <col min="14648" max="14648" width="16.7109375" style="88" customWidth="1"/>
    <col min="14649" max="14650" width="1.5703125" style="88" customWidth="1"/>
    <col min="14651" max="14651" width="9.140625" style="88"/>
    <col min="14652" max="14652" width="30.5703125" style="88" customWidth="1"/>
    <col min="14653" max="14861" width="9.140625" style="88"/>
    <col min="14862" max="14862" width="9.85546875" style="88" customWidth="1"/>
    <col min="14863" max="14863" width="6.7109375" style="88" customWidth="1"/>
    <col min="14864" max="14864" width="7.5703125" style="88" customWidth="1"/>
    <col min="14865" max="14874" width="17.28515625" style="88" customWidth="1"/>
    <col min="14875" max="14875" width="1.7109375" style="88" customWidth="1"/>
    <col min="14876" max="14876" width="2.5703125" style="88" customWidth="1"/>
    <col min="14877" max="14877" width="10.5703125" style="88" customWidth="1"/>
    <col min="14878" max="14878" width="12.28515625" style="88" customWidth="1"/>
    <col min="14879" max="14879" width="10" style="88" customWidth="1"/>
    <col min="14880" max="14880" width="9.28515625" style="88" customWidth="1"/>
    <col min="14881" max="14882" width="10.85546875" style="88" customWidth="1"/>
    <col min="14883" max="14886" width="9.7109375" style="88" customWidth="1"/>
    <col min="14887" max="14887" width="13.28515625" style="88" customWidth="1"/>
    <col min="14888" max="14888" width="18.28515625" style="88" customWidth="1"/>
    <col min="14889" max="14889" width="15.5703125" style="88" customWidth="1"/>
    <col min="14890" max="14892" width="12" style="88" customWidth="1"/>
    <col min="14893" max="14893" width="14.42578125" style="88" bestFit="1" customWidth="1"/>
    <col min="14894" max="14895" width="12" style="88" customWidth="1"/>
    <col min="14896" max="14896" width="14.42578125" style="88" bestFit="1" customWidth="1"/>
    <col min="14897" max="14897" width="15.28515625" style="88" bestFit="1" customWidth="1"/>
    <col min="14898" max="14898" width="12.85546875" style="88" customWidth="1"/>
    <col min="14899" max="14899" width="12.42578125" style="88" customWidth="1"/>
    <col min="14900" max="14900" width="30.42578125" style="88" customWidth="1"/>
    <col min="14901" max="14901" width="28.5703125" style="88" customWidth="1"/>
    <col min="14902" max="14902" width="10.42578125" style="88" customWidth="1"/>
    <col min="14903" max="14903" width="9" style="88" customWidth="1"/>
    <col min="14904" max="14904" width="16.7109375" style="88" customWidth="1"/>
    <col min="14905" max="14906" width="1.5703125" style="88" customWidth="1"/>
    <col min="14907" max="14907" width="9.140625" style="88"/>
    <col min="14908" max="14908" width="30.5703125" style="88" customWidth="1"/>
    <col min="14909" max="15117" width="9.140625" style="88"/>
    <col min="15118" max="15118" width="9.85546875" style="88" customWidth="1"/>
    <col min="15119" max="15119" width="6.7109375" style="88" customWidth="1"/>
    <col min="15120" max="15120" width="7.5703125" style="88" customWidth="1"/>
    <col min="15121" max="15130" width="17.28515625" style="88" customWidth="1"/>
    <col min="15131" max="15131" width="1.7109375" style="88" customWidth="1"/>
    <col min="15132" max="15132" width="2.5703125" style="88" customWidth="1"/>
    <col min="15133" max="15133" width="10.5703125" style="88" customWidth="1"/>
    <col min="15134" max="15134" width="12.28515625" style="88" customWidth="1"/>
    <col min="15135" max="15135" width="10" style="88" customWidth="1"/>
    <col min="15136" max="15136" width="9.28515625" style="88" customWidth="1"/>
    <col min="15137" max="15138" width="10.85546875" style="88" customWidth="1"/>
    <col min="15139" max="15142" width="9.7109375" style="88" customWidth="1"/>
    <col min="15143" max="15143" width="13.28515625" style="88" customWidth="1"/>
    <col min="15144" max="15144" width="18.28515625" style="88" customWidth="1"/>
    <col min="15145" max="15145" width="15.5703125" style="88" customWidth="1"/>
    <col min="15146" max="15148" width="12" style="88" customWidth="1"/>
    <col min="15149" max="15149" width="14.42578125" style="88" bestFit="1" customWidth="1"/>
    <col min="15150" max="15151" width="12" style="88" customWidth="1"/>
    <col min="15152" max="15152" width="14.42578125" style="88" bestFit="1" customWidth="1"/>
    <col min="15153" max="15153" width="15.28515625" style="88" bestFit="1" customWidth="1"/>
    <col min="15154" max="15154" width="12.85546875" style="88" customWidth="1"/>
    <col min="15155" max="15155" width="12.42578125" style="88" customWidth="1"/>
    <col min="15156" max="15156" width="30.42578125" style="88" customWidth="1"/>
    <col min="15157" max="15157" width="28.5703125" style="88" customWidth="1"/>
    <col min="15158" max="15158" width="10.42578125" style="88" customWidth="1"/>
    <col min="15159" max="15159" width="9" style="88" customWidth="1"/>
    <col min="15160" max="15160" width="16.7109375" style="88" customWidth="1"/>
    <col min="15161" max="15162" width="1.5703125" style="88" customWidth="1"/>
    <col min="15163" max="15163" width="9.140625" style="88"/>
    <col min="15164" max="15164" width="30.5703125" style="88" customWidth="1"/>
    <col min="15165" max="15373" width="9.140625" style="88"/>
    <col min="15374" max="15374" width="9.85546875" style="88" customWidth="1"/>
    <col min="15375" max="15375" width="6.7109375" style="88" customWidth="1"/>
    <col min="15376" max="15376" width="7.5703125" style="88" customWidth="1"/>
    <col min="15377" max="15386" width="17.28515625" style="88" customWidth="1"/>
    <col min="15387" max="15387" width="1.7109375" style="88" customWidth="1"/>
    <col min="15388" max="15388" width="2.5703125" style="88" customWidth="1"/>
    <col min="15389" max="15389" width="10.5703125" style="88" customWidth="1"/>
    <col min="15390" max="15390" width="12.28515625" style="88" customWidth="1"/>
    <col min="15391" max="15391" width="10" style="88" customWidth="1"/>
    <col min="15392" max="15392" width="9.28515625" style="88" customWidth="1"/>
    <col min="15393" max="15394" width="10.85546875" style="88" customWidth="1"/>
    <col min="15395" max="15398" width="9.7109375" style="88" customWidth="1"/>
    <col min="15399" max="15399" width="13.28515625" style="88" customWidth="1"/>
    <col min="15400" max="15400" width="18.28515625" style="88" customWidth="1"/>
    <col min="15401" max="15401" width="15.5703125" style="88" customWidth="1"/>
    <col min="15402" max="15404" width="12" style="88" customWidth="1"/>
    <col min="15405" max="15405" width="14.42578125" style="88" bestFit="1" customWidth="1"/>
    <col min="15406" max="15407" width="12" style="88" customWidth="1"/>
    <col min="15408" max="15408" width="14.42578125" style="88" bestFit="1" customWidth="1"/>
    <col min="15409" max="15409" width="15.28515625" style="88" bestFit="1" customWidth="1"/>
    <col min="15410" max="15410" width="12.85546875" style="88" customWidth="1"/>
    <col min="15411" max="15411" width="12.42578125" style="88" customWidth="1"/>
    <col min="15412" max="15412" width="30.42578125" style="88" customWidth="1"/>
    <col min="15413" max="15413" width="28.5703125" style="88" customWidth="1"/>
    <col min="15414" max="15414" width="10.42578125" style="88" customWidth="1"/>
    <col min="15415" max="15415" width="9" style="88" customWidth="1"/>
    <col min="15416" max="15416" width="16.7109375" style="88" customWidth="1"/>
    <col min="15417" max="15418" width="1.5703125" style="88" customWidth="1"/>
    <col min="15419" max="15419" width="9.140625" style="88"/>
    <col min="15420" max="15420" width="30.5703125" style="88" customWidth="1"/>
    <col min="15421" max="15629" width="9.140625" style="88"/>
    <col min="15630" max="15630" width="9.85546875" style="88" customWidth="1"/>
    <col min="15631" max="15631" width="6.7109375" style="88" customWidth="1"/>
    <col min="15632" max="15632" width="7.5703125" style="88" customWidth="1"/>
    <col min="15633" max="15642" width="17.28515625" style="88" customWidth="1"/>
    <col min="15643" max="15643" width="1.7109375" style="88" customWidth="1"/>
    <col min="15644" max="15644" width="2.5703125" style="88" customWidth="1"/>
    <col min="15645" max="15645" width="10.5703125" style="88" customWidth="1"/>
    <col min="15646" max="15646" width="12.28515625" style="88" customWidth="1"/>
    <col min="15647" max="15647" width="10" style="88" customWidth="1"/>
    <col min="15648" max="15648" width="9.28515625" style="88" customWidth="1"/>
    <col min="15649" max="15650" width="10.85546875" style="88" customWidth="1"/>
    <col min="15651" max="15654" width="9.7109375" style="88" customWidth="1"/>
    <col min="15655" max="15655" width="13.28515625" style="88" customWidth="1"/>
    <col min="15656" max="15656" width="18.28515625" style="88" customWidth="1"/>
    <col min="15657" max="15657" width="15.5703125" style="88" customWidth="1"/>
    <col min="15658" max="15660" width="12" style="88" customWidth="1"/>
    <col min="15661" max="15661" width="14.42578125" style="88" bestFit="1" customWidth="1"/>
    <col min="15662" max="15663" width="12" style="88" customWidth="1"/>
    <col min="15664" max="15664" width="14.42578125" style="88" bestFit="1" customWidth="1"/>
    <col min="15665" max="15665" width="15.28515625" style="88" bestFit="1" customWidth="1"/>
    <col min="15666" max="15666" width="12.85546875" style="88" customWidth="1"/>
    <col min="15667" max="15667" width="12.42578125" style="88" customWidth="1"/>
    <col min="15668" max="15668" width="30.42578125" style="88" customWidth="1"/>
    <col min="15669" max="15669" width="28.5703125" style="88" customWidth="1"/>
    <col min="15670" max="15670" width="10.42578125" style="88" customWidth="1"/>
    <col min="15671" max="15671" width="9" style="88" customWidth="1"/>
    <col min="15672" max="15672" width="16.7109375" style="88" customWidth="1"/>
    <col min="15673" max="15674" width="1.5703125" style="88" customWidth="1"/>
    <col min="15675" max="15675" width="9.140625" style="88"/>
    <col min="15676" max="15676" width="30.5703125" style="88" customWidth="1"/>
    <col min="15677" max="15885" width="9.140625" style="88"/>
    <col min="15886" max="15886" width="9.85546875" style="88" customWidth="1"/>
    <col min="15887" max="15887" width="6.7109375" style="88" customWidth="1"/>
    <col min="15888" max="15888" width="7.5703125" style="88" customWidth="1"/>
    <col min="15889" max="15898" width="17.28515625" style="88" customWidth="1"/>
    <col min="15899" max="15899" width="1.7109375" style="88" customWidth="1"/>
    <col min="15900" max="15900" width="2.5703125" style="88" customWidth="1"/>
    <col min="15901" max="15901" width="10.5703125" style="88" customWidth="1"/>
    <col min="15902" max="15902" width="12.28515625" style="88" customWidth="1"/>
    <col min="15903" max="15903" width="10" style="88" customWidth="1"/>
    <col min="15904" max="15904" width="9.28515625" style="88" customWidth="1"/>
    <col min="15905" max="15906" width="10.85546875" style="88" customWidth="1"/>
    <col min="15907" max="15910" width="9.7109375" style="88" customWidth="1"/>
    <col min="15911" max="15911" width="13.28515625" style="88" customWidth="1"/>
    <col min="15912" max="15912" width="18.28515625" style="88" customWidth="1"/>
    <col min="15913" max="15913" width="15.5703125" style="88" customWidth="1"/>
    <col min="15914" max="15916" width="12" style="88" customWidth="1"/>
    <col min="15917" max="15917" width="14.42578125" style="88" bestFit="1" customWidth="1"/>
    <col min="15918" max="15919" width="12" style="88" customWidth="1"/>
    <col min="15920" max="15920" width="14.42578125" style="88" bestFit="1" customWidth="1"/>
    <col min="15921" max="15921" width="15.28515625" style="88" bestFit="1" customWidth="1"/>
    <col min="15922" max="15922" width="12.85546875" style="88" customWidth="1"/>
    <col min="15923" max="15923" width="12.42578125" style="88" customWidth="1"/>
    <col min="15924" max="15924" width="30.42578125" style="88" customWidth="1"/>
    <col min="15925" max="15925" width="28.5703125" style="88" customWidth="1"/>
    <col min="15926" max="15926" width="10.42578125" style="88" customWidth="1"/>
    <col min="15927" max="15927" width="9" style="88" customWidth="1"/>
    <col min="15928" max="15928" width="16.7109375" style="88" customWidth="1"/>
    <col min="15929" max="15930" width="1.5703125" style="88" customWidth="1"/>
    <col min="15931" max="15931" width="9.140625" style="88"/>
    <col min="15932" max="15932" width="30.5703125" style="88" customWidth="1"/>
    <col min="15933" max="16141" width="9.140625" style="88"/>
    <col min="16142" max="16142" width="9.85546875" style="88" customWidth="1"/>
    <col min="16143" max="16143" width="6.7109375" style="88" customWidth="1"/>
    <col min="16144" max="16144" width="7.5703125" style="88" customWidth="1"/>
    <col min="16145" max="16154" width="17.28515625" style="88" customWidth="1"/>
    <col min="16155" max="16155" width="1.7109375" style="88" customWidth="1"/>
    <col min="16156" max="16156" width="2.5703125" style="88" customWidth="1"/>
    <col min="16157" max="16157" width="10.5703125" style="88" customWidth="1"/>
    <col min="16158" max="16158" width="12.28515625" style="88" customWidth="1"/>
    <col min="16159" max="16159" width="10" style="88" customWidth="1"/>
    <col min="16160" max="16160" width="9.28515625" style="88" customWidth="1"/>
    <col min="16161" max="16162" width="10.85546875" style="88" customWidth="1"/>
    <col min="16163" max="16166" width="9.7109375" style="88" customWidth="1"/>
    <col min="16167" max="16167" width="13.28515625" style="88" customWidth="1"/>
    <col min="16168" max="16168" width="18.28515625" style="88" customWidth="1"/>
    <col min="16169" max="16169" width="15.5703125" style="88" customWidth="1"/>
    <col min="16170" max="16172" width="12" style="88" customWidth="1"/>
    <col min="16173" max="16173" width="14.42578125" style="88" bestFit="1" customWidth="1"/>
    <col min="16174" max="16175" width="12" style="88" customWidth="1"/>
    <col min="16176" max="16176" width="14.42578125" style="88" bestFit="1" customWidth="1"/>
    <col min="16177" max="16177" width="15.28515625" style="88" bestFit="1" customWidth="1"/>
    <col min="16178" max="16178" width="12.85546875" style="88" customWidth="1"/>
    <col min="16179" max="16179" width="12.42578125" style="88" customWidth="1"/>
    <col min="16180" max="16180" width="30.42578125" style="88" customWidth="1"/>
    <col min="16181" max="16181" width="28.5703125" style="88" customWidth="1"/>
    <col min="16182" max="16182" width="10.42578125" style="88" customWidth="1"/>
    <col min="16183" max="16183" width="9" style="88" customWidth="1"/>
    <col min="16184" max="16184" width="16.7109375" style="88" customWidth="1"/>
    <col min="16185" max="16186" width="1.5703125" style="88" customWidth="1"/>
    <col min="16187" max="16187" width="9.140625" style="88"/>
    <col min="16188" max="16188" width="30.5703125" style="88" customWidth="1"/>
    <col min="16189" max="16384" width="9.140625" style="88"/>
  </cols>
  <sheetData>
    <row r="1" spans="1:269" ht="27">
      <c r="A1" s="224" t="s" ph="1">
        <v>241</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4"/>
      <c r="AY1" s="224"/>
      <c r="AZ1" s="224"/>
      <c r="BA1" s="224"/>
      <c r="BB1" s="224"/>
      <c r="BC1" s="224"/>
      <c r="BD1" s="224"/>
      <c r="BE1" s="224"/>
      <c r="BF1" s="224"/>
      <c r="BG1" s="224"/>
      <c r="BH1" s="224"/>
      <c r="BI1" s="87"/>
      <c r="BJ1" s="87"/>
      <c r="BK1" s="87"/>
      <c r="BL1" s="87"/>
      <c r="BM1" s="87"/>
      <c r="BN1" s="87"/>
      <c r="BO1" s="87"/>
      <c r="BP1" s="87"/>
      <c r="BQ1" s="87"/>
      <c r="BR1" s="87"/>
      <c r="BS1" s="87"/>
      <c r="BT1" s="87"/>
      <c r="BU1" s="87"/>
      <c r="BV1" s="87"/>
      <c r="BW1" s="87"/>
      <c r="BX1" s="87"/>
      <c r="BY1" s="87"/>
      <c r="BZ1" s="87"/>
      <c r="CA1" s="87"/>
      <c r="CB1" s="87"/>
      <c r="CC1" s="87"/>
      <c r="CD1" s="87"/>
      <c r="CE1" s="87"/>
      <c r="CF1" s="87"/>
      <c r="CG1" s="87"/>
      <c r="CH1" s="87"/>
      <c r="CI1" s="87"/>
      <c r="CJ1" s="87"/>
      <c r="CK1" s="87"/>
      <c r="CL1" s="87"/>
      <c r="CM1" s="87"/>
      <c r="CN1" s="87"/>
      <c r="CO1" s="87"/>
      <c r="CP1" s="87"/>
      <c r="CQ1" s="87"/>
      <c r="CR1" s="87"/>
      <c r="CS1" s="87"/>
      <c r="CT1" s="87"/>
      <c r="CU1" s="87"/>
      <c r="CV1" s="87"/>
      <c r="CW1" s="87"/>
      <c r="CX1" s="87"/>
      <c r="CY1" s="87"/>
      <c r="CZ1" s="87"/>
      <c r="DA1" s="87"/>
      <c r="DB1" s="87"/>
      <c r="DC1" s="87"/>
      <c r="DD1" s="87"/>
      <c r="DE1" s="87"/>
      <c r="DF1" s="87"/>
      <c r="DG1" s="87"/>
      <c r="DH1" s="87"/>
      <c r="DI1" s="87"/>
      <c r="DJ1" s="87"/>
      <c r="DK1" s="87"/>
      <c r="DL1" s="87"/>
      <c r="DM1" s="87"/>
      <c r="DN1" s="87"/>
      <c r="DO1" s="87"/>
      <c r="DP1" s="87"/>
      <c r="DQ1" s="87"/>
      <c r="DR1" s="87"/>
      <c r="DS1" s="87"/>
      <c r="DT1" s="87"/>
      <c r="DU1" s="87"/>
      <c r="DV1" s="87"/>
      <c r="DW1" s="87"/>
      <c r="DX1" s="87"/>
      <c r="DY1" s="87"/>
      <c r="DZ1" s="87"/>
      <c r="EA1" s="87"/>
      <c r="EB1" s="87"/>
      <c r="EC1" s="87"/>
      <c r="ED1" s="87"/>
      <c r="EE1" s="87"/>
      <c r="EF1" s="87"/>
      <c r="EG1" s="87"/>
      <c r="EH1" s="87"/>
      <c r="EI1" s="87"/>
      <c r="EJ1" s="87"/>
      <c r="EK1" s="87"/>
      <c r="EL1" s="87"/>
      <c r="EM1" s="87"/>
      <c r="EN1" s="87"/>
      <c r="EO1" s="87"/>
      <c r="EP1" s="87"/>
      <c r="EQ1" s="87"/>
      <c r="ER1" s="87"/>
      <c r="ES1" s="87"/>
      <c r="ET1" s="87"/>
      <c r="EU1" s="87"/>
      <c r="EV1" s="87"/>
      <c r="EW1" s="87"/>
      <c r="EX1" s="87"/>
      <c r="EY1" s="87"/>
      <c r="EZ1" s="87"/>
      <c r="FA1" s="87"/>
      <c r="FB1" s="87"/>
      <c r="FC1" s="87"/>
      <c r="FD1" s="87"/>
      <c r="FE1" s="87"/>
      <c r="FF1" s="87"/>
      <c r="FG1" s="87"/>
      <c r="FH1" s="87"/>
      <c r="FI1" s="87"/>
      <c r="FJ1" s="87"/>
      <c r="FK1" s="87"/>
      <c r="FL1" s="87"/>
      <c r="FM1" s="87"/>
      <c r="FN1" s="87"/>
      <c r="FO1" s="87"/>
      <c r="FP1" s="87"/>
      <c r="FQ1" s="87"/>
      <c r="FR1" s="87"/>
      <c r="FS1" s="87"/>
      <c r="FT1" s="87"/>
      <c r="FU1" s="87"/>
      <c r="FV1" s="87"/>
      <c r="FW1" s="87"/>
      <c r="FX1" s="87"/>
      <c r="FY1" s="87"/>
      <c r="FZ1" s="87"/>
      <c r="GA1" s="87"/>
      <c r="GB1" s="87"/>
      <c r="GC1" s="87"/>
      <c r="GD1" s="87"/>
      <c r="GE1" s="87"/>
      <c r="GF1" s="87"/>
      <c r="GG1" s="87"/>
      <c r="GH1" s="87"/>
      <c r="GI1" s="87"/>
      <c r="GJ1" s="87"/>
      <c r="GK1" s="87"/>
      <c r="GL1" s="87"/>
      <c r="GM1" s="87"/>
      <c r="GN1" s="87"/>
      <c r="GO1" s="87"/>
      <c r="GP1" s="87"/>
      <c r="GQ1" s="87"/>
      <c r="GR1" s="87"/>
      <c r="GS1" s="87"/>
      <c r="GT1" s="87"/>
      <c r="GU1" s="87"/>
      <c r="GV1" s="87"/>
      <c r="GW1" s="87"/>
      <c r="GX1" s="87"/>
      <c r="GY1" s="87"/>
      <c r="GZ1" s="87"/>
      <c r="HA1" s="87"/>
      <c r="HB1" s="87"/>
      <c r="HC1" s="87"/>
      <c r="HD1" s="87"/>
      <c r="HE1" s="87"/>
      <c r="HF1" s="87"/>
      <c r="HG1" s="87"/>
      <c r="HH1" s="87"/>
      <c r="HI1" s="87"/>
      <c r="HJ1" s="87"/>
      <c r="HK1" s="87"/>
      <c r="HL1" s="87"/>
      <c r="HM1" s="87"/>
      <c r="HN1" s="87"/>
      <c r="HO1" s="87"/>
      <c r="HP1" s="87"/>
      <c r="HQ1" s="87"/>
      <c r="HR1" s="87"/>
      <c r="HS1" s="87"/>
      <c r="HT1" s="87"/>
      <c r="HU1" s="87"/>
      <c r="HV1" s="87"/>
      <c r="HW1" s="87"/>
      <c r="HX1" s="87"/>
      <c r="HY1" s="87"/>
      <c r="HZ1" s="87"/>
      <c r="IA1" s="87"/>
      <c r="IB1" s="87"/>
      <c r="IC1" s="87"/>
      <c r="ID1" s="87"/>
      <c r="IE1" s="87"/>
      <c r="IF1" s="87"/>
      <c r="IG1" s="87"/>
      <c r="IH1" s="87"/>
      <c r="II1" s="87"/>
      <c r="IJ1" s="87"/>
      <c r="IK1" s="87"/>
      <c r="IL1" s="87"/>
      <c r="IM1" s="87"/>
      <c r="IN1" s="87"/>
      <c r="IO1" s="87"/>
      <c r="IP1" s="87"/>
      <c r="IQ1" s="87"/>
      <c r="IR1" s="87"/>
      <c r="IS1" s="87"/>
      <c r="IT1" s="87"/>
      <c r="IU1" s="87"/>
      <c r="IV1" s="87"/>
      <c r="IW1" s="87"/>
      <c r="IX1" s="87"/>
      <c r="IY1" s="87"/>
      <c r="IZ1" s="87"/>
      <c r="JA1" s="87"/>
      <c r="JB1" s="87"/>
      <c r="JC1" s="87"/>
      <c r="JD1" s="87"/>
      <c r="JE1" s="87"/>
      <c r="JF1" s="87"/>
      <c r="JG1" s="87"/>
      <c r="JH1" s="87"/>
      <c r="JI1" s="87"/>
    </row>
    <row r="2" spans="1:269" ht="27">
      <c r="A2" s="223" t="s" ph="1">
        <v>229</v>
      </c>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M2" s="223"/>
      <c r="AN2" s="223"/>
      <c r="AO2" s="223"/>
      <c r="AP2" s="223"/>
      <c r="AQ2" s="223"/>
      <c r="AR2" s="223"/>
      <c r="AS2" s="223"/>
      <c r="AT2" s="223"/>
      <c r="AU2" s="223"/>
      <c r="AV2" s="223"/>
      <c r="AW2" s="223"/>
      <c r="AX2" s="223"/>
      <c r="AY2" s="223"/>
      <c r="AZ2" s="223"/>
      <c r="BA2" s="223"/>
      <c r="BB2" s="223"/>
      <c r="BC2" s="223"/>
      <c r="BD2" s="223"/>
      <c r="BE2" s="223"/>
      <c r="BF2" s="223"/>
      <c r="BG2" s="223"/>
      <c r="BH2" s="223"/>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7"/>
      <c r="ED2" s="87"/>
      <c r="EE2" s="87"/>
      <c r="EF2" s="87"/>
      <c r="EG2" s="87"/>
      <c r="EH2" s="87"/>
      <c r="EI2" s="87"/>
      <c r="EJ2" s="87"/>
      <c r="EK2" s="87"/>
      <c r="EL2" s="87"/>
      <c r="EM2" s="87"/>
      <c r="EN2" s="87"/>
      <c r="EO2" s="87"/>
      <c r="EP2" s="87"/>
      <c r="EQ2" s="87"/>
      <c r="ER2" s="87"/>
      <c r="ES2" s="87"/>
      <c r="ET2" s="87"/>
      <c r="EU2" s="87"/>
      <c r="EV2" s="87"/>
      <c r="EW2" s="87"/>
      <c r="EX2" s="87"/>
      <c r="EY2" s="87"/>
      <c r="EZ2" s="87"/>
      <c r="FA2" s="87"/>
      <c r="FB2" s="87"/>
      <c r="FC2" s="87"/>
      <c r="FD2" s="87"/>
      <c r="FE2" s="87"/>
      <c r="FF2" s="87"/>
      <c r="FG2" s="87"/>
      <c r="FH2" s="87"/>
      <c r="FI2" s="87"/>
      <c r="FJ2" s="87"/>
      <c r="FK2" s="87"/>
      <c r="FL2" s="87"/>
      <c r="FM2" s="87"/>
      <c r="FN2" s="87"/>
      <c r="FO2" s="87"/>
      <c r="FP2" s="87"/>
      <c r="FQ2" s="87"/>
      <c r="FR2" s="87"/>
      <c r="FS2" s="87"/>
      <c r="FT2" s="87"/>
      <c r="FU2" s="87"/>
      <c r="FV2" s="87"/>
      <c r="FW2" s="87"/>
      <c r="FX2" s="87"/>
      <c r="FY2" s="87"/>
      <c r="FZ2" s="87"/>
      <c r="GA2" s="87"/>
      <c r="GB2" s="87"/>
      <c r="GC2" s="87"/>
      <c r="GD2" s="87"/>
      <c r="GE2" s="87"/>
      <c r="GF2" s="87"/>
      <c r="GG2" s="87"/>
      <c r="GH2" s="87"/>
      <c r="GI2" s="87"/>
      <c r="GJ2" s="87"/>
      <c r="GK2" s="87"/>
      <c r="GL2" s="87"/>
      <c r="GM2" s="87"/>
      <c r="GN2" s="87"/>
      <c r="GO2" s="87"/>
      <c r="GP2" s="87"/>
      <c r="GQ2" s="87"/>
      <c r="GR2" s="87"/>
      <c r="GS2" s="87"/>
      <c r="GT2" s="87"/>
      <c r="GU2" s="87"/>
      <c r="GV2" s="87"/>
      <c r="GW2" s="87"/>
      <c r="GX2" s="87"/>
      <c r="GY2" s="87"/>
      <c r="GZ2" s="87"/>
      <c r="HA2" s="87"/>
      <c r="HB2" s="87"/>
      <c r="HC2" s="87"/>
      <c r="HD2" s="87"/>
      <c r="HE2" s="87"/>
      <c r="HF2" s="87"/>
      <c r="HG2" s="87"/>
      <c r="HH2" s="87"/>
      <c r="HI2" s="87"/>
      <c r="HJ2" s="87"/>
      <c r="HK2" s="87"/>
      <c r="HL2" s="87"/>
      <c r="HM2" s="87"/>
      <c r="HN2" s="87"/>
      <c r="HO2" s="87"/>
      <c r="HP2" s="87"/>
      <c r="HQ2" s="87"/>
      <c r="HR2" s="87"/>
      <c r="HS2" s="87"/>
      <c r="HT2" s="87"/>
      <c r="HU2" s="87"/>
      <c r="HV2" s="87"/>
      <c r="HW2" s="87"/>
      <c r="HX2" s="87"/>
      <c r="HY2" s="87"/>
      <c r="HZ2" s="87"/>
      <c r="IA2" s="87"/>
      <c r="IB2" s="87"/>
      <c r="IC2" s="87"/>
      <c r="ID2" s="87"/>
      <c r="IE2" s="87"/>
      <c r="IF2" s="87"/>
      <c r="IG2" s="87"/>
      <c r="IH2" s="87"/>
      <c r="II2" s="87"/>
      <c r="IJ2" s="87"/>
      <c r="IK2" s="87"/>
      <c r="IL2" s="87"/>
      <c r="IM2" s="87"/>
      <c r="IN2" s="87"/>
      <c r="IO2" s="87"/>
      <c r="IP2" s="87"/>
      <c r="IQ2" s="87"/>
      <c r="IR2" s="87"/>
      <c r="IS2" s="87"/>
      <c r="IT2" s="87"/>
      <c r="IU2" s="87"/>
      <c r="IV2" s="87"/>
      <c r="IW2" s="87"/>
      <c r="IX2" s="87"/>
      <c r="IY2" s="87"/>
      <c r="IZ2" s="87"/>
      <c r="JA2" s="87"/>
      <c r="JB2" s="87"/>
      <c r="JC2" s="87"/>
      <c r="JD2" s="87"/>
      <c r="JE2" s="87"/>
      <c r="JF2" s="87"/>
      <c r="JG2" s="87"/>
      <c r="JH2" s="87"/>
      <c r="JI2" s="87"/>
    </row>
    <row r="3" spans="1:269" ht="18.75">
      <c r="A3" s="22" ph="1"/>
      <c r="B3" s="22" ph="1"/>
      <c r="C3" s="22" ph="1"/>
      <c r="D3" s="22" ph="1"/>
      <c r="E3" s="22" ph="1"/>
      <c r="F3" s="22" ph="1"/>
      <c r="G3" s="22" ph="1"/>
      <c r="H3" s="22" ph="1"/>
      <c r="I3" s="22" ph="1"/>
      <c r="J3" s="22" ph="1"/>
      <c r="K3" s="22" ph="1"/>
      <c r="L3" s="22" ph="1"/>
      <c r="M3" s="22" ph="1"/>
      <c r="N3" s="22" ph="1"/>
      <c r="O3" s="22" ph="1"/>
      <c r="P3" s="22" ph="1"/>
      <c r="Q3" s="22" ph="1"/>
      <c r="R3" s="22" ph="1"/>
      <c r="S3" s="22" ph="1"/>
      <c r="T3" s="22" ph="1"/>
      <c r="U3" s="22" ph="1"/>
      <c r="V3" s="22" ph="1"/>
      <c r="W3" s="22" ph="1"/>
      <c r="X3" s="22" ph="1"/>
      <c r="Y3" s="22" ph="1"/>
      <c r="Z3" s="22" ph="1"/>
      <c r="AA3" s="22" ph="1"/>
      <c r="AB3" s="22" ph="1"/>
      <c r="AC3" s="22" ph="1"/>
      <c r="AD3" s="22" ph="1"/>
      <c r="AE3" s="22" ph="1"/>
      <c r="AF3" s="22" ph="1"/>
      <c r="AG3" s="22" ph="1"/>
      <c r="AH3" s="22" ph="1"/>
      <c r="AI3" s="22" ph="1"/>
      <c r="AJ3" s="22" ph="1"/>
      <c r="AK3" s="22" ph="1"/>
      <c r="AL3" s="22" ph="1"/>
      <c r="AM3" s="22" ph="1"/>
      <c r="AN3" s="22" ph="1"/>
      <c r="AO3" s="22" ph="1"/>
      <c r="AP3" s="22" ph="1"/>
      <c r="AQ3" s="22" ph="1"/>
      <c r="AR3" s="22" ph="1"/>
      <c r="AS3" s="22" ph="1"/>
      <c r="AT3" s="22" ph="1"/>
      <c r="AU3" s="22" ph="1"/>
      <c r="AV3" s="22" ph="1"/>
      <c r="AW3" s="65" ph="1"/>
      <c r="AX3" s="22" ph="1"/>
      <c r="AY3" s="125" ph="1"/>
      <c r="AZ3" s="125" ph="1"/>
      <c r="BA3" s="125" ph="1"/>
      <c r="BB3" s="125" ph="1"/>
      <c r="BC3" s="22" ph="1"/>
      <c r="BD3" s="89"/>
      <c r="BE3" s="89"/>
      <c r="BF3" s="89"/>
      <c r="BG3" s="89"/>
      <c r="BH3" s="9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c r="FP3" s="20"/>
      <c r="FQ3" s="20"/>
      <c r="FR3" s="20"/>
      <c r="FS3" s="20"/>
      <c r="FT3" s="20"/>
      <c r="FU3" s="20"/>
      <c r="FV3" s="20"/>
      <c r="FW3" s="20"/>
      <c r="FX3" s="20"/>
      <c r="FY3" s="20"/>
      <c r="FZ3" s="20"/>
      <c r="GA3" s="20"/>
      <c r="GB3" s="20"/>
      <c r="GC3" s="20"/>
      <c r="GD3" s="20"/>
      <c r="GE3" s="20"/>
      <c r="GF3" s="20"/>
      <c r="GG3" s="20"/>
      <c r="GH3" s="20"/>
      <c r="GI3" s="20"/>
      <c r="GJ3" s="20"/>
      <c r="GK3" s="20"/>
      <c r="GL3" s="20"/>
      <c r="GM3" s="20"/>
      <c r="GN3" s="20"/>
      <c r="GO3" s="20"/>
      <c r="GP3" s="20"/>
      <c r="GQ3" s="20"/>
      <c r="GR3" s="20"/>
      <c r="GS3" s="20"/>
      <c r="GT3" s="20"/>
      <c r="GU3" s="20"/>
      <c r="GV3" s="20"/>
      <c r="GW3" s="20"/>
      <c r="GX3" s="20"/>
      <c r="GY3" s="20"/>
      <c r="GZ3" s="20"/>
      <c r="HA3" s="20"/>
      <c r="HB3" s="20"/>
      <c r="HC3" s="20"/>
      <c r="HD3" s="20"/>
      <c r="HE3" s="20"/>
      <c r="HF3" s="20"/>
      <c r="HG3" s="20"/>
      <c r="HH3" s="20"/>
      <c r="HI3" s="20"/>
      <c r="HJ3" s="20"/>
      <c r="HK3" s="20"/>
      <c r="HL3" s="20"/>
      <c r="HM3" s="20"/>
      <c r="HN3" s="20"/>
      <c r="HO3" s="20"/>
      <c r="HP3" s="20"/>
      <c r="HQ3" s="20"/>
      <c r="HR3" s="20"/>
      <c r="HS3" s="20"/>
      <c r="HT3" s="20"/>
      <c r="HU3" s="20"/>
      <c r="HV3" s="20"/>
      <c r="HW3" s="20"/>
      <c r="HX3" s="20"/>
      <c r="HY3" s="20"/>
      <c r="HZ3" s="20"/>
      <c r="IA3" s="20"/>
      <c r="IB3" s="20"/>
      <c r="IC3" s="20"/>
      <c r="ID3" s="20"/>
      <c r="IE3" s="20"/>
      <c r="IF3" s="20"/>
      <c r="IG3" s="20"/>
      <c r="IH3" s="20"/>
      <c r="II3" s="20"/>
      <c r="IJ3" s="20"/>
      <c r="IK3" s="20"/>
      <c r="IL3" s="20"/>
      <c r="IM3" s="20"/>
      <c r="IN3" s="20"/>
      <c r="IO3" s="20"/>
      <c r="IP3" s="20"/>
      <c r="IQ3" s="20"/>
      <c r="IR3" s="20"/>
      <c r="IS3" s="20"/>
      <c r="IT3" s="20"/>
      <c r="IU3" s="20"/>
      <c r="IV3" s="20"/>
      <c r="IW3" s="20"/>
      <c r="IX3" s="20"/>
      <c r="IY3" s="20"/>
      <c r="IZ3" s="20"/>
      <c r="JA3" s="20"/>
      <c r="JB3" s="20"/>
      <c r="JC3" s="20"/>
      <c r="JD3" s="20"/>
      <c r="JE3" s="20"/>
      <c r="JF3" s="20"/>
      <c r="JG3" s="20"/>
      <c r="JH3" s="20"/>
      <c r="JI3" s="20"/>
    </row>
    <row r="4" spans="1:269">
      <c r="A4" s="20" ph="1"/>
      <c r="B4" s="89" ph="1"/>
      <c r="C4" s="89" ph="1"/>
      <c r="D4" s="225" t="s" ph="1">
        <v>0</v>
      </c>
      <c r="E4" s="225" ph="1"/>
      <c r="F4" s="225" ph="1"/>
      <c r="G4" s="225" ph="1"/>
      <c r="H4" s="225" ph="1"/>
      <c r="I4" s="225" ph="1"/>
      <c r="J4" s="225" ph="1"/>
      <c r="K4" s="225" ph="1"/>
      <c r="L4" s="225" ph="1"/>
      <c r="M4" s="225" ph="1"/>
      <c r="N4" s="225" ph="1"/>
      <c r="O4" s="225" ph="1"/>
      <c r="P4" s="225" ph="1"/>
      <c r="Q4" s="225" ph="1"/>
      <c r="R4" s="32" ph="1"/>
      <c r="S4" s="123" ph="1"/>
      <c r="T4" s="226" t="s" ph="1">
        <v>1</v>
      </c>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91"/>
      <c r="BF4" s="92"/>
      <c r="BG4" s="227" t="s" ph="1">
        <v>2</v>
      </c>
      <c r="BH4" s="227"/>
      <c r="BI4" s="20" ph="1"/>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row>
    <row r="5" spans="1:269" ht="17.25" customHeight="1">
      <c r="A5" s="125" ph="1"/>
      <c r="B5" s="126" ph="1"/>
      <c r="C5" s="126" ph="1"/>
      <c r="D5" s="225" t="s" ph="1">
        <v>3</v>
      </c>
      <c r="E5" s="225" ph="1"/>
      <c r="F5" s="225" ph="1"/>
      <c r="G5" s="225" ph="1"/>
      <c r="H5" s="225" ph="1"/>
      <c r="I5" s="225" ph="1"/>
      <c r="J5" s="225" ph="1"/>
      <c r="K5" s="225" ph="1"/>
      <c r="L5" s="225" ph="1"/>
      <c r="M5" s="225" ph="1"/>
      <c r="N5" s="225" ph="1"/>
      <c r="O5" s="225" ph="1"/>
      <c r="P5" s="225" ph="1"/>
      <c r="Q5" s="225" ph="1"/>
      <c r="R5" s="32" ph="1"/>
      <c r="S5" s="123" ph="1"/>
      <c r="T5" s="225" t="s" ph="1">
        <v>4</v>
      </c>
      <c r="U5" s="225"/>
      <c r="V5" s="225"/>
      <c r="W5" s="225"/>
      <c r="X5" s="225"/>
      <c r="Y5" s="225"/>
      <c r="Z5" s="225"/>
      <c r="AA5" s="225"/>
      <c r="AB5" s="225"/>
      <c r="AC5" s="225"/>
      <c r="AD5" s="225"/>
      <c r="AE5" s="225"/>
      <c r="AF5" s="225"/>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126"/>
      <c r="BF5" s="93"/>
      <c r="BG5" s="228" t="s">
        <v>5</v>
      </c>
      <c r="BH5" s="228"/>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c r="DS5" s="125"/>
      <c r="DT5" s="125"/>
      <c r="DU5" s="125"/>
      <c r="DV5" s="125"/>
      <c r="DW5" s="125"/>
      <c r="DX5" s="125"/>
      <c r="DY5" s="125"/>
      <c r="DZ5" s="125"/>
      <c r="EA5" s="125"/>
      <c r="EB5" s="125"/>
      <c r="EC5" s="125"/>
      <c r="ED5" s="125"/>
      <c r="EE5" s="125"/>
      <c r="EF5" s="125"/>
      <c r="EG5" s="125"/>
      <c r="EH5" s="125"/>
      <c r="EI5" s="125"/>
      <c r="EJ5" s="125"/>
      <c r="EK5" s="125"/>
      <c r="EL5" s="125"/>
      <c r="EM5" s="125"/>
      <c r="EN5" s="125"/>
      <c r="EO5" s="125"/>
      <c r="EP5" s="125"/>
      <c r="EQ5" s="125"/>
      <c r="ER5" s="125"/>
      <c r="ES5" s="125"/>
      <c r="ET5" s="125"/>
      <c r="EU5" s="125"/>
      <c r="EV5" s="125"/>
      <c r="EW5" s="125"/>
      <c r="EX5" s="125"/>
      <c r="EY5" s="125"/>
      <c r="EZ5" s="125"/>
      <c r="FA5" s="125"/>
      <c r="FB5" s="125"/>
      <c r="FC5" s="125"/>
      <c r="FD5" s="125"/>
      <c r="FE5" s="125"/>
      <c r="FF5" s="125"/>
      <c r="FG5" s="125"/>
      <c r="FH5" s="125"/>
      <c r="FI5" s="125"/>
      <c r="FJ5" s="125"/>
      <c r="FK5" s="125"/>
      <c r="FL5" s="125"/>
      <c r="FM5" s="125"/>
      <c r="FN5" s="125"/>
      <c r="FO5" s="125"/>
      <c r="FP5" s="125"/>
      <c r="FQ5" s="125"/>
      <c r="FR5" s="125"/>
      <c r="FS5" s="125"/>
      <c r="FT5" s="125"/>
      <c r="FU5" s="125"/>
      <c r="FV5" s="125"/>
      <c r="FW5" s="125"/>
      <c r="FX5" s="125"/>
      <c r="FY5" s="125"/>
      <c r="FZ5" s="125"/>
      <c r="GA5" s="125"/>
      <c r="GB5" s="125"/>
      <c r="GC5" s="125"/>
      <c r="GD5" s="125"/>
      <c r="GE5" s="125"/>
      <c r="GF5" s="125"/>
      <c r="GG5" s="125"/>
      <c r="GH5" s="125"/>
      <c r="GI5" s="125"/>
      <c r="GJ5" s="125"/>
      <c r="GK5" s="125"/>
      <c r="GL5" s="125"/>
      <c r="GM5" s="125"/>
      <c r="GN5" s="125"/>
      <c r="GO5" s="125"/>
      <c r="GP5" s="125"/>
      <c r="GQ5" s="125"/>
      <c r="GR5" s="125"/>
      <c r="GS5" s="125"/>
      <c r="GT5" s="125"/>
      <c r="GU5" s="125"/>
      <c r="GV5" s="125"/>
      <c r="GW5" s="125"/>
      <c r="GX5" s="125"/>
      <c r="GY5" s="125"/>
      <c r="GZ5" s="125"/>
      <c r="HA5" s="125"/>
      <c r="HB5" s="125"/>
      <c r="HC5" s="125"/>
      <c r="HD5" s="125"/>
      <c r="HE5" s="125"/>
      <c r="HF5" s="125"/>
      <c r="HG5" s="125"/>
      <c r="HH5" s="125"/>
      <c r="HI5" s="125"/>
      <c r="HJ5" s="125"/>
      <c r="HK5" s="125"/>
      <c r="HL5" s="125"/>
      <c r="HM5" s="125"/>
      <c r="HN5" s="125"/>
      <c r="HO5" s="125"/>
      <c r="HP5" s="125"/>
      <c r="HQ5" s="125"/>
      <c r="HR5" s="125"/>
      <c r="HS5" s="125"/>
      <c r="HT5" s="125"/>
      <c r="HU5" s="125"/>
      <c r="HV5" s="125"/>
      <c r="HW5" s="125"/>
      <c r="HX5" s="125"/>
      <c r="HY5" s="125"/>
      <c r="HZ5" s="125"/>
      <c r="IA5" s="125"/>
      <c r="IB5" s="125"/>
      <c r="IC5" s="125"/>
      <c r="ID5" s="125"/>
      <c r="IE5" s="125"/>
      <c r="IF5" s="125"/>
      <c r="IG5" s="125"/>
      <c r="IH5" s="125"/>
      <c r="II5" s="125"/>
      <c r="IJ5" s="125"/>
      <c r="IK5" s="125"/>
      <c r="IL5" s="125"/>
      <c r="IM5" s="125"/>
      <c r="IN5" s="125"/>
      <c r="IO5" s="125"/>
      <c r="IP5" s="125"/>
      <c r="IQ5" s="125"/>
      <c r="IR5" s="125"/>
      <c r="IS5" s="125"/>
      <c r="IT5" s="125"/>
      <c r="IU5" s="125"/>
      <c r="IV5" s="125"/>
      <c r="IW5" s="125"/>
      <c r="IX5" s="125"/>
      <c r="IY5" s="125"/>
      <c r="IZ5" s="125"/>
      <c r="JA5" s="125"/>
      <c r="JB5" s="125"/>
      <c r="JC5" s="125"/>
      <c r="JD5" s="125"/>
      <c r="JE5" s="125"/>
      <c r="JF5" s="125"/>
      <c r="JG5" s="125"/>
      <c r="JH5" s="125"/>
      <c r="JI5" s="125"/>
    </row>
    <row r="6" spans="1:269" ht="17.25" customHeight="1">
      <c r="A6" s="125" ph="1"/>
      <c r="B6" s="125" ph="1"/>
      <c r="C6" s="125" ph="1"/>
      <c r="D6" s="212" t="s" ph="1">
        <v>70</v>
      </c>
      <c r="E6" s="212"/>
      <c r="F6" s="212"/>
      <c r="G6" s="212"/>
      <c r="H6" s="212"/>
      <c r="I6" s="212"/>
      <c r="J6" s="212"/>
      <c r="K6" s="212"/>
      <c r="L6" s="212"/>
      <c r="M6" s="212"/>
      <c r="N6" s="212"/>
      <c r="O6" s="212"/>
      <c r="P6" s="212"/>
      <c r="Q6" s="212"/>
      <c r="R6" s="9" ph="1"/>
      <c r="S6" s="122" ph="1"/>
      <c r="T6" s="211" t="s">
        <v>72</v>
      </c>
      <c r="U6" s="211"/>
      <c r="V6" s="10"/>
      <c r="W6" s="211" t="s" ph="1">
        <v>77</v>
      </c>
      <c r="X6" s="211"/>
      <c r="Y6" s="211"/>
      <c r="Z6" s="211"/>
      <c r="AA6" s="211"/>
      <c r="AB6" s="10"/>
      <c r="AC6" s="211" t="s" ph="1">
        <v>230</v>
      </c>
      <c r="AD6" s="211"/>
      <c r="AE6" s="211"/>
      <c r="AF6" s="211"/>
      <c r="AG6" s="211"/>
      <c r="AH6" s="211"/>
      <c r="AI6" s="211"/>
      <c r="AJ6" s="211"/>
      <c r="AK6" s="211"/>
      <c r="AL6" s="211"/>
      <c r="AM6" s="211"/>
      <c r="AN6" s="211"/>
      <c r="AO6" s="211"/>
      <c r="AP6" s="211"/>
      <c r="AQ6" s="211"/>
      <c r="AR6" s="211"/>
      <c r="AS6" s="211"/>
      <c r="AT6" s="211"/>
      <c r="AU6" s="211"/>
      <c r="AV6" s="211"/>
      <c r="AW6" s="211"/>
      <c r="AX6" s="10"/>
      <c r="AY6" s="211" t="s">
        <v>94</v>
      </c>
      <c r="AZ6" s="211"/>
      <c r="BA6" s="211"/>
      <c r="BB6" s="211"/>
      <c r="BC6" s="10"/>
      <c r="BD6" s="122" t="s" ph="1">
        <v>104</v>
      </c>
      <c r="BE6" s="126"/>
      <c r="BF6" s="93"/>
      <c r="BG6" s="211" t="s" ph="1">
        <v>104</v>
      </c>
      <c r="BH6" s="211"/>
      <c r="BI6" s="125" ph="1"/>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c r="DQ6" s="125"/>
      <c r="DR6" s="125"/>
      <c r="DS6" s="125"/>
      <c r="DT6" s="125"/>
      <c r="DU6" s="125"/>
      <c r="DV6" s="125"/>
      <c r="DW6" s="125"/>
      <c r="DX6" s="125"/>
      <c r="DY6" s="125"/>
      <c r="DZ6" s="125"/>
      <c r="EA6" s="125"/>
      <c r="EB6" s="125"/>
      <c r="EC6" s="125"/>
      <c r="ED6" s="125"/>
      <c r="EE6" s="125"/>
      <c r="EF6" s="125"/>
      <c r="EG6" s="125"/>
      <c r="EH6" s="125"/>
      <c r="EI6" s="125"/>
      <c r="EJ6" s="125"/>
      <c r="EK6" s="125"/>
      <c r="EL6" s="125"/>
      <c r="EM6" s="125"/>
      <c r="EN6" s="125"/>
      <c r="EO6" s="125"/>
      <c r="EP6" s="125"/>
      <c r="EQ6" s="125"/>
      <c r="ER6" s="125"/>
      <c r="ES6" s="125"/>
      <c r="ET6" s="125"/>
      <c r="EU6" s="125"/>
      <c r="EV6" s="125"/>
      <c r="EW6" s="125"/>
      <c r="EX6" s="125"/>
      <c r="EY6" s="125"/>
      <c r="EZ6" s="125"/>
      <c r="FA6" s="125"/>
      <c r="FB6" s="125"/>
      <c r="FC6" s="125"/>
      <c r="FD6" s="125"/>
      <c r="FE6" s="125"/>
      <c r="FF6" s="125"/>
      <c r="FG6" s="125"/>
      <c r="FH6" s="125"/>
      <c r="FI6" s="125"/>
      <c r="FJ6" s="125"/>
      <c r="FK6" s="125"/>
      <c r="FL6" s="125"/>
      <c r="FM6" s="125"/>
      <c r="FN6" s="125"/>
      <c r="FO6" s="125"/>
      <c r="FP6" s="125"/>
      <c r="FQ6" s="125"/>
      <c r="FR6" s="125"/>
      <c r="FS6" s="125"/>
      <c r="FT6" s="125"/>
      <c r="FU6" s="125"/>
      <c r="FV6" s="125"/>
      <c r="FW6" s="125"/>
      <c r="FX6" s="125"/>
      <c r="FY6" s="125"/>
      <c r="FZ6" s="125"/>
      <c r="GA6" s="125"/>
      <c r="GB6" s="125"/>
      <c r="GC6" s="125"/>
      <c r="GD6" s="125"/>
      <c r="GE6" s="125"/>
      <c r="GF6" s="125"/>
      <c r="GG6" s="125"/>
      <c r="GH6" s="125"/>
      <c r="GI6" s="125"/>
      <c r="GJ6" s="125"/>
      <c r="GK6" s="125"/>
      <c r="GL6" s="125"/>
      <c r="GM6" s="125"/>
      <c r="GN6" s="125"/>
      <c r="GO6" s="125"/>
      <c r="GP6" s="125"/>
      <c r="GQ6" s="125"/>
      <c r="GR6" s="125"/>
      <c r="GS6" s="125"/>
      <c r="GT6" s="125"/>
      <c r="GU6" s="125"/>
      <c r="GV6" s="125"/>
      <c r="GW6" s="125"/>
      <c r="GX6" s="125"/>
      <c r="GY6" s="125"/>
      <c r="GZ6" s="125"/>
      <c r="HA6" s="125"/>
      <c r="HB6" s="125"/>
      <c r="HC6" s="125"/>
      <c r="HD6" s="125"/>
      <c r="HE6" s="125"/>
      <c r="HF6" s="125"/>
      <c r="HG6" s="125"/>
      <c r="HH6" s="125"/>
      <c r="HI6" s="125"/>
      <c r="HJ6" s="125"/>
      <c r="HK6" s="125"/>
      <c r="HL6" s="125"/>
      <c r="HM6" s="125"/>
      <c r="HN6" s="125"/>
      <c r="HO6" s="125"/>
      <c r="HP6" s="125"/>
      <c r="HQ6" s="125"/>
      <c r="HR6" s="125"/>
      <c r="HS6" s="125"/>
      <c r="HT6" s="125"/>
      <c r="HU6" s="125"/>
      <c r="HV6" s="125"/>
      <c r="HW6" s="125"/>
      <c r="HX6" s="125"/>
      <c r="HY6" s="125"/>
      <c r="HZ6" s="125"/>
      <c r="IA6" s="125"/>
      <c r="IB6" s="125"/>
      <c r="IC6" s="125"/>
      <c r="ID6" s="125"/>
      <c r="IE6" s="125"/>
      <c r="IF6" s="125"/>
      <c r="IG6" s="125"/>
      <c r="IH6" s="125"/>
      <c r="II6" s="125"/>
      <c r="IJ6" s="125"/>
      <c r="IK6" s="125"/>
      <c r="IL6" s="125"/>
      <c r="IM6" s="125"/>
      <c r="IN6" s="125"/>
      <c r="IO6" s="125"/>
      <c r="IP6" s="125"/>
      <c r="IQ6" s="125"/>
      <c r="IR6" s="125"/>
      <c r="IS6" s="125"/>
      <c r="IT6" s="125"/>
      <c r="IU6" s="125"/>
      <c r="IV6" s="125"/>
      <c r="IW6" s="125"/>
      <c r="IX6" s="125"/>
      <c r="IY6" s="125"/>
      <c r="IZ6" s="125"/>
      <c r="JA6" s="125"/>
      <c r="JB6" s="125"/>
      <c r="JC6" s="125"/>
      <c r="JD6" s="125"/>
      <c r="JE6" s="125"/>
      <c r="JF6" s="125"/>
      <c r="JG6" s="125"/>
      <c r="JH6" s="125"/>
      <c r="JI6" s="125"/>
    </row>
    <row r="7" spans="1:269" ht="17.25" customHeight="1" thickBot="1">
      <c r="A7" s="61" ph="1"/>
      <c r="B7" s="123" ph="1"/>
      <c r="C7" s="123" ph="1"/>
      <c r="D7" s="215" t="s" ph="1">
        <v>71</v>
      </c>
      <c r="E7" s="216"/>
      <c r="F7" s="216"/>
      <c r="G7" s="216"/>
      <c r="H7" s="216"/>
      <c r="I7" s="216"/>
      <c r="J7" s="216"/>
      <c r="K7" s="216"/>
      <c r="L7" s="216"/>
      <c r="M7" s="216"/>
      <c r="N7" s="216"/>
      <c r="O7" s="216"/>
      <c r="P7" s="216"/>
      <c r="Q7" s="216"/>
      <c r="R7" s="12" ph="1"/>
      <c r="S7" s="123" ph="1"/>
      <c r="T7" s="215" t="s" ph="1">
        <v>73</v>
      </c>
      <c r="U7" s="215"/>
      <c r="V7" s="31"/>
      <c r="W7" s="217" t="s" ph="1">
        <v>76</v>
      </c>
      <c r="X7" s="217"/>
      <c r="Y7" s="217"/>
      <c r="Z7" s="217"/>
      <c r="AA7" s="217"/>
      <c r="AB7" s="31"/>
      <c r="AC7" s="216" t="s" ph="1">
        <v>80</v>
      </c>
      <c r="AD7" s="216"/>
      <c r="AE7" s="216"/>
      <c r="AF7" s="216"/>
      <c r="AG7" s="216"/>
      <c r="AH7" s="216"/>
      <c r="AI7" s="216"/>
      <c r="AJ7" s="216"/>
      <c r="AK7" s="216"/>
      <c r="AL7" s="216"/>
      <c r="AM7" s="216"/>
      <c r="AN7" s="216"/>
      <c r="AO7" s="216"/>
      <c r="AP7" s="216"/>
      <c r="AQ7" s="216"/>
      <c r="AR7" s="216"/>
      <c r="AS7" s="216"/>
      <c r="AT7" s="216"/>
      <c r="AU7" s="216"/>
      <c r="AV7" s="216"/>
      <c r="AW7" s="216"/>
      <c r="AX7" s="31"/>
      <c r="AY7" s="213" t="s">
        <v>95</v>
      </c>
      <c r="AZ7" s="214"/>
      <c r="BA7" s="214"/>
      <c r="BB7" s="214"/>
      <c r="BC7" s="31"/>
      <c r="BD7" s="124" t="s">
        <v>105</v>
      </c>
      <c r="BE7" s="89"/>
      <c r="BF7" s="94"/>
      <c r="BG7" s="216" t="s">
        <v>105</v>
      </c>
      <c r="BH7" s="216"/>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c r="IR7" s="20"/>
      <c r="IS7" s="20"/>
      <c r="IT7" s="20"/>
      <c r="IU7" s="20"/>
      <c r="IV7" s="20"/>
      <c r="IW7" s="20"/>
      <c r="IX7" s="20"/>
      <c r="IY7" s="20"/>
      <c r="IZ7" s="20"/>
      <c r="JA7" s="20"/>
      <c r="JB7" s="20"/>
      <c r="JC7" s="20"/>
      <c r="JD7" s="20"/>
      <c r="JE7" s="20"/>
      <c r="JF7" s="20"/>
      <c r="JG7" s="20"/>
      <c r="JH7" s="20"/>
      <c r="JI7" s="20"/>
    </row>
    <row r="8" spans="1:269" s="97" customFormat="1" ht="17.25" customHeight="1" thickTop="1">
      <c r="A8" s="123" ph="1"/>
      <c r="B8" s="123" ph="1"/>
      <c r="C8" s="123" ph="1"/>
      <c r="D8" s="95"/>
      <c r="E8" s="95"/>
      <c r="F8" s="95"/>
      <c r="G8" s="123" ph="1"/>
      <c r="H8" s="95"/>
      <c r="I8" s="95"/>
      <c r="J8" s="123" ph="1"/>
      <c r="K8" s="95"/>
      <c r="L8" s="95"/>
      <c r="M8" s="123" ph="1"/>
      <c r="N8" s="211" ph="1"/>
      <c r="O8" s="211"/>
      <c r="P8" s="123" ph="1"/>
      <c r="Q8" s="122" t="s" ph="1">
        <v>68</v>
      </c>
      <c r="R8" s="32" ph="1"/>
      <c r="S8" s="123" ph="1"/>
      <c r="T8" s="123" ph="1"/>
      <c r="U8" s="122" ph="1"/>
      <c r="V8" s="123" ph="1"/>
      <c r="W8" s="123" ph="1"/>
      <c r="X8" s="122" ph="1"/>
      <c r="Y8" s="123" ph="1"/>
      <c r="Z8" s="123" ph="1"/>
      <c r="AA8" s="122" ph="1"/>
      <c r="AB8" s="123" ph="1"/>
      <c r="AC8" s="123" ph="1"/>
      <c r="AD8" s="123"/>
      <c r="AE8" s="123" ph="1"/>
      <c r="AF8" s="123" ph="1"/>
      <c r="AG8" s="123"/>
      <c r="AH8" s="122" ph="1"/>
      <c r="AI8" s="95"/>
      <c r="AJ8" s="122" ph="1"/>
      <c r="AK8" s="211" t="s" ph="1">
        <v>81</v>
      </c>
      <c r="AL8" s="211"/>
      <c r="AM8" s="123" ph="1"/>
      <c r="AN8" s="211"/>
      <c r="AO8" s="211"/>
      <c r="AP8" s="211"/>
      <c r="AQ8" s="211"/>
      <c r="AR8" s="211"/>
      <c r="AS8" s="211"/>
      <c r="AT8" s="211"/>
      <c r="AU8" s="123" ph="1"/>
      <c r="AV8" s="211" t="s" ph="1">
        <v>92</v>
      </c>
      <c r="AW8" s="211"/>
      <c r="AX8" s="123" ph="1"/>
      <c r="AY8" s="122" t="s">
        <v>96</v>
      </c>
      <c r="AZ8" s="122" t="s">
        <v>98</v>
      </c>
      <c r="BA8" s="122"/>
      <c r="BB8" s="122"/>
      <c r="BC8" s="123" ph="1"/>
      <c r="BD8" s="95" t="s">
        <v>106</v>
      </c>
      <c r="BE8" s="95"/>
      <c r="BF8" s="96"/>
      <c r="BG8" s="123" ph="1"/>
      <c r="BH8" s="123" ph="1"/>
      <c r="BI8" s="123" ph="1"/>
      <c r="BJ8" s="123" ph="1"/>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3"/>
      <c r="DZ8" s="123"/>
      <c r="EA8" s="123"/>
      <c r="EB8" s="123"/>
      <c r="EC8" s="123"/>
      <c r="ED8" s="123"/>
      <c r="EE8" s="123"/>
      <c r="EF8" s="123"/>
      <c r="EG8" s="123"/>
      <c r="EH8" s="123"/>
      <c r="EI8" s="123"/>
      <c r="EJ8" s="123"/>
      <c r="EK8" s="123"/>
      <c r="EL8" s="123"/>
      <c r="EM8" s="123"/>
      <c r="EN8" s="123"/>
      <c r="EO8" s="123"/>
      <c r="EP8" s="123"/>
      <c r="EQ8" s="123"/>
      <c r="ER8" s="123"/>
      <c r="ES8" s="123"/>
      <c r="ET8" s="123"/>
      <c r="EU8" s="123"/>
      <c r="EV8" s="123"/>
      <c r="EW8" s="123"/>
      <c r="EX8" s="123"/>
      <c r="EY8" s="123"/>
      <c r="EZ8" s="123"/>
      <c r="FA8" s="123"/>
      <c r="FB8" s="123"/>
      <c r="FC8" s="123"/>
      <c r="FD8" s="123"/>
      <c r="FE8" s="123"/>
      <c r="FF8" s="123"/>
      <c r="FG8" s="123"/>
      <c r="FH8" s="123"/>
      <c r="FI8" s="123"/>
      <c r="FJ8" s="123"/>
      <c r="FK8" s="123"/>
      <c r="FL8" s="123"/>
      <c r="FM8" s="123"/>
      <c r="FN8" s="123"/>
      <c r="FO8" s="123"/>
      <c r="FP8" s="123"/>
      <c r="FQ8" s="123"/>
      <c r="FR8" s="123"/>
      <c r="FS8" s="123"/>
      <c r="FT8" s="123"/>
      <c r="FU8" s="123"/>
      <c r="FV8" s="123"/>
      <c r="FW8" s="123"/>
      <c r="FX8" s="123"/>
      <c r="FY8" s="123"/>
      <c r="FZ8" s="123"/>
      <c r="GA8" s="123"/>
      <c r="GB8" s="123"/>
      <c r="GC8" s="123"/>
      <c r="GD8" s="123"/>
      <c r="GE8" s="123"/>
      <c r="GF8" s="123"/>
      <c r="GG8" s="123"/>
      <c r="GH8" s="123"/>
      <c r="GI8" s="123"/>
      <c r="GJ8" s="123"/>
      <c r="GK8" s="123"/>
      <c r="GL8" s="123"/>
      <c r="GM8" s="123"/>
      <c r="GN8" s="123"/>
      <c r="GO8" s="123"/>
      <c r="GP8" s="123"/>
      <c r="GQ8" s="123"/>
      <c r="GR8" s="123"/>
      <c r="GS8" s="123"/>
      <c r="GT8" s="123"/>
      <c r="GU8" s="123"/>
      <c r="GV8" s="123"/>
      <c r="GW8" s="123"/>
      <c r="GX8" s="123"/>
      <c r="GY8" s="123"/>
      <c r="GZ8" s="123"/>
      <c r="HA8" s="123"/>
      <c r="HB8" s="123"/>
      <c r="HC8" s="123"/>
      <c r="HD8" s="123"/>
      <c r="HE8" s="123"/>
      <c r="HF8" s="123"/>
      <c r="HG8" s="123"/>
      <c r="HH8" s="123"/>
      <c r="HI8" s="123"/>
      <c r="HJ8" s="123"/>
      <c r="HK8" s="123"/>
      <c r="HL8" s="123"/>
      <c r="HM8" s="123"/>
      <c r="HN8" s="123"/>
      <c r="HO8" s="123"/>
      <c r="HP8" s="123"/>
      <c r="HQ8" s="123"/>
      <c r="HR8" s="123"/>
      <c r="HS8" s="123"/>
      <c r="HT8" s="123"/>
      <c r="HU8" s="123"/>
      <c r="HV8" s="123"/>
      <c r="HW8" s="123"/>
      <c r="HX8" s="123"/>
      <c r="HY8" s="123"/>
      <c r="HZ8" s="123"/>
      <c r="IA8" s="123"/>
      <c r="IB8" s="123"/>
      <c r="IC8" s="123"/>
      <c r="ID8" s="123"/>
      <c r="IE8" s="123"/>
      <c r="IF8" s="123"/>
      <c r="IG8" s="123"/>
      <c r="IH8" s="123"/>
      <c r="II8" s="123"/>
      <c r="IJ8" s="123"/>
      <c r="IK8" s="123"/>
      <c r="IL8" s="123"/>
      <c r="IM8" s="123"/>
      <c r="IN8" s="123"/>
      <c r="IO8" s="123"/>
      <c r="IP8" s="123"/>
      <c r="IQ8" s="123"/>
      <c r="IR8" s="123"/>
      <c r="IS8" s="123"/>
      <c r="IT8" s="123"/>
      <c r="IU8" s="123"/>
      <c r="IV8" s="123"/>
      <c r="IW8" s="123"/>
      <c r="IX8" s="123"/>
      <c r="IY8" s="123"/>
      <c r="IZ8" s="123"/>
      <c r="JA8" s="123"/>
      <c r="JB8" s="123"/>
      <c r="JC8" s="123"/>
      <c r="JD8" s="123"/>
      <c r="JE8" s="123"/>
      <c r="JF8" s="123"/>
      <c r="JG8" s="123"/>
      <c r="JH8" s="123"/>
      <c r="JI8" s="123"/>
    </row>
    <row r="9" spans="1:269" s="97" customFormat="1" ht="17.25" customHeight="1">
      <c r="A9" s="123" ph="1"/>
      <c r="B9" s="123" ph="1"/>
      <c r="C9" s="123" ph="1"/>
      <c r="D9" s="212" t="s" ph="1">
        <v>62</v>
      </c>
      <c r="E9" s="212"/>
      <c r="F9" s="212"/>
      <c r="G9" s="123" ph="1"/>
      <c r="H9" s="211" t="s" ph="1">
        <v>64</v>
      </c>
      <c r="I9" s="211"/>
      <c r="J9" s="211"/>
      <c r="K9" s="211"/>
      <c r="L9" s="211"/>
      <c r="M9" s="123" ph="1"/>
      <c r="N9" s="211" t="s" ph="1">
        <v>66</v>
      </c>
      <c r="O9" s="211"/>
      <c r="P9" s="123" ph="1"/>
      <c r="Q9" s="122" t="s" ph="1">
        <v>6</v>
      </c>
      <c r="R9" s="32" ph="1"/>
      <c r="S9" s="123" ph="1"/>
      <c r="T9" s="212" t="s">
        <v>74</v>
      </c>
      <c r="U9" s="212"/>
      <c r="V9" s="123" ph="1"/>
      <c r="W9" s="212" t="s">
        <v>62</v>
      </c>
      <c r="X9" s="212"/>
      <c r="Y9" s="123" ph="1"/>
      <c r="Z9" s="212" t="s">
        <v>79</v>
      </c>
      <c r="AA9" s="212"/>
      <c r="AB9" s="123" ph="1"/>
      <c r="AC9" s="212" t="s">
        <v>62</v>
      </c>
      <c r="AD9" s="212"/>
      <c r="AE9" s="123" ph="1"/>
      <c r="AF9" s="212" t="s">
        <v>79</v>
      </c>
      <c r="AG9" s="212"/>
      <c r="AH9" s="122" t="s">
        <v>83</v>
      </c>
      <c r="AI9" s="122" t="s" ph="1">
        <v>86</v>
      </c>
      <c r="AJ9" s="122" t="s" ph="1">
        <v>88</v>
      </c>
      <c r="AK9" s="211" t="s">
        <v>7</v>
      </c>
      <c r="AL9" s="211"/>
      <c r="AM9" s="123" ph="1"/>
      <c r="AN9" s="211" t="s">
        <v>90</v>
      </c>
      <c r="AO9" s="211"/>
      <c r="AP9" s="211"/>
      <c r="AQ9" s="211"/>
      <c r="AR9" s="211"/>
      <c r="AS9" s="211"/>
      <c r="AT9" s="211"/>
      <c r="AU9" s="123" ph="1"/>
      <c r="AV9" s="211" t="s">
        <v>8</v>
      </c>
      <c r="AW9" s="211"/>
      <c r="AX9" s="123" ph="1"/>
      <c r="AY9" s="122" t="s">
        <v>9</v>
      </c>
      <c r="AZ9" s="122" t="s">
        <v>10</v>
      </c>
      <c r="BA9" s="122" t="s">
        <v>101</v>
      </c>
      <c r="BB9" s="122" t="s">
        <v>102</v>
      </c>
      <c r="BC9" s="123" ph="1"/>
      <c r="BD9" s="95" t="s">
        <v>11</v>
      </c>
      <c r="BE9" s="95"/>
      <c r="BF9" s="96"/>
      <c r="BG9" s="212" t="s" ph="1">
        <v>109</v>
      </c>
      <c r="BH9" s="212"/>
      <c r="BI9" s="123" ph="1"/>
      <c r="BJ9" s="123" ph="1"/>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3"/>
      <c r="DZ9" s="123"/>
      <c r="EA9" s="123"/>
      <c r="EB9" s="123"/>
      <c r="EC9" s="123"/>
      <c r="ED9" s="123"/>
      <c r="EE9" s="123"/>
      <c r="EF9" s="123"/>
      <c r="EG9" s="123"/>
      <c r="EH9" s="123"/>
      <c r="EI9" s="123"/>
      <c r="EJ9" s="123"/>
      <c r="EK9" s="123"/>
      <c r="EL9" s="123"/>
      <c r="EM9" s="123"/>
      <c r="EN9" s="123"/>
      <c r="EO9" s="123"/>
      <c r="EP9" s="123"/>
      <c r="EQ9" s="123"/>
      <c r="ER9" s="123"/>
      <c r="ES9" s="123"/>
      <c r="ET9" s="123"/>
      <c r="EU9" s="123"/>
      <c r="EV9" s="123"/>
      <c r="EW9" s="123"/>
      <c r="EX9" s="123"/>
      <c r="EY9" s="123"/>
      <c r="EZ9" s="123"/>
      <c r="FA9" s="123"/>
      <c r="FB9" s="123"/>
      <c r="FC9" s="123"/>
      <c r="FD9" s="123"/>
      <c r="FE9" s="123"/>
      <c r="FF9" s="123"/>
      <c r="FG9" s="123"/>
      <c r="FH9" s="123"/>
      <c r="FI9" s="123"/>
      <c r="FJ9" s="123"/>
      <c r="FK9" s="123"/>
      <c r="FL9" s="123"/>
      <c r="FM9" s="123"/>
      <c r="FN9" s="123"/>
      <c r="FO9" s="123"/>
      <c r="FP9" s="123"/>
      <c r="FQ9" s="123"/>
      <c r="FR9" s="123"/>
      <c r="FS9" s="123"/>
      <c r="FT9" s="123"/>
      <c r="FU9" s="123"/>
      <c r="FV9" s="123"/>
      <c r="FW9" s="123"/>
      <c r="FX9" s="123"/>
      <c r="FY9" s="123"/>
      <c r="FZ9" s="123"/>
      <c r="GA9" s="123"/>
      <c r="GB9" s="123"/>
      <c r="GC9" s="123"/>
      <c r="GD9" s="123"/>
      <c r="GE9" s="123"/>
      <c r="GF9" s="123"/>
      <c r="GG9" s="123"/>
      <c r="GH9" s="123"/>
      <c r="GI9" s="123"/>
      <c r="GJ9" s="123"/>
      <c r="GK9" s="123"/>
      <c r="GL9" s="123"/>
      <c r="GM9" s="123"/>
      <c r="GN9" s="123"/>
      <c r="GO9" s="123"/>
      <c r="GP9" s="123"/>
      <c r="GQ9" s="123"/>
      <c r="GR9" s="123"/>
      <c r="GS9" s="123"/>
      <c r="GT9" s="123"/>
      <c r="GU9" s="123"/>
      <c r="GV9" s="123"/>
      <c r="GW9" s="123"/>
      <c r="GX9" s="123"/>
      <c r="GY9" s="123"/>
      <c r="GZ9" s="123"/>
      <c r="HA9" s="123"/>
      <c r="HB9" s="123"/>
      <c r="HC9" s="123"/>
      <c r="HD9" s="123"/>
      <c r="HE9" s="123"/>
      <c r="HF9" s="123"/>
      <c r="HG9" s="123"/>
      <c r="HH9" s="123"/>
      <c r="HI9" s="123"/>
      <c r="HJ9" s="123"/>
      <c r="HK9" s="123"/>
      <c r="HL9" s="123"/>
      <c r="HM9" s="123"/>
      <c r="HN9" s="123"/>
      <c r="HO9" s="123"/>
      <c r="HP9" s="123"/>
      <c r="HQ9" s="123"/>
      <c r="HR9" s="123"/>
      <c r="HS9" s="123"/>
      <c r="HT9" s="123"/>
      <c r="HU9" s="123"/>
      <c r="HV9" s="123"/>
      <c r="HW9" s="123"/>
      <c r="HX9" s="123"/>
      <c r="HY9" s="123"/>
      <c r="HZ9" s="123"/>
      <c r="IA9" s="123"/>
      <c r="IB9" s="123"/>
      <c r="IC9" s="123"/>
      <c r="ID9" s="123"/>
      <c r="IE9" s="123"/>
      <c r="IF9" s="123"/>
      <c r="IG9" s="123"/>
      <c r="IH9" s="123"/>
      <c r="II9" s="123"/>
      <c r="IJ9" s="123"/>
      <c r="IK9" s="123"/>
      <c r="IL9" s="123"/>
      <c r="IM9" s="123"/>
      <c r="IN9" s="123"/>
      <c r="IO9" s="123"/>
      <c r="IP9" s="123"/>
      <c r="IQ9" s="123"/>
      <c r="IR9" s="123"/>
      <c r="IS9" s="123"/>
      <c r="IT9" s="123"/>
      <c r="IU9" s="123"/>
      <c r="IV9" s="123"/>
      <c r="IW9" s="123"/>
      <c r="IX9" s="123"/>
      <c r="IY9" s="123"/>
      <c r="IZ9" s="123"/>
      <c r="JA9" s="123"/>
      <c r="JB9" s="123"/>
      <c r="JC9" s="123"/>
      <c r="JD9" s="123"/>
      <c r="JE9" s="123"/>
      <c r="JF9" s="123"/>
      <c r="JG9" s="123"/>
      <c r="JH9" s="123"/>
      <c r="JI9" s="123"/>
    </row>
    <row r="10" spans="1:269" s="97" customFormat="1" ht="17.25" customHeight="1">
      <c r="A10" s="15"/>
      <c r="B10" s="15"/>
      <c r="C10" s="15"/>
      <c r="D10" s="220" t="s" ph="1">
        <v>63</v>
      </c>
      <c r="E10" s="221"/>
      <c r="F10" s="221"/>
      <c r="G10" s="123"/>
      <c r="H10" s="221" t="s" ph="1">
        <v>65</v>
      </c>
      <c r="I10" s="221"/>
      <c r="J10" s="221"/>
      <c r="K10" s="221"/>
      <c r="L10" s="221"/>
      <c r="M10" s="123"/>
      <c r="N10" s="221" t="s" ph="1">
        <v>67</v>
      </c>
      <c r="O10" s="221"/>
      <c r="P10" s="123"/>
      <c r="Q10" s="123" t="s" ph="1">
        <v>69</v>
      </c>
      <c r="R10" s="32"/>
      <c r="S10" s="123"/>
      <c r="T10" s="220" t="s">
        <v>75</v>
      </c>
      <c r="U10" s="220"/>
      <c r="V10" s="123"/>
      <c r="W10" s="220" t="s">
        <v>78</v>
      </c>
      <c r="X10" s="221"/>
      <c r="Y10" s="123"/>
      <c r="Z10" s="220" t="s">
        <v>75</v>
      </c>
      <c r="AA10" s="220"/>
      <c r="AB10" s="123"/>
      <c r="AC10" s="220" t="s">
        <v>78</v>
      </c>
      <c r="AD10" s="221"/>
      <c r="AE10" s="123"/>
      <c r="AF10" s="220" t="s">
        <v>75</v>
      </c>
      <c r="AG10" s="221"/>
      <c r="AH10" s="31" t="s">
        <v>84</v>
      </c>
      <c r="AI10" s="123" t="s">
        <v>85</v>
      </c>
      <c r="AJ10" s="123" t="s">
        <v>87</v>
      </c>
      <c r="AK10" s="220" t="s">
        <v>82</v>
      </c>
      <c r="AL10" s="221"/>
      <c r="AM10" s="123"/>
      <c r="AN10" s="220" t="s">
        <v>89</v>
      </c>
      <c r="AO10" s="221"/>
      <c r="AP10" s="221"/>
      <c r="AQ10" s="221"/>
      <c r="AR10" s="221"/>
      <c r="AS10" s="221"/>
      <c r="AT10" s="221"/>
      <c r="AU10" s="123"/>
      <c r="AV10" s="222" t="s">
        <v>91</v>
      </c>
      <c r="AW10" s="222"/>
      <c r="AX10" s="123"/>
      <c r="AY10" s="98" t="s">
        <v>97</v>
      </c>
      <c r="AZ10" s="98" t="s">
        <v>99</v>
      </c>
      <c r="BA10" s="98" t="s">
        <v>100</v>
      </c>
      <c r="BB10" s="98" t="s">
        <v>103</v>
      </c>
      <c r="BC10" s="123"/>
      <c r="BD10" s="99" t="s">
        <v>107</v>
      </c>
      <c r="BE10" s="95"/>
      <c r="BF10" s="96"/>
      <c r="BG10" s="221" t="s" ph="1">
        <v>108</v>
      </c>
      <c r="BH10" s="221"/>
      <c r="BI10" s="123" ph="1"/>
      <c r="BJ10" s="123" ph="1"/>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3"/>
      <c r="DZ10" s="123"/>
      <c r="EA10" s="123"/>
      <c r="EB10" s="123"/>
      <c r="EC10" s="123"/>
      <c r="ED10" s="123"/>
      <c r="EE10" s="123"/>
      <c r="EF10" s="123"/>
      <c r="EG10" s="123"/>
      <c r="EH10" s="123"/>
      <c r="EI10" s="123"/>
      <c r="EJ10" s="123"/>
      <c r="EK10" s="123"/>
      <c r="EL10" s="123"/>
      <c r="EM10" s="123"/>
      <c r="EN10" s="123"/>
      <c r="EO10" s="123"/>
      <c r="EP10" s="123"/>
      <c r="EQ10" s="123"/>
      <c r="ER10" s="123"/>
      <c r="ES10" s="123"/>
      <c r="ET10" s="123"/>
      <c r="EU10" s="123"/>
      <c r="EV10" s="123"/>
      <c r="EW10" s="123"/>
      <c r="EX10" s="123"/>
      <c r="EY10" s="123"/>
      <c r="EZ10" s="123"/>
      <c r="FA10" s="123"/>
      <c r="FB10" s="123"/>
      <c r="FC10" s="123"/>
      <c r="FD10" s="123"/>
      <c r="FE10" s="123"/>
      <c r="FF10" s="123"/>
      <c r="FG10" s="123"/>
      <c r="FH10" s="123"/>
      <c r="FI10" s="123"/>
      <c r="FJ10" s="123"/>
      <c r="FK10" s="123"/>
      <c r="FL10" s="123"/>
      <c r="FM10" s="123"/>
      <c r="FN10" s="123"/>
      <c r="FO10" s="123"/>
      <c r="FP10" s="123"/>
      <c r="FQ10" s="123"/>
      <c r="FR10" s="123"/>
      <c r="FS10" s="123"/>
      <c r="FT10" s="123"/>
      <c r="FU10" s="123"/>
      <c r="FV10" s="123"/>
      <c r="FW10" s="123"/>
      <c r="FX10" s="123"/>
      <c r="FY10" s="123"/>
      <c r="FZ10" s="123"/>
      <c r="GA10" s="123"/>
      <c r="GB10" s="123"/>
      <c r="GC10" s="123"/>
      <c r="GD10" s="123"/>
      <c r="GE10" s="123"/>
      <c r="GF10" s="123"/>
      <c r="GG10" s="123"/>
      <c r="GH10" s="123"/>
      <c r="GI10" s="123"/>
      <c r="GJ10" s="123"/>
      <c r="GK10" s="123"/>
      <c r="GL10" s="123"/>
      <c r="GM10" s="123"/>
      <c r="GN10" s="123"/>
      <c r="GO10" s="123"/>
      <c r="GP10" s="123"/>
      <c r="GQ10" s="123"/>
      <c r="GR10" s="123"/>
      <c r="GS10" s="123"/>
      <c r="GT10" s="123"/>
      <c r="GU10" s="123"/>
      <c r="GV10" s="123"/>
      <c r="GW10" s="123"/>
      <c r="GX10" s="123"/>
      <c r="GY10" s="123"/>
      <c r="GZ10" s="123"/>
      <c r="HA10" s="123"/>
      <c r="HB10" s="123"/>
      <c r="HC10" s="123"/>
      <c r="HD10" s="123"/>
      <c r="HE10" s="123"/>
      <c r="HF10" s="123"/>
      <c r="HG10" s="123"/>
      <c r="HH10" s="123"/>
      <c r="HI10" s="123"/>
      <c r="HJ10" s="123"/>
      <c r="HK10" s="123"/>
      <c r="HL10" s="123"/>
      <c r="HM10" s="123"/>
      <c r="HN10" s="123"/>
      <c r="HO10" s="123"/>
      <c r="HP10" s="123"/>
      <c r="HQ10" s="123"/>
      <c r="HR10" s="123"/>
      <c r="HS10" s="123"/>
      <c r="HT10" s="123"/>
      <c r="HU10" s="123"/>
      <c r="HV10" s="123"/>
      <c r="HW10" s="123"/>
      <c r="HX10" s="123"/>
      <c r="HY10" s="123"/>
      <c r="HZ10" s="123"/>
      <c r="IA10" s="123"/>
      <c r="IB10" s="123"/>
      <c r="IC10" s="123"/>
      <c r="ID10" s="123"/>
      <c r="IE10" s="123"/>
      <c r="IF10" s="123"/>
      <c r="IG10" s="123"/>
      <c r="IH10" s="123"/>
      <c r="II10" s="123"/>
      <c r="IJ10" s="123"/>
      <c r="IK10" s="123"/>
      <c r="IL10" s="123"/>
      <c r="IM10" s="123"/>
      <c r="IN10" s="123"/>
      <c r="IO10" s="123"/>
      <c r="IP10" s="123"/>
      <c r="IQ10" s="123"/>
      <c r="IR10" s="123"/>
      <c r="IS10" s="123"/>
      <c r="IT10" s="123"/>
      <c r="IU10" s="123"/>
      <c r="IV10" s="123"/>
      <c r="IW10" s="123"/>
      <c r="IX10" s="123"/>
      <c r="IY10" s="123"/>
      <c r="IZ10" s="123"/>
      <c r="JA10" s="123"/>
      <c r="JB10" s="123"/>
      <c r="JC10" s="123"/>
      <c r="JD10" s="123"/>
      <c r="JE10" s="123"/>
      <c r="JF10" s="123"/>
      <c r="JG10" s="123"/>
      <c r="JH10" s="123"/>
      <c r="JI10" s="123"/>
    </row>
    <row r="11" spans="1:269" s="97" customFormat="1" ht="17.25" customHeight="1">
      <c r="A11" s="15"/>
      <c r="B11" s="15"/>
      <c r="C11" s="15"/>
      <c r="D11" s="123"/>
      <c r="E11" s="123"/>
      <c r="F11" s="123"/>
      <c r="G11" s="123"/>
      <c r="H11" s="211" t="s">
        <v>12</v>
      </c>
      <c r="I11" s="211"/>
      <c r="J11" s="123"/>
      <c r="K11" s="212" t="s">
        <v>13</v>
      </c>
      <c r="L11" s="212"/>
      <c r="M11" s="123"/>
      <c r="N11" s="122" t="s">
        <v>14</v>
      </c>
      <c r="O11" s="122" t="s">
        <v>15</v>
      </c>
      <c r="P11" s="123"/>
      <c r="Q11" s="123"/>
      <c r="R11" s="32"/>
      <c r="S11" s="123"/>
      <c r="T11" s="123" ph="1"/>
      <c r="U11" s="123"/>
      <c r="V11" s="123"/>
      <c r="W11" s="123" ph="1"/>
      <c r="X11" s="123"/>
      <c r="Y11" s="123"/>
      <c r="Z11" s="123" ph="1"/>
      <c r="AA11" s="123"/>
      <c r="AB11" s="123"/>
      <c r="AC11" s="123" ph="1"/>
      <c r="AD11" s="123"/>
      <c r="AE11" s="123"/>
      <c r="AF11" s="123" ph="1"/>
      <c r="AG11" s="123"/>
      <c r="AH11" s="122"/>
      <c r="AI11" s="122"/>
      <c r="AJ11" s="122"/>
      <c r="AK11" s="123" t="s">
        <v>16</v>
      </c>
      <c r="AL11" s="123" t="s">
        <v>17</v>
      </c>
      <c r="AM11" s="123"/>
      <c r="AN11" s="212" t="s">
        <v>16</v>
      </c>
      <c r="AO11" s="212"/>
      <c r="AP11" s="212"/>
      <c r="AQ11" s="123"/>
      <c r="AR11" s="212" t="s">
        <v>17</v>
      </c>
      <c r="AS11" s="212"/>
      <c r="AT11" s="212"/>
      <c r="AU11" s="123"/>
      <c r="AV11" s="123" t="s">
        <v>16</v>
      </c>
      <c r="AW11" s="123" t="s">
        <v>17</v>
      </c>
      <c r="AX11" s="123"/>
      <c r="AY11" s="123"/>
      <c r="AZ11" s="123"/>
      <c r="BA11" s="123"/>
      <c r="BB11" s="123"/>
      <c r="BC11" s="123"/>
      <c r="BD11" s="95"/>
      <c r="BE11" s="95"/>
      <c r="BF11" s="96"/>
      <c r="BG11" s="123" t="s" ph="1">
        <v>18</v>
      </c>
      <c r="BH11" s="123" t="s">
        <v>19</v>
      </c>
      <c r="BI11" s="123" ph="1"/>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3"/>
      <c r="DZ11" s="123"/>
      <c r="EA11" s="123"/>
      <c r="EB11" s="123"/>
      <c r="EC11" s="123"/>
      <c r="ED11" s="123"/>
      <c r="EE11" s="123"/>
      <c r="EF11" s="123"/>
      <c r="EG11" s="123"/>
      <c r="EH11" s="123"/>
      <c r="EI11" s="123"/>
      <c r="EJ11" s="123"/>
      <c r="EK11" s="123"/>
      <c r="EL11" s="123"/>
      <c r="EM11" s="123"/>
      <c r="EN11" s="123"/>
      <c r="EO11" s="123"/>
      <c r="EP11" s="123"/>
      <c r="EQ11" s="123"/>
      <c r="ER11" s="123"/>
      <c r="ES11" s="123"/>
      <c r="ET11" s="123"/>
      <c r="EU11" s="123"/>
      <c r="EV11" s="123"/>
      <c r="EW11" s="123"/>
      <c r="EX11" s="123"/>
      <c r="EY11" s="123"/>
      <c r="EZ11" s="123"/>
      <c r="FA11" s="123"/>
      <c r="FB11" s="123"/>
      <c r="FC11" s="123"/>
      <c r="FD11" s="123"/>
      <c r="FE11" s="123"/>
      <c r="FF11" s="123"/>
      <c r="FG11" s="123"/>
      <c r="FH11" s="123"/>
      <c r="FI11" s="123"/>
      <c r="FJ11" s="123"/>
      <c r="FK11" s="123"/>
      <c r="FL11" s="123"/>
      <c r="FM11" s="123"/>
      <c r="FN11" s="123"/>
      <c r="FO11" s="123"/>
      <c r="FP11" s="123"/>
      <c r="FQ11" s="123"/>
      <c r="FR11" s="123"/>
      <c r="FS11" s="123"/>
      <c r="FT11" s="123"/>
      <c r="FU11" s="123"/>
      <c r="FV11" s="123"/>
      <c r="FW11" s="123"/>
      <c r="FX11" s="123"/>
      <c r="FY11" s="123"/>
      <c r="FZ11" s="123"/>
      <c r="GA11" s="123"/>
      <c r="GB11" s="123"/>
      <c r="GC11" s="123"/>
      <c r="GD11" s="123"/>
      <c r="GE11" s="123"/>
      <c r="GF11" s="123"/>
      <c r="GG11" s="123"/>
      <c r="GH11" s="123"/>
      <c r="GI11" s="123"/>
      <c r="GJ11" s="123"/>
      <c r="GK11" s="123"/>
      <c r="GL11" s="123"/>
      <c r="GM11" s="123"/>
      <c r="GN11" s="123"/>
      <c r="GO11" s="123"/>
      <c r="GP11" s="123"/>
      <c r="GQ11" s="123"/>
      <c r="GR11" s="123"/>
      <c r="GS11" s="123"/>
      <c r="GT11" s="123"/>
      <c r="GU11" s="123"/>
      <c r="GV11" s="123"/>
      <c r="GW11" s="123"/>
      <c r="GX11" s="123"/>
      <c r="GY11" s="123"/>
      <c r="GZ11" s="123"/>
      <c r="HA11" s="123"/>
      <c r="HB11" s="123"/>
      <c r="HC11" s="123"/>
      <c r="HD11" s="123"/>
      <c r="HE11" s="123"/>
      <c r="HF11" s="123"/>
      <c r="HG11" s="123"/>
      <c r="HH11" s="123"/>
      <c r="HI11" s="123"/>
      <c r="HJ11" s="123"/>
      <c r="HK11" s="123"/>
      <c r="HL11" s="123"/>
      <c r="HM11" s="123"/>
      <c r="HN11" s="123"/>
      <c r="HO11" s="123"/>
      <c r="HP11" s="123"/>
      <c r="HQ11" s="123"/>
      <c r="HR11" s="123"/>
      <c r="HS11" s="123"/>
      <c r="HT11" s="123"/>
      <c r="HU11" s="123"/>
      <c r="HV11" s="123"/>
      <c r="HW11" s="123"/>
      <c r="HX11" s="123"/>
      <c r="HY11" s="123"/>
      <c r="HZ11" s="123"/>
      <c r="IA11" s="123"/>
      <c r="IB11" s="123"/>
      <c r="IC11" s="123"/>
      <c r="ID11" s="123"/>
      <c r="IE11" s="123"/>
      <c r="IF11" s="123"/>
      <c r="IG11" s="123"/>
      <c r="IH11" s="123"/>
      <c r="II11" s="123"/>
      <c r="IJ11" s="123"/>
      <c r="IK11" s="123"/>
      <c r="IL11" s="123"/>
      <c r="IM11" s="123"/>
      <c r="IN11" s="123"/>
      <c r="IO11" s="123"/>
      <c r="IP11" s="123"/>
      <c r="IQ11" s="123"/>
      <c r="IR11" s="123"/>
      <c r="IS11" s="123"/>
      <c r="IT11" s="123"/>
      <c r="IU11" s="123"/>
      <c r="IV11" s="123"/>
      <c r="IW11" s="123"/>
      <c r="IX11" s="123"/>
      <c r="IY11" s="123"/>
      <c r="IZ11" s="123"/>
      <c r="JA11" s="123"/>
      <c r="JB11" s="123"/>
      <c r="JC11" s="123"/>
      <c r="JD11" s="123"/>
      <c r="JE11" s="123"/>
      <c r="JF11" s="123"/>
      <c r="JG11" s="123"/>
      <c r="JH11" s="123"/>
      <c r="JI11" s="123"/>
    </row>
    <row r="12" spans="1:269" s="97" customFormat="1" ht="17.25" customHeight="1">
      <c r="A12" s="15"/>
      <c r="B12" s="15"/>
      <c r="C12" s="15"/>
      <c r="D12" s="123"/>
      <c r="E12" s="123"/>
      <c r="F12" s="123"/>
      <c r="G12" s="123"/>
      <c r="H12" s="218" t="s">
        <v>20</v>
      </c>
      <c r="I12" s="219"/>
      <c r="J12" s="123"/>
      <c r="K12" s="218" t="s">
        <v>21</v>
      </c>
      <c r="L12" s="219"/>
      <c r="M12" s="123"/>
      <c r="N12" s="123" t="s">
        <v>22</v>
      </c>
      <c r="O12" s="123" t="s" ph="1">
        <v>93</v>
      </c>
      <c r="P12" s="123"/>
      <c r="Q12" s="123" ph="1"/>
      <c r="R12" s="32"/>
      <c r="S12" s="123"/>
      <c r="T12" s="123"/>
      <c r="U12" s="123"/>
      <c r="V12" s="123"/>
      <c r="W12" s="100"/>
      <c r="X12" s="123"/>
      <c r="Y12" s="123"/>
      <c r="Z12" s="123" ph="1"/>
      <c r="AA12" s="123"/>
      <c r="AB12" s="123"/>
      <c r="AC12" s="123"/>
      <c r="AD12" s="123"/>
      <c r="AE12" s="123"/>
      <c r="AF12" s="123" ph="1"/>
      <c r="AG12" s="123"/>
      <c r="AH12" s="123"/>
      <c r="AI12" s="123"/>
      <c r="AJ12" s="123"/>
      <c r="AK12" s="123" t="s">
        <v>23</v>
      </c>
      <c r="AL12" s="123" t="s">
        <v>24</v>
      </c>
      <c r="AM12" s="123"/>
      <c r="AN12" s="219" t="s">
        <v>23</v>
      </c>
      <c r="AO12" s="219"/>
      <c r="AP12" s="219"/>
      <c r="AQ12" s="123"/>
      <c r="AR12" s="219" t="s">
        <v>24</v>
      </c>
      <c r="AS12" s="219"/>
      <c r="AT12" s="219"/>
      <c r="AU12" s="123"/>
      <c r="AV12" s="123" t="s">
        <v>23</v>
      </c>
      <c r="AW12" s="123" t="s">
        <v>24</v>
      </c>
      <c r="AX12" s="123"/>
      <c r="AY12" s="123"/>
      <c r="AZ12" s="123"/>
      <c r="BA12" s="123"/>
      <c r="BB12" s="123"/>
      <c r="BC12" s="123"/>
      <c r="BD12" s="95"/>
      <c r="BE12" s="95"/>
      <c r="BF12" s="96"/>
      <c r="BG12" s="123" t="s" ph="1">
        <v>25</v>
      </c>
      <c r="BH12" s="95" t="s">
        <v>26</v>
      </c>
      <c r="BI12" s="123" ph="1"/>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3"/>
      <c r="DZ12" s="123"/>
      <c r="EA12" s="123"/>
      <c r="EB12" s="123"/>
      <c r="EC12" s="123"/>
      <c r="ED12" s="123"/>
      <c r="EE12" s="123"/>
      <c r="EF12" s="123"/>
      <c r="EG12" s="123"/>
      <c r="EH12" s="123"/>
      <c r="EI12" s="123"/>
      <c r="EJ12" s="123"/>
      <c r="EK12" s="123"/>
      <c r="EL12" s="123"/>
      <c r="EM12" s="123"/>
      <c r="EN12" s="123"/>
      <c r="EO12" s="123"/>
      <c r="EP12" s="123"/>
      <c r="EQ12" s="123"/>
      <c r="ER12" s="123"/>
      <c r="ES12" s="123"/>
      <c r="ET12" s="123"/>
      <c r="EU12" s="123"/>
      <c r="EV12" s="123"/>
      <c r="EW12" s="123"/>
      <c r="EX12" s="123"/>
      <c r="EY12" s="123"/>
      <c r="EZ12" s="123"/>
      <c r="FA12" s="123"/>
      <c r="FB12" s="123"/>
      <c r="FC12" s="123"/>
      <c r="FD12" s="123"/>
      <c r="FE12" s="123"/>
      <c r="FF12" s="123"/>
      <c r="FG12" s="123"/>
      <c r="FH12" s="123"/>
      <c r="FI12" s="123"/>
      <c r="FJ12" s="123"/>
      <c r="FK12" s="123"/>
      <c r="FL12" s="123"/>
      <c r="FM12" s="123"/>
      <c r="FN12" s="123"/>
      <c r="FO12" s="123"/>
      <c r="FP12" s="123"/>
      <c r="FQ12" s="123"/>
      <c r="FR12" s="123"/>
      <c r="FS12" s="123"/>
      <c r="FT12" s="123"/>
      <c r="FU12" s="123"/>
      <c r="FV12" s="123"/>
      <c r="FW12" s="123"/>
      <c r="FX12" s="123"/>
      <c r="FY12" s="123"/>
      <c r="FZ12" s="123"/>
      <c r="GA12" s="123"/>
      <c r="GB12" s="123"/>
      <c r="GC12" s="123"/>
      <c r="GD12" s="123"/>
      <c r="GE12" s="123"/>
      <c r="GF12" s="123"/>
      <c r="GG12" s="123"/>
      <c r="GH12" s="123"/>
      <c r="GI12" s="123"/>
      <c r="GJ12" s="123"/>
      <c r="GK12" s="123"/>
      <c r="GL12" s="123"/>
      <c r="GM12" s="123"/>
      <c r="GN12" s="123"/>
      <c r="GO12" s="123"/>
      <c r="GP12" s="123"/>
      <c r="GQ12" s="123"/>
      <c r="GR12" s="123"/>
      <c r="GS12" s="123"/>
      <c r="GT12" s="123"/>
      <c r="GU12" s="123"/>
      <c r="GV12" s="123"/>
      <c r="GW12" s="123"/>
      <c r="GX12" s="123"/>
      <c r="GY12" s="123"/>
      <c r="GZ12" s="123"/>
      <c r="HA12" s="123"/>
      <c r="HB12" s="123"/>
      <c r="HC12" s="123"/>
      <c r="HD12" s="123"/>
      <c r="HE12" s="123"/>
      <c r="HF12" s="123"/>
      <c r="HG12" s="123"/>
      <c r="HH12" s="123"/>
      <c r="HI12" s="123"/>
      <c r="HJ12" s="123"/>
      <c r="HK12" s="123"/>
      <c r="HL12" s="123"/>
      <c r="HM12" s="123"/>
      <c r="HN12" s="123"/>
      <c r="HO12" s="123"/>
      <c r="HP12" s="123"/>
      <c r="HQ12" s="123"/>
      <c r="HR12" s="123"/>
      <c r="HS12" s="123"/>
      <c r="HT12" s="123"/>
      <c r="HU12" s="123"/>
      <c r="HV12" s="123"/>
      <c r="HW12" s="123"/>
      <c r="HX12" s="123"/>
      <c r="HY12" s="123"/>
      <c r="HZ12" s="123"/>
      <c r="IA12" s="123"/>
      <c r="IB12" s="123"/>
      <c r="IC12" s="123"/>
      <c r="ID12" s="123"/>
      <c r="IE12" s="123"/>
      <c r="IF12" s="123"/>
      <c r="IG12" s="123"/>
      <c r="IH12" s="123"/>
      <c r="II12" s="123"/>
      <c r="IJ12" s="123"/>
      <c r="IK12" s="123"/>
      <c r="IL12" s="123"/>
      <c r="IM12" s="123"/>
      <c r="IN12" s="123"/>
      <c r="IO12" s="123"/>
      <c r="IP12" s="123"/>
      <c r="IQ12" s="123"/>
      <c r="IR12" s="123"/>
      <c r="IS12" s="123"/>
      <c r="IT12" s="123"/>
      <c r="IU12" s="123"/>
      <c r="IV12" s="123"/>
      <c r="IW12" s="123"/>
      <c r="IX12" s="123"/>
      <c r="IY12" s="123"/>
      <c r="IZ12" s="123"/>
      <c r="JA12" s="123"/>
      <c r="JB12" s="123"/>
      <c r="JC12" s="123"/>
      <c r="JD12" s="123"/>
      <c r="JE12" s="123"/>
      <c r="JF12" s="123"/>
      <c r="JG12" s="123"/>
      <c r="JH12" s="123"/>
      <c r="JI12" s="123"/>
    </row>
    <row r="13" spans="1:269" s="97" customFormat="1" ht="17.25" customHeight="1">
      <c r="A13" s="15"/>
      <c r="B13" s="15"/>
      <c r="C13" s="15"/>
      <c r="D13" s="123" ph="1"/>
      <c r="E13" s="123"/>
      <c r="F13" s="123"/>
      <c r="G13" s="123"/>
      <c r="H13" s="123" t="s">
        <v>16</v>
      </c>
      <c r="I13" s="123" t="s">
        <v>17</v>
      </c>
      <c r="J13" s="123"/>
      <c r="K13" s="123" t="s">
        <v>16</v>
      </c>
      <c r="L13" s="123" t="s">
        <v>17</v>
      </c>
      <c r="M13" s="123"/>
      <c r="N13" s="122"/>
      <c r="O13" s="122"/>
      <c r="P13" s="123"/>
      <c r="Q13" s="123" ph="1"/>
      <c r="R13" s="32"/>
      <c r="S13" s="123"/>
      <c r="T13" s="123"/>
      <c r="U13" s="123"/>
      <c r="V13" s="123"/>
      <c r="W13" s="100"/>
      <c r="X13" s="100"/>
      <c r="Y13" s="123"/>
      <c r="Z13" s="123"/>
      <c r="AA13" s="123"/>
      <c r="AB13" s="123"/>
      <c r="AC13" s="123"/>
      <c r="AD13" s="123"/>
      <c r="AE13" s="123"/>
      <c r="AF13" s="123"/>
      <c r="AG13" s="123"/>
      <c r="AH13" s="123"/>
      <c r="AI13" s="123"/>
      <c r="AJ13" s="123"/>
      <c r="AK13" s="123"/>
      <c r="AL13" s="123"/>
      <c r="AM13" s="123"/>
      <c r="AN13" s="123" t="s">
        <v>27</v>
      </c>
      <c r="AO13" s="123" t="s">
        <v>28</v>
      </c>
      <c r="AP13" s="123" t="s">
        <v>29</v>
      </c>
      <c r="AQ13" s="123"/>
      <c r="AR13" s="123" t="s">
        <v>27</v>
      </c>
      <c r="AS13" s="123" t="s">
        <v>28</v>
      </c>
      <c r="AT13" s="123" t="s">
        <v>29</v>
      </c>
      <c r="AU13" s="123"/>
      <c r="AV13" s="100"/>
      <c r="AW13" s="123"/>
      <c r="AX13" s="123"/>
      <c r="AY13" s="123"/>
      <c r="AZ13" s="123"/>
      <c r="BA13" s="123"/>
      <c r="BB13" s="123"/>
      <c r="BC13" s="123"/>
      <c r="BD13" s="95"/>
      <c r="BE13" s="95"/>
      <c r="BF13" s="96"/>
      <c r="BG13" s="123" ph="1"/>
      <c r="BH13" s="123"/>
      <c r="BI13" s="123" ph="1"/>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3"/>
      <c r="DZ13" s="123"/>
      <c r="EA13" s="123"/>
      <c r="EB13" s="123"/>
      <c r="EC13" s="123"/>
      <c r="ED13" s="123"/>
      <c r="EE13" s="123"/>
      <c r="EF13" s="123"/>
      <c r="EG13" s="123"/>
      <c r="EH13" s="123"/>
      <c r="EI13" s="123"/>
      <c r="EJ13" s="123"/>
      <c r="EK13" s="123"/>
      <c r="EL13" s="123"/>
      <c r="EM13" s="123"/>
      <c r="EN13" s="123"/>
      <c r="EO13" s="123"/>
      <c r="EP13" s="123"/>
      <c r="EQ13" s="123"/>
      <c r="ER13" s="123"/>
      <c r="ES13" s="123"/>
      <c r="ET13" s="123"/>
      <c r="EU13" s="123"/>
      <c r="EV13" s="123"/>
      <c r="EW13" s="123"/>
      <c r="EX13" s="123"/>
      <c r="EY13" s="123"/>
      <c r="EZ13" s="123"/>
      <c r="FA13" s="123"/>
      <c r="FB13" s="123"/>
      <c r="FC13" s="123"/>
      <c r="FD13" s="123"/>
      <c r="FE13" s="123"/>
      <c r="FF13" s="123"/>
      <c r="FG13" s="123"/>
      <c r="FH13" s="123"/>
      <c r="FI13" s="123"/>
      <c r="FJ13" s="123"/>
      <c r="FK13" s="123"/>
      <c r="FL13" s="123"/>
      <c r="FM13" s="123"/>
      <c r="FN13" s="123"/>
      <c r="FO13" s="123"/>
      <c r="FP13" s="123"/>
      <c r="FQ13" s="123"/>
      <c r="FR13" s="123"/>
      <c r="FS13" s="123"/>
      <c r="FT13" s="123"/>
      <c r="FU13" s="123"/>
      <c r="FV13" s="123"/>
      <c r="FW13" s="123"/>
      <c r="FX13" s="123"/>
      <c r="FY13" s="123"/>
      <c r="FZ13" s="123"/>
      <c r="GA13" s="123"/>
      <c r="GB13" s="123"/>
      <c r="GC13" s="123"/>
      <c r="GD13" s="123"/>
      <c r="GE13" s="123"/>
      <c r="GF13" s="123"/>
      <c r="GG13" s="123"/>
      <c r="GH13" s="123"/>
      <c r="GI13" s="123"/>
      <c r="GJ13" s="123"/>
      <c r="GK13" s="123"/>
      <c r="GL13" s="123"/>
      <c r="GM13" s="123"/>
      <c r="GN13" s="123"/>
      <c r="GO13" s="123"/>
      <c r="GP13" s="123"/>
      <c r="GQ13" s="123"/>
      <c r="GR13" s="123"/>
      <c r="GS13" s="123"/>
      <c r="GT13" s="123"/>
      <c r="GU13" s="123"/>
      <c r="GV13" s="123"/>
      <c r="GW13" s="123"/>
      <c r="GX13" s="123"/>
      <c r="GY13" s="123"/>
      <c r="GZ13" s="123"/>
      <c r="HA13" s="123"/>
      <c r="HB13" s="123"/>
      <c r="HC13" s="123"/>
      <c r="HD13" s="123"/>
      <c r="HE13" s="123"/>
      <c r="HF13" s="123"/>
      <c r="HG13" s="123"/>
      <c r="HH13" s="123"/>
      <c r="HI13" s="123"/>
      <c r="HJ13" s="123"/>
      <c r="HK13" s="123"/>
      <c r="HL13" s="123"/>
      <c r="HM13" s="123"/>
      <c r="HN13" s="123"/>
      <c r="HO13" s="123"/>
      <c r="HP13" s="123"/>
      <c r="HQ13" s="123"/>
      <c r="HR13" s="123"/>
      <c r="HS13" s="123"/>
      <c r="HT13" s="123"/>
      <c r="HU13" s="123"/>
      <c r="HV13" s="123"/>
      <c r="HW13" s="123"/>
      <c r="HX13" s="123"/>
      <c r="HY13" s="123"/>
      <c r="HZ13" s="123"/>
      <c r="IA13" s="123"/>
      <c r="IB13" s="123"/>
      <c r="IC13" s="123"/>
      <c r="ID13" s="123"/>
      <c r="IE13" s="123"/>
      <c r="IF13" s="123"/>
      <c r="IG13" s="123"/>
      <c r="IH13" s="123"/>
      <c r="II13" s="123"/>
      <c r="IJ13" s="123"/>
      <c r="IK13" s="123"/>
      <c r="IL13" s="123"/>
      <c r="IM13" s="123"/>
      <c r="IN13" s="123"/>
      <c r="IO13" s="123"/>
      <c r="IP13" s="123"/>
      <c r="IQ13" s="123"/>
      <c r="IR13" s="123"/>
      <c r="IS13" s="123"/>
      <c r="IT13" s="123"/>
      <c r="IU13" s="123"/>
      <c r="IV13" s="123"/>
      <c r="IW13" s="123"/>
      <c r="IX13" s="123"/>
      <c r="IY13" s="123"/>
      <c r="IZ13" s="123"/>
      <c r="JA13" s="123"/>
      <c r="JB13" s="123"/>
      <c r="JC13" s="123"/>
      <c r="JD13" s="123"/>
      <c r="JE13" s="123"/>
      <c r="JF13" s="123"/>
      <c r="JG13" s="123"/>
      <c r="JH13" s="123"/>
      <c r="JI13" s="123"/>
    </row>
    <row r="14" spans="1:269" ht="17.25" customHeight="1">
      <c r="A14" s="101"/>
      <c r="B14" s="15"/>
      <c r="C14" s="15"/>
      <c r="D14" s="89"/>
      <c r="E14" s="126" t="s">
        <v>30</v>
      </c>
      <c r="F14" s="126" t="s">
        <v>31</v>
      </c>
      <c r="G14" s="125"/>
      <c r="H14" s="123" t="s">
        <v>23</v>
      </c>
      <c r="I14" s="123" t="s">
        <v>24</v>
      </c>
      <c r="J14" s="125"/>
      <c r="K14" s="123" t="s">
        <v>23</v>
      </c>
      <c r="L14" s="123" t="s">
        <v>24</v>
      </c>
      <c r="M14" s="125"/>
      <c r="N14" s="125"/>
      <c r="O14" s="125" ph="1"/>
      <c r="P14" s="125"/>
      <c r="Q14" s="125" ph="1"/>
      <c r="R14" s="12"/>
      <c r="S14" s="123"/>
      <c r="T14" s="123" ph="1"/>
      <c r="U14" s="10" t="s" ph="1">
        <v>30</v>
      </c>
      <c r="V14" s="125"/>
      <c r="W14" s="102"/>
      <c r="X14" s="10" t="s" ph="1">
        <v>30</v>
      </c>
      <c r="Y14" s="125"/>
      <c r="Z14" s="125"/>
      <c r="AA14" s="10" t="s" ph="1">
        <v>30</v>
      </c>
      <c r="AB14" s="125"/>
      <c r="AC14" s="103" ph="1"/>
      <c r="AD14" s="10" t="s" ph="1">
        <v>30</v>
      </c>
      <c r="AE14" s="125"/>
      <c r="AF14" s="103" ph="1"/>
      <c r="AG14" s="10" t="s" ph="1">
        <v>30</v>
      </c>
      <c r="AH14" s="103" ph="1"/>
      <c r="AI14" s="10" ph="1"/>
      <c r="AJ14" s="125"/>
      <c r="AK14" s="125" ph="1"/>
      <c r="AL14" s="125" ph="1"/>
      <c r="AM14" s="125"/>
      <c r="AN14" s="123" t="s">
        <v>32</v>
      </c>
      <c r="AO14" s="123" t="s">
        <v>33</v>
      </c>
      <c r="AP14" s="123" t="s">
        <v>34</v>
      </c>
      <c r="AQ14" s="125"/>
      <c r="AR14" s="123" t="s">
        <v>32</v>
      </c>
      <c r="AS14" s="123" t="s">
        <v>33</v>
      </c>
      <c r="AT14" s="123" t="s">
        <v>34</v>
      </c>
      <c r="AU14" s="125"/>
      <c r="AV14" s="102"/>
      <c r="AW14" s="125"/>
      <c r="AX14" s="125"/>
      <c r="AY14" s="125"/>
      <c r="AZ14" s="125"/>
      <c r="BA14" s="125"/>
      <c r="BB14" s="125"/>
      <c r="BC14" s="125"/>
      <c r="BD14" s="89"/>
      <c r="BE14" s="89"/>
      <c r="BF14" s="94"/>
      <c r="BG14" s="125" ph="1"/>
      <c r="BH14" s="126"/>
      <c r="BI14" s="20" ph="1"/>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row>
    <row r="15" spans="1:269" ht="17.25" customHeight="1">
      <c r="A15" s="101"/>
      <c r="B15" s="15"/>
      <c r="C15" s="15"/>
      <c r="D15" s="125" t="s" ph="1">
        <v>35</v>
      </c>
      <c r="E15" s="125" t="s" ph="1">
        <v>36</v>
      </c>
      <c r="F15" s="125" t="s" ph="1">
        <v>36</v>
      </c>
      <c r="G15" s="125"/>
      <c r="H15" s="125" t="s" ph="1">
        <v>35</v>
      </c>
      <c r="I15" s="125" t="s" ph="1">
        <v>37</v>
      </c>
      <c r="J15" s="125"/>
      <c r="K15" s="125" t="s" ph="1">
        <v>35</v>
      </c>
      <c r="L15" s="125" t="s" ph="1">
        <v>37</v>
      </c>
      <c r="M15" s="125"/>
      <c r="N15" s="125" t="s" ph="1">
        <v>38</v>
      </c>
      <c r="O15" s="125" t="s" ph="1">
        <v>39</v>
      </c>
      <c r="P15" s="125"/>
      <c r="Q15" s="125" t="s" ph="1">
        <v>39</v>
      </c>
      <c r="R15" s="12"/>
      <c r="S15" s="123"/>
      <c r="T15" s="125" t="s" ph="1">
        <v>40</v>
      </c>
      <c r="U15" s="10" t="s">
        <v>36</v>
      </c>
      <c r="V15" s="125"/>
      <c r="W15" s="125" t="s" ph="1">
        <v>35</v>
      </c>
      <c r="X15" s="10" t="s">
        <v>36</v>
      </c>
      <c r="Y15" s="125"/>
      <c r="Z15" s="125" t="s" ph="1">
        <v>37</v>
      </c>
      <c r="AA15" s="10" t="s">
        <v>36</v>
      </c>
      <c r="AB15" s="125"/>
      <c r="AC15" s="125" t="s" ph="1">
        <v>35</v>
      </c>
      <c r="AD15" s="10" t="s">
        <v>36</v>
      </c>
      <c r="AE15" s="125"/>
      <c r="AF15" s="125" t="s" ph="1">
        <v>37</v>
      </c>
      <c r="AG15" s="10" t="s">
        <v>36</v>
      </c>
      <c r="AH15" s="125" t="s" ph="1">
        <v>35</v>
      </c>
      <c r="AI15" s="125" t="s" ph="1">
        <v>39</v>
      </c>
      <c r="AJ15" s="125" t="s">
        <v>41</v>
      </c>
      <c r="AK15" s="125" t="s" ph="1">
        <v>35</v>
      </c>
      <c r="AL15" s="125" t="s" ph="1">
        <v>37</v>
      </c>
      <c r="AM15" s="125"/>
      <c r="AN15" s="125" t="s" ph="1">
        <v>35</v>
      </c>
      <c r="AO15" s="125" t="s" ph="1">
        <v>35</v>
      </c>
      <c r="AP15" s="125" t="s" ph="1">
        <v>35</v>
      </c>
      <c r="AQ15" s="125"/>
      <c r="AR15" s="125" t="s" ph="1">
        <v>37</v>
      </c>
      <c r="AS15" s="125" t="s" ph="1">
        <v>37</v>
      </c>
      <c r="AT15" s="125" t="s" ph="1">
        <v>37</v>
      </c>
      <c r="AU15" s="125"/>
      <c r="AV15" s="125" t="s" ph="1">
        <v>35</v>
      </c>
      <c r="AW15" s="125" t="s" ph="1">
        <v>37</v>
      </c>
      <c r="AX15" s="125"/>
      <c r="AY15" s="125" ph="1"/>
      <c r="AZ15" s="125" ph="1"/>
      <c r="BA15" s="125" ph="1"/>
      <c r="BB15" s="125" ph="1"/>
      <c r="BC15" s="125"/>
      <c r="BD15" s="125" t="s" ph="1">
        <v>35</v>
      </c>
      <c r="BE15" s="89"/>
      <c r="BF15" s="94"/>
      <c r="BG15" s="125" t="s" ph="1">
        <v>35</v>
      </c>
      <c r="BH15" s="125" t="s" ph="1">
        <v>39</v>
      </c>
      <c r="BI15" s="20" ph="1"/>
      <c r="BJ15" s="20" ph="1"/>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c r="IE15" s="20"/>
      <c r="IF15" s="20"/>
      <c r="IG15" s="20"/>
      <c r="IH15" s="20"/>
      <c r="II15" s="20"/>
      <c r="IJ15" s="20"/>
      <c r="IK15" s="20"/>
      <c r="IL15" s="20"/>
      <c r="IM15" s="20"/>
      <c r="IN15" s="20"/>
      <c r="IO15" s="20"/>
      <c r="IP15" s="20"/>
      <c r="IQ15" s="20"/>
      <c r="IR15" s="20"/>
      <c r="IS15" s="20"/>
      <c r="IT15" s="20"/>
      <c r="IU15" s="20"/>
      <c r="IV15" s="20"/>
      <c r="IW15" s="20"/>
      <c r="IX15" s="20"/>
      <c r="IY15" s="20"/>
      <c r="IZ15" s="20"/>
      <c r="JA15" s="20"/>
      <c r="JB15" s="20"/>
      <c r="JC15" s="20"/>
      <c r="JD15" s="20"/>
      <c r="JE15" s="20"/>
      <c r="JF15" s="20"/>
      <c r="JG15" s="20"/>
      <c r="JH15" s="20"/>
      <c r="JI15" s="20"/>
    </row>
    <row r="16" spans="1:269" ht="17.25" customHeight="1">
      <c r="A16" s="101" ph="1"/>
      <c r="B16" s="15" ph="1"/>
      <c r="C16" s="15" ph="1"/>
      <c r="D16" s="125" t="s">
        <v>42</v>
      </c>
      <c r="E16" s="125" t="s">
        <v>43</v>
      </c>
      <c r="F16" s="125" t="s">
        <v>44</v>
      </c>
      <c r="G16" s="29" ph="1"/>
      <c r="H16" s="125" t="s">
        <v>42</v>
      </c>
      <c r="I16" s="102" t="s">
        <v>45</v>
      </c>
      <c r="J16" s="29" ph="1"/>
      <c r="K16" s="125" t="s">
        <v>42</v>
      </c>
      <c r="L16" s="102" t="s">
        <v>45</v>
      </c>
      <c r="M16" s="29" ph="1"/>
      <c r="N16" s="125" t="s">
        <v>46</v>
      </c>
      <c r="O16" s="125" t="s">
        <v>46</v>
      </c>
      <c r="P16" s="29" ph="1"/>
      <c r="Q16" s="125" t="s">
        <v>46</v>
      </c>
      <c r="R16" s="14" ph="1"/>
      <c r="S16" s="15" ph="1"/>
      <c r="T16" s="102" t="s">
        <v>45</v>
      </c>
      <c r="U16" s="125" t="s">
        <v>43</v>
      </c>
      <c r="V16" s="29" ph="1"/>
      <c r="W16" s="125" t="s">
        <v>42</v>
      </c>
      <c r="X16" s="125" t="s">
        <v>43</v>
      </c>
      <c r="Y16" s="29" ph="1"/>
      <c r="Z16" s="102" t="s">
        <v>45</v>
      </c>
      <c r="AA16" s="125" t="s">
        <v>43</v>
      </c>
      <c r="AB16" s="29" ph="1"/>
      <c r="AC16" s="125" t="s">
        <v>42</v>
      </c>
      <c r="AD16" s="125" t="s">
        <v>43</v>
      </c>
      <c r="AE16" s="29" ph="1"/>
      <c r="AF16" s="102" t="s">
        <v>45</v>
      </c>
      <c r="AG16" s="102" t="s">
        <v>43</v>
      </c>
      <c r="AH16" s="125" t="s">
        <v>42</v>
      </c>
      <c r="AI16" s="125" t="s">
        <v>46</v>
      </c>
      <c r="AJ16" s="125" t="s" ph="1">
        <v>47</v>
      </c>
      <c r="AK16" s="125" t="s">
        <v>42</v>
      </c>
      <c r="AL16" s="102" t="s">
        <v>45</v>
      </c>
      <c r="AM16" s="29" ph="1"/>
      <c r="AN16" s="125" t="s">
        <v>42</v>
      </c>
      <c r="AO16" s="125" t="s">
        <v>42</v>
      </c>
      <c r="AP16" s="125" t="s">
        <v>42</v>
      </c>
      <c r="AQ16" s="29" ph="1"/>
      <c r="AR16" s="102" t="s">
        <v>45</v>
      </c>
      <c r="AS16" s="102" t="s">
        <v>45</v>
      </c>
      <c r="AT16" s="102" t="s">
        <v>45</v>
      </c>
      <c r="AU16" s="29" ph="1"/>
      <c r="AV16" s="125" t="s">
        <v>42</v>
      </c>
      <c r="AW16" s="102" t="s">
        <v>45</v>
      </c>
      <c r="AX16" s="29" ph="1"/>
      <c r="AY16" s="102"/>
      <c r="AZ16" s="102"/>
      <c r="BA16" s="102"/>
      <c r="BB16" s="125"/>
      <c r="BC16" s="29" ph="1"/>
      <c r="BD16" s="125" t="s">
        <v>42</v>
      </c>
      <c r="BE16" s="89"/>
      <c r="BF16" s="94"/>
      <c r="BG16" s="125" t="s">
        <v>42</v>
      </c>
      <c r="BH16" s="125" t="s">
        <v>46</v>
      </c>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row>
    <row r="17" spans="1:269" ht="17.25" customHeight="1">
      <c r="A17" s="101" ph="1">
        <v>2016</v>
      </c>
      <c r="B17" s="20" t="s">
        <v>115</v>
      </c>
      <c r="C17" s="20" t="s">
        <v>123</v>
      </c>
      <c r="D17" s="83">
        <v>1118657</v>
      </c>
      <c r="E17" s="82">
        <v>8.9999999999999993E-3</v>
      </c>
      <c r="F17" s="82">
        <v>4.2000000000000003E-2</v>
      </c>
      <c r="G17" s="29" ph="1"/>
      <c r="H17" s="83">
        <v>4612</v>
      </c>
      <c r="I17" s="104">
        <v>8776</v>
      </c>
      <c r="J17" s="29" ph="1"/>
      <c r="K17" s="83">
        <v>15792</v>
      </c>
      <c r="L17" s="104">
        <v>4583</v>
      </c>
      <c r="M17" s="29" ph="1"/>
      <c r="N17" s="125">
        <v>0.03</v>
      </c>
      <c r="O17" s="125">
        <v>0.02</v>
      </c>
      <c r="P17" s="29" ph="1"/>
      <c r="Q17" s="85">
        <v>0</v>
      </c>
      <c r="R17" s="14" ph="1"/>
      <c r="S17" s="15" ph="1"/>
      <c r="T17" s="104">
        <v>10505</v>
      </c>
      <c r="U17" s="82">
        <v>-0.26</v>
      </c>
      <c r="V17" s="29" ph="1"/>
      <c r="W17" s="83">
        <v>29556</v>
      </c>
      <c r="X17" s="82">
        <v>0.11700000000000001</v>
      </c>
      <c r="Y17" s="29" ph="1"/>
      <c r="Z17" s="104">
        <v>8323</v>
      </c>
      <c r="AA17" s="82">
        <v>7.1999999999999995E-2</v>
      </c>
      <c r="AB17" s="29" ph="1"/>
      <c r="AC17" s="83">
        <v>32470</v>
      </c>
      <c r="AD17" s="82">
        <v>-0.157</v>
      </c>
      <c r="AE17" s="29" ph="1"/>
      <c r="AF17" s="104">
        <v>8961</v>
      </c>
      <c r="AG17" s="120">
        <v>-0.16</v>
      </c>
      <c r="AH17" s="125">
        <v>3.62</v>
      </c>
      <c r="AI17" s="125">
        <v>50.8</v>
      </c>
      <c r="AJ17" s="125" ph="1">
        <v>314</v>
      </c>
      <c r="AK17" s="83">
        <v>1244</v>
      </c>
      <c r="AL17" s="102">
        <v>250</v>
      </c>
      <c r="AM17" s="29" ph="1"/>
      <c r="AN17" s="83">
        <v>8249</v>
      </c>
      <c r="AO17" s="83">
        <v>15099</v>
      </c>
      <c r="AP17" s="83">
        <v>9122</v>
      </c>
      <c r="AQ17" s="29" ph="1"/>
      <c r="AR17" s="104">
        <v>1811</v>
      </c>
      <c r="AS17" s="104">
        <v>4180</v>
      </c>
      <c r="AT17" s="104">
        <v>2970</v>
      </c>
      <c r="AU17" s="29" ph="1"/>
      <c r="AV17" s="83">
        <v>24012</v>
      </c>
      <c r="AW17" s="104">
        <v>6593</v>
      </c>
      <c r="AX17" s="29" ph="1"/>
      <c r="AY17" s="120">
        <v>0.94899999999999995</v>
      </c>
      <c r="AZ17" s="120">
        <v>2.5000000000000001E-2</v>
      </c>
      <c r="BA17" s="120">
        <v>8.0000000000000002E-3</v>
      </c>
      <c r="BB17" s="82">
        <v>1.7999999999999999E-2</v>
      </c>
      <c r="BC17" s="29" ph="1"/>
      <c r="BD17" s="125">
        <v>0</v>
      </c>
      <c r="BE17" s="89"/>
      <c r="BF17" s="94"/>
      <c r="BG17" s="125">
        <v>1</v>
      </c>
      <c r="BH17" s="125" t="s">
        <v>208</v>
      </c>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c r="IW17" s="20"/>
      <c r="IX17" s="20"/>
      <c r="IY17" s="20"/>
      <c r="IZ17" s="20"/>
      <c r="JA17" s="20"/>
      <c r="JB17" s="20"/>
      <c r="JC17" s="20"/>
      <c r="JD17" s="20"/>
      <c r="JE17" s="20"/>
      <c r="JF17" s="20"/>
      <c r="JG17" s="20"/>
      <c r="JH17" s="20"/>
      <c r="JI17" s="20"/>
    </row>
    <row r="18" spans="1:269" ht="17.25" customHeight="1">
      <c r="A18" s="101" ph="1"/>
      <c r="B18" s="15" ph="1"/>
      <c r="C18" s="15" ph="1"/>
      <c r="D18" s="125"/>
      <c r="E18" s="125"/>
      <c r="F18" s="125"/>
      <c r="G18" s="29" ph="1"/>
      <c r="H18" s="125"/>
      <c r="I18" s="102"/>
      <c r="J18" s="29" ph="1"/>
      <c r="K18" s="125"/>
      <c r="L18" s="102"/>
      <c r="M18" s="29" ph="1"/>
      <c r="N18" s="125"/>
      <c r="O18" s="125"/>
      <c r="P18" s="29" ph="1"/>
      <c r="Q18" s="125"/>
      <c r="R18" s="14" ph="1"/>
      <c r="S18" s="15" ph="1"/>
      <c r="T18" s="102"/>
      <c r="U18" s="82"/>
      <c r="V18" s="29" ph="1"/>
      <c r="W18" s="125"/>
      <c r="X18" s="125"/>
      <c r="Y18" s="29" ph="1"/>
      <c r="Z18" s="102"/>
      <c r="AA18" s="125"/>
      <c r="AB18" s="29" ph="1"/>
      <c r="AC18" s="125"/>
      <c r="AD18" s="125"/>
      <c r="AE18" s="29" ph="1"/>
      <c r="AF18" s="102"/>
      <c r="AG18" s="102"/>
      <c r="AH18" s="125"/>
      <c r="AI18" s="125"/>
      <c r="AJ18" s="125" ph="1"/>
      <c r="AK18" s="125"/>
      <c r="AL18" s="102"/>
      <c r="AM18" s="29" ph="1"/>
      <c r="AN18" s="125"/>
      <c r="AO18" s="125"/>
      <c r="AP18" s="125"/>
      <c r="AQ18" s="29" ph="1"/>
      <c r="AR18" s="102"/>
      <c r="AS18" s="102"/>
      <c r="AT18" s="102"/>
      <c r="AU18" s="29" ph="1"/>
      <c r="AV18" s="125"/>
      <c r="AW18" s="102"/>
      <c r="AX18" s="29" ph="1"/>
      <c r="AY18" s="102"/>
      <c r="AZ18" s="102"/>
      <c r="BA18" s="102"/>
      <c r="BB18" s="125"/>
      <c r="BC18" s="29" ph="1"/>
      <c r="BD18" s="125"/>
      <c r="BE18" s="89"/>
      <c r="BF18" s="94"/>
      <c r="BG18" s="125"/>
      <c r="BH18" s="125"/>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c r="IT18" s="20"/>
      <c r="IU18" s="20"/>
      <c r="IV18" s="20"/>
      <c r="IW18" s="20"/>
      <c r="IX18" s="20"/>
      <c r="IY18" s="20"/>
      <c r="IZ18" s="20"/>
      <c r="JA18" s="20"/>
      <c r="JB18" s="20"/>
      <c r="JC18" s="20"/>
      <c r="JD18" s="20"/>
      <c r="JE18" s="20"/>
      <c r="JF18" s="20"/>
      <c r="JG18" s="20"/>
      <c r="JH18" s="20"/>
      <c r="JI18" s="20"/>
    </row>
    <row r="19" spans="1:269" ht="17.25" customHeight="1">
      <c r="A19" s="101">
        <v>2017</v>
      </c>
      <c r="B19" s="20" t="s">
        <v>114</v>
      </c>
      <c r="C19" s="20" t="s">
        <v>209</v>
      </c>
      <c r="D19" s="83">
        <v>1140803</v>
      </c>
      <c r="E19" s="82">
        <v>0.02</v>
      </c>
      <c r="F19" s="82">
        <v>6.0999999999999999E-2</v>
      </c>
      <c r="G19" s="29"/>
      <c r="H19" s="83">
        <v>4546</v>
      </c>
      <c r="I19" s="104">
        <v>8620</v>
      </c>
      <c r="J19" s="29"/>
      <c r="K19" s="83">
        <v>16428</v>
      </c>
      <c r="L19" s="104">
        <v>4704</v>
      </c>
      <c r="M19" s="29"/>
      <c r="N19" s="128">
        <v>0.03</v>
      </c>
      <c r="O19" s="128">
        <v>0.02</v>
      </c>
      <c r="P19" s="29"/>
      <c r="Q19" s="85">
        <v>0</v>
      </c>
      <c r="R19" s="14"/>
      <c r="S19" s="15"/>
      <c r="T19" s="104">
        <v>10022</v>
      </c>
      <c r="U19" s="82">
        <f>(T19-T17)/T17</f>
        <v>-4.5978105663969537E-2</v>
      </c>
      <c r="V19" s="29"/>
      <c r="W19" s="83">
        <v>25439</v>
      </c>
      <c r="X19" s="82">
        <v>-0.13900000000000001</v>
      </c>
      <c r="Y19" s="29"/>
      <c r="Z19" s="104">
        <v>7027</v>
      </c>
      <c r="AA19" s="82">
        <v>-0.156</v>
      </c>
      <c r="AB19" s="29"/>
      <c r="AC19" s="83">
        <v>28730</v>
      </c>
      <c r="AD19" s="82">
        <v>-0.115</v>
      </c>
      <c r="AE19" s="29"/>
      <c r="AF19" s="104">
        <v>7818</v>
      </c>
      <c r="AG19" s="120">
        <f>(AF19-AF17)/AF17</f>
        <v>-0.12755272849012386</v>
      </c>
      <c r="AH19" s="128">
        <v>3.67</v>
      </c>
      <c r="AI19" s="128">
        <v>50.1</v>
      </c>
      <c r="AJ19" s="128">
        <v>312</v>
      </c>
      <c r="AK19" s="83">
        <v>1174</v>
      </c>
      <c r="AL19" s="102">
        <v>213</v>
      </c>
      <c r="AM19" s="29"/>
      <c r="AN19" s="83">
        <v>6851</v>
      </c>
      <c r="AO19" s="83">
        <v>13459</v>
      </c>
      <c r="AP19" s="83">
        <v>8419</v>
      </c>
      <c r="AQ19" s="29"/>
      <c r="AR19" s="104">
        <v>1462</v>
      </c>
      <c r="AS19" s="104">
        <v>3662</v>
      </c>
      <c r="AT19" s="104">
        <v>2694</v>
      </c>
      <c r="AU19" s="29"/>
      <c r="AV19" s="83">
        <v>23021</v>
      </c>
      <c r="AW19" s="104">
        <v>6205</v>
      </c>
      <c r="AX19" s="29"/>
      <c r="AY19" s="120">
        <v>0.93100000000000005</v>
      </c>
      <c r="AZ19" s="120">
        <v>2.5999999999999999E-2</v>
      </c>
      <c r="BA19" s="120">
        <v>2.1999999999999999E-2</v>
      </c>
      <c r="BB19" s="82">
        <v>2.1000000000000001E-2</v>
      </c>
      <c r="BC19" s="29"/>
      <c r="BD19" s="128">
        <v>0</v>
      </c>
      <c r="BE19" s="89"/>
      <c r="BF19" s="94"/>
      <c r="BG19" s="128">
        <v>1</v>
      </c>
      <c r="BH19" s="128" t="s">
        <v>208</v>
      </c>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c r="FY19" s="20"/>
      <c r="FZ19" s="20"/>
      <c r="GA19" s="20"/>
      <c r="GB19" s="20"/>
      <c r="GC19" s="20"/>
      <c r="GD19" s="20"/>
      <c r="GE19" s="20"/>
      <c r="GF19" s="20"/>
      <c r="GG19" s="20"/>
      <c r="GH19" s="20"/>
      <c r="GI19" s="20"/>
      <c r="GJ19" s="20"/>
      <c r="GK19" s="20"/>
      <c r="GL19" s="20"/>
      <c r="GM19" s="20"/>
      <c r="GN19" s="20"/>
      <c r="GO19" s="20"/>
      <c r="GP19" s="20"/>
      <c r="GQ19" s="20"/>
      <c r="GR19" s="20"/>
      <c r="GS19" s="20"/>
      <c r="GT19" s="20"/>
      <c r="GU19" s="20"/>
      <c r="GV19" s="20"/>
      <c r="GW19" s="20"/>
      <c r="GX19" s="20"/>
      <c r="GY19" s="20"/>
      <c r="GZ19" s="20"/>
      <c r="HA19" s="20"/>
      <c r="HB19" s="20"/>
      <c r="HC19" s="20"/>
      <c r="HD19" s="20"/>
      <c r="HE19" s="20"/>
      <c r="HF19" s="20"/>
      <c r="HG19" s="20"/>
      <c r="HH19" s="20"/>
      <c r="HI19" s="20"/>
      <c r="HJ19" s="20"/>
      <c r="HK19" s="20"/>
      <c r="HL19" s="20"/>
      <c r="HM19" s="20"/>
      <c r="HN19" s="20"/>
      <c r="HO19" s="20"/>
      <c r="HP19" s="20"/>
      <c r="HQ19" s="20"/>
      <c r="HR19" s="20"/>
      <c r="HS19" s="20"/>
      <c r="HT19" s="20"/>
      <c r="HU19" s="20"/>
      <c r="HV19" s="20"/>
      <c r="HW19" s="20"/>
      <c r="HX19" s="20"/>
      <c r="HY19" s="20"/>
      <c r="HZ19" s="20"/>
      <c r="IA19" s="20"/>
      <c r="IB19" s="20"/>
      <c r="IC19" s="20"/>
      <c r="ID19" s="20"/>
      <c r="IE19" s="20"/>
      <c r="IF19" s="20"/>
      <c r="IG19" s="20"/>
      <c r="IH19" s="20"/>
      <c r="II19" s="20"/>
      <c r="IJ19" s="20"/>
      <c r="IK19" s="20"/>
      <c r="IL19" s="20"/>
      <c r="IM19" s="20"/>
      <c r="IN19" s="20"/>
      <c r="IO19" s="20"/>
      <c r="IP19" s="20"/>
      <c r="IQ19" s="20"/>
      <c r="IR19" s="20"/>
      <c r="IS19" s="20"/>
      <c r="IT19" s="20"/>
      <c r="IU19" s="20"/>
      <c r="IV19" s="20"/>
      <c r="IW19" s="20"/>
      <c r="IX19" s="20"/>
      <c r="IY19" s="20"/>
      <c r="IZ19" s="20"/>
      <c r="JA19" s="20"/>
      <c r="JB19" s="20"/>
      <c r="JC19" s="20"/>
      <c r="JD19" s="20"/>
      <c r="JE19" s="20"/>
      <c r="JF19" s="20"/>
      <c r="JG19" s="20"/>
      <c r="JH19" s="20"/>
      <c r="JI19" s="20"/>
    </row>
    <row r="20" spans="1:269" ht="17.25" customHeight="1">
      <c r="A20" s="101"/>
      <c r="B20" s="20" t="s">
        <v>113</v>
      </c>
      <c r="C20" s="20" t="s">
        <v>122</v>
      </c>
      <c r="D20" s="83">
        <v>1145817</v>
      </c>
      <c r="E20" s="82">
        <v>4.0000000000000001E-3</v>
      </c>
      <c r="F20" s="82">
        <v>6.5000000000000002E-2</v>
      </c>
      <c r="G20" s="29"/>
      <c r="H20" s="83">
        <v>4496</v>
      </c>
      <c r="I20" s="104">
        <v>8496</v>
      </c>
      <c r="J20" s="29"/>
      <c r="K20" s="83">
        <v>16622</v>
      </c>
      <c r="L20" s="104">
        <v>4723</v>
      </c>
      <c r="M20" s="29"/>
      <c r="N20" s="128">
        <v>0.04</v>
      </c>
      <c r="O20" s="128">
        <v>0.02</v>
      </c>
      <c r="P20" s="29"/>
      <c r="Q20" s="85">
        <v>0</v>
      </c>
      <c r="R20" s="14"/>
      <c r="S20" s="15"/>
      <c r="T20" s="104">
        <v>10013</v>
      </c>
      <c r="U20" s="82">
        <f t="shared" ref="U20:U30" si="0">(T20-T19)/T19</f>
        <v>-8.9802434643783673E-4</v>
      </c>
      <c r="V20" s="132"/>
      <c r="W20" s="83">
        <v>21675</v>
      </c>
      <c r="X20" s="82">
        <v>-0.14799999999999999</v>
      </c>
      <c r="Y20" s="29"/>
      <c r="Z20" s="104">
        <v>6204</v>
      </c>
      <c r="AA20" s="82">
        <f t="shared" ref="AA20:AA30" si="1">(Z20-Z19)/Z19</f>
        <v>-0.11711968122954319</v>
      </c>
      <c r="AB20" s="29"/>
      <c r="AC20" s="83">
        <v>28114</v>
      </c>
      <c r="AD20" s="82">
        <v>-2.1000000000000001E-2</v>
      </c>
      <c r="AE20" s="29"/>
      <c r="AF20" s="104">
        <v>7554</v>
      </c>
      <c r="AG20" s="120">
        <f t="shared" ref="AG20:AG25" si="2">(AF20-AF19)/AF19</f>
        <v>-3.3768227168073678E-2</v>
      </c>
      <c r="AH20" s="128">
        <v>3.72</v>
      </c>
      <c r="AI20" s="128">
        <v>50.3</v>
      </c>
      <c r="AJ20" s="128">
        <v>318</v>
      </c>
      <c r="AK20" s="83">
        <v>1347</v>
      </c>
      <c r="AL20" s="102">
        <v>255</v>
      </c>
      <c r="AM20" s="29"/>
      <c r="AN20" s="83">
        <v>6909</v>
      </c>
      <c r="AO20" s="83">
        <v>12991</v>
      </c>
      <c r="AP20" s="83">
        <v>8215</v>
      </c>
      <c r="AQ20" s="29"/>
      <c r="AR20" s="104">
        <v>1421</v>
      </c>
      <c r="AS20" s="104">
        <v>3569</v>
      </c>
      <c r="AT20" s="104">
        <v>2564</v>
      </c>
      <c r="AU20" s="29"/>
      <c r="AV20" s="83">
        <v>22310</v>
      </c>
      <c r="AW20" s="104">
        <v>5979</v>
      </c>
      <c r="AX20" s="29"/>
      <c r="AY20" s="120">
        <v>0.92800000000000005</v>
      </c>
      <c r="AZ20" s="121">
        <v>0.03</v>
      </c>
      <c r="BA20" s="120">
        <v>2.5000000000000001E-2</v>
      </c>
      <c r="BB20" s="82">
        <v>1.7999999999999999E-2</v>
      </c>
      <c r="BC20" s="29"/>
      <c r="BD20" s="128">
        <v>0</v>
      </c>
      <c r="BE20" s="89"/>
      <c r="BF20" s="94"/>
      <c r="BG20" s="128">
        <v>1</v>
      </c>
      <c r="BH20" s="128" t="s">
        <v>208</v>
      </c>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c r="IE20" s="20"/>
      <c r="IF20" s="20"/>
      <c r="IG20" s="20"/>
      <c r="IH20" s="20"/>
      <c r="II20" s="20"/>
      <c r="IJ20" s="20"/>
      <c r="IK20" s="20"/>
      <c r="IL20" s="20"/>
      <c r="IM20" s="20"/>
      <c r="IN20" s="20"/>
      <c r="IO20" s="20"/>
      <c r="IP20" s="20"/>
      <c r="IQ20" s="20"/>
      <c r="IR20" s="20"/>
      <c r="IS20" s="20"/>
      <c r="IT20" s="20"/>
      <c r="IU20" s="20"/>
      <c r="IV20" s="20"/>
      <c r="IW20" s="20"/>
      <c r="IX20" s="20"/>
      <c r="IY20" s="20"/>
      <c r="IZ20" s="20"/>
      <c r="JA20" s="20"/>
      <c r="JB20" s="20"/>
      <c r="JC20" s="20"/>
      <c r="JD20" s="20"/>
      <c r="JE20" s="20"/>
      <c r="JF20" s="20"/>
      <c r="JG20" s="20"/>
      <c r="JH20" s="20"/>
      <c r="JI20" s="20"/>
    </row>
    <row r="21" spans="1:269" ht="17.25" customHeight="1">
      <c r="A21" s="101"/>
      <c r="B21" s="20" t="s">
        <v>112</v>
      </c>
      <c r="C21" s="20" t="s">
        <v>210</v>
      </c>
      <c r="D21" s="83">
        <v>1152273</v>
      </c>
      <c r="E21" s="82">
        <v>6.0000000000000001E-3</v>
      </c>
      <c r="F21" s="82">
        <v>6.7000000000000004E-2</v>
      </c>
      <c r="G21" s="29"/>
      <c r="H21" s="83">
        <v>4451</v>
      </c>
      <c r="I21" s="104">
        <v>8368</v>
      </c>
      <c r="J21" s="29"/>
      <c r="K21" s="83">
        <v>17182</v>
      </c>
      <c r="L21" s="104">
        <v>4820</v>
      </c>
      <c r="M21" s="29"/>
      <c r="N21" s="128">
        <v>0.04</v>
      </c>
      <c r="O21" s="128">
        <v>0.02</v>
      </c>
      <c r="P21" s="29"/>
      <c r="Q21" s="85">
        <v>0</v>
      </c>
      <c r="R21" s="14"/>
      <c r="S21" s="15"/>
      <c r="T21" s="104">
        <v>15667</v>
      </c>
      <c r="U21" s="82">
        <f t="shared" si="0"/>
        <v>0.56466593428542899</v>
      </c>
      <c r="V21" s="132"/>
      <c r="W21" s="83">
        <v>25344</v>
      </c>
      <c r="X21" s="82">
        <v>0.16900000000000001</v>
      </c>
      <c r="Y21" s="29"/>
      <c r="Z21" s="104">
        <v>7004</v>
      </c>
      <c r="AA21" s="82">
        <f t="shared" si="1"/>
        <v>0.12894906511927789</v>
      </c>
      <c r="AB21" s="29"/>
      <c r="AC21" s="83">
        <v>37650</v>
      </c>
      <c r="AD21" s="82">
        <v>0.33900000000000002</v>
      </c>
      <c r="AE21" s="29"/>
      <c r="AF21" s="104">
        <v>10123</v>
      </c>
      <c r="AG21" s="120">
        <f t="shared" si="2"/>
        <v>0.34008472332539053</v>
      </c>
      <c r="AH21" s="128">
        <v>3.72</v>
      </c>
      <c r="AI21" s="84">
        <v>50.9</v>
      </c>
      <c r="AJ21" s="128">
        <v>316</v>
      </c>
      <c r="AK21" s="83">
        <v>1565</v>
      </c>
      <c r="AL21" s="102">
        <v>294</v>
      </c>
      <c r="AM21" s="29"/>
      <c r="AN21" s="83">
        <v>7533</v>
      </c>
      <c r="AO21" s="83">
        <v>19036</v>
      </c>
      <c r="AP21" s="83">
        <v>11081</v>
      </c>
      <c r="AQ21" s="29"/>
      <c r="AR21" s="104">
        <v>1479</v>
      </c>
      <c r="AS21" s="104">
        <v>5266</v>
      </c>
      <c r="AT21" s="104">
        <v>3378</v>
      </c>
      <c r="AU21" s="29"/>
      <c r="AV21" s="83">
        <v>29951</v>
      </c>
      <c r="AW21" s="104">
        <v>7978</v>
      </c>
      <c r="AX21" s="29"/>
      <c r="AY21" s="120">
        <v>0.93200000000000005</v>
      </c>
      <c r="AZ21" s="120">
        <v>2.1999999999999999E-2</v>
      </c>
      <c r="BA21" s="120">
        <v>2.5999999999999999E-2</v>
      </c>
      <c r="BB21" s="82">
        <v>1.9E-2</v>
      </c>
      <c r="BC21" s="29"/>
      <c r="BD21" s="128">
        <v>0</v>
      </c>
      <c r="BE21" s="89"/>
      <c r="BF21" s="94"/>
      <c r="BG21" s="128">
        <v>1</v>
      </c>
      <c r="BH21" s="128" t="s">
        <v>208</v>
      </c>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c r="HE21" s="20"/>
      <c r="HF21" s="20"/>
      <c r="HG21" s="20"/>
      <c r="HH21" s="20"/>
      <c r="HI21" s="20"/>
      <c r="HJ21" s="20"/>
      <c r="HK21" s="20"/>
      <c r="HL21" s="20"/>
      <c r="HM21" s="20"/>
      <c r="HN21" s="20"/>
      <c r="HO21" s="20"/>
      <c r="HP21" s="20"/>
      <c r="HQ21" s="20"/>
      <c r="HR21" s="20"/>
      <c r="HS21" s="20"/>
      <c r="HT21" s="20"/>
      <c r="HU21" s="20"/>
      <c r="HV21" s="20"/>
      <c r="HW21" s="20"/>
      <c r="HX21" s="20"/>
      <c r="HY21" s="20"/>
      <c r="HZ21" s="20"/>
      <c r="IA21" s="20"/>
      <c r="IB21" s="20"/>
      <c r="IC21" s="20"/>
      <c r="ID21" s="20"/>
      <c r="IE21" s="20"/>
      <c r="IF21" s="20"/>
      <c r="IG21" s="20"/>
      <c r="IH21" s="20"/>
      <c r="II21" s="20"/>
      <c r="IJ21" s="20"/>
      <c r="IK21" s="20"/>
      <c r="IL21" s="20"/>
      <c r="IM21" s="20"/>
      <c r="IN21" s="20"/>
      <c r="IO21" s="20"/>
      <c r="IP21" s="20"/>
      <c r="IQ21" s="20"/>
      <c r="IR21" s="20"/>
      <c r="IS21" s="20"/>
      <c r="IT21" s="20"/>
      <c r="IU21" s="20"/>
      <c r="IV21" s="20"/>
      <c r="IW21" s="20"/>
      <c r="IX21" s="20"/>
      <c r="IY21" s="20"/>
      <c r="IZ21" s="20"/>
      <c r="JA21" s="20"/>
      <c r="JB21" s="20"/>
      <c r="JC21" s="20"/>
      <c r="JD21" s="20"/>
      <c r="JE21" s="20"/>
      <c r="JF21" s="20"/>
      <c r="JG21" s="20"/>
      <c r="JH21" s="20"/>
      <c r="JI21" s="20"/>
    </row>
    <row r="22" spans="1:269" ht="17.25" customHeight="1">
      <c r="A22" s="101"/>
      <c r="B22" s="20" t="s">
        <v>111</v>
      </c>
      <c r="C22" s="20" t="s">
        <v>211</v>
      </c>
      <c r="D22" s="83">
        <v>1156868</v>
      </c>
      <c r="E22" s="82">
        <v>4.0000000000000001E-3</v>
      </c>
      <c r="F22" s="82">
        <v>7.1999999999999995E-2</v>
      </c>
      <c r="G22" s="29"/>
      <c r="H22" s="83">
        <v>4437</v>
      </c>
      <c r="I22" s="104">
        <v>8267</v>
      </c>
      <c r="J22" s="29"/>
      <c r="K22" s="83">
        <v>17628</v>
      </c>
      <c r="L22" s="104">
        <v>4892</v>
      </c>
      <c r="M22" s="29"/>
      <c r="N22" s="128">
        <v>0.03</v>
      </c>
      <c r="O22" s="128">
        <v>0.02</v>
      </c>
      <c r="P22" s="29"/>
      <c r="Q22" s="85">
        <v>0</v>
      </c>
      <c r="R22" s="14"/>
      <c r="S22" s="15"/>
      <c r="T22" s="104">
        <v>13095</v>
      </c>
      <c r="U22" s="82">
        <f t="shared" si="0"/>
        <v>-0.16416671985702433</v>
      </c>
      <c r="V22" s="132"/>
      <c r="W22" s="83">
        <v>21631</v>
      </c>
      <c r="X22" s="82">
        <v>-0.14699999999999999</v>
      </c>
      <c r="Y22" s="29"/>
      <c r="Z22" s="104">
        <v>5996</v>
      </c>
      <c r="AA22" s="82">
        <f t="shared" si="1"/>
        <v>-0.143917761279269</v>
      </c>
      <c r="AB22" s="29"/>
      <c r="AC22" s="83">
        <v>32526</v>
      </c>
      <c r="AD22" s="82">
        <v>-0.13600000000000001</v>
      </c>
      <c r="AE22" s="29"/>
      <c r="AF22" s="104">
        <v>8343</v>
      </c>
      <c r="AG22" s="120">
        <f t="shared" si="2"/>
        <v>-0.17583720241035267</v>
      </c>
      <c r="AH22" s="128">
        <v>3.9</v>
      </c>
      <c r="AI22" s="128">
        <v>50.7</v>
      </c>
      <c r="AJ22" s="128">
        <v>317</v>
      </c>
      <c r="AK22" s="83">
        <v>1512</v>
      </c>
      <c r="AL22" s="102">
        <v>290</v>
      </c>
      <c r="AM22" s="29"/>
      <c r="AN22" s="83">
        <v>6222</v>
      </c>
      <c r="AO22" s="83">
        <v>17345</v>
      </c>
      <c r="AP22" s="83">
        <v>8959</v>
      </c>
      <c r="AQ22" s="29"/>
      <c r="AR22" s="104">
        <v>1193</v>
      </c>
      <c r="AS22" s="104">
        <v>4592</v>
      </c>
      <c r="AT22" s="104">
        <v>2558</v>
      </c>
      <c r="AU22" s="29"/>
      <c r="AV22" s="83">
        <v>27242</v>
      </c>
      <c r="AW22" s="104">
        <v>6910</v>
      </c>
      <c r="AX22" s="29"/>
      <c r="AY22" s="120">
        <v>0.93400000000000005</v>
      </c>
      <c r="AZ22" s="120">
        <v>2.1000000000000001E-2</v>
      </c>
      <c r="BA22" s="120">
        <v>2.8000000000000001E-2</v>
      </c>
      <c r="BB22" s="82">
        <v>1.7000000000000001E-2</v>
      </c>
      <c r="BC22" s="29"/>
      <c r="BD22" s="128">
        <v>0</v>
      </c>
      <c r="BE22" s="89"/>
      <c r="BF22" s="94"/>
      <c r="BG22" s="128">
        <v>1</v>
      </c>
      <c r="BH22" s="128" t="s">
        <v>208</v>
      </c>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row>
    <row r="23" spans="1:269" ht="17.25" customHeight="1">
      <c r="A23" s="101"/>
      <c r="B23" s="20" t="s">
        <v>110</v>
      </c>
      <c r="C23" s="20" t="s">
        <v>212</v>
      </c>
      <c r="D23" s="83">
        <v>1166034</v>
      </c>
      <c r="E23" s="82">
        <v>8.0000000000000002E-3</v>
      </c>
      <c r="F23" s="82">
        <v>7.9000000000000001E-2</v>
      </c>
      <c r="G23" s="29"/>
      <c r="H23" s="83">
        <v>4380</v>
      </c>
      <c r="I23" s="104">
        <v>8090</v>
      </c>
      <c r="J23" s="29"/>
      <c r="K23" s="83">
        <v>18015</v>
      </c>
      <c r="L23" s="104">
        <v>4944</v>
      </c>
      <c r="M23" s="29"/>
      <c r="N23" s="128">
        <v>0.03</v>
      </c>
      <c r="O23" s="128">
        <v>0.02</v>
      </c>
      <c r="P23" s="29"/>
      <c r="Q23" s="85">
        <v>0</v>
      </c>
      <c r="R23" s="14"/>
      <c r="S23" s="15"/>
      <c r="T23" s="104">
        <v>14906</v>
      </c>
      <c r="U23" s="82">
        <f t="shared" si="0"/>
        <v>0.13829705994654448</v>
      </c>
      <c r="V23" s="132"/>
      <c r="W23" s="83">
        <v>29355</v>
      </c>
      <c r="X23" s="82">
        <v>0.35699999999999998</v>
      </c>
      <c r="Y23" s="29"/>
      <c r="Z23" s="104">
        <v>7909</v>
      </c>
      <c r="AA23" s="82">
        <f t="shared" si="1"/>
        <v>0.31904603068712473</v>
      </c>
      <c r="AB23" s="29"/>
      <c r="AC23" s="83">
        <v>42354</v>
      </c>
      <c r="AD23" s="82">
        <v>0.30199999999999999</v>
      </c>
      <c r="AE23" s="29"/>
      <c r="AF23" s="104">
        <v>11038</v>
      </c>
      <c r="AG23" s="120">
        <f t="shared" si="2"/>
        <v>0.32302529066283109</v>
      </c>
      <c r="AH23" s="128">
        <v>3.84</v>
      </c>
      <c r="AI23" s="128">
        <v>50.5</v>
      </c>
      <c r="AJ23" s="128">
        <v>318</v>
      </c>
      <c r="AK23" s="83">
        <v>1798</v>
      </c>
      <c r="AL23" s="102">
        <v>340</v>
      </c>
      <c r="AM23" s="29"/>
      <c r="AN23" s="83">
        <v>8526</v>
      </c>
      <c r="AO23" s="83">
        <v>21786</v>
      </c>
      <c r="AP23" s="83">
        <v>12042</v>
      </c>
      <c r="AQ23" s="29"/>
      <c r="AR23" s="104">
        <v>1589</v>
      </c>
      <c r="AS23" s="104">
        <v>5826</v>
      </c>
      <c r="AT23" s="104">
        <v>3623</v>
      </c>
      <c r="AU23" s="29"/>
      <c r="AV23" s="83">
        <v>33937</v>
      </c>
      <c r="AW23" s="104">
        <v>8732</v>
      </c>
      <c r="AX23" s="29"/>
      <c r="AY23" s="120">
        <v>0.94699999999999995</v>
      </c>
      <c r="AZ23" s="120">
        <v>1.7000000000000001E-2</v>
      </c>
      <c r="BA23" s="120">
        <v>1.7999999999999999E-2</v>
      </c>
      <c r="BB23" s="82">
        <v>1.7999999999999999E-2</v>
      </c>
      <c r="BC23" s="29"/>
      <c r="BD23" s="128">
        <v>0</v>
      </c>
      <c r="BE23" s="89"/>
      <c r="BF23" s="94"/>
      <c r="BG23" s="128">
        <v>1</v>
      </c>
      <c r="BH23" s="128" t="s">
        <v>208</v>
      </c>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c r="HE23" s="20"/>
      <c r="HF23" s="20"/>
      <c r="HG23" s="20"/>
      <c r="HH23" s="20"/>
      <c r="HI23" s="20"/>
      <c r="HJ23" s="20"/>
      <c r="HK23" s="20"/>
      <c r="HL23" s="20"/>
      <c r="HM23" s="20"/>
      <c r="HN23" s="20"/>
      <c r="HO23" s="20"/>
      <c r="HP23" s="20"/>
      <c r="HQ23" s="20"/>
      <c r="HR23" s="20"/>
      <c r="HS23" s="20"/>
      <c r="HT23" s="20"/>
      <c r="HU23" s="20"/>
      <c r="HV23" s="20"/>
      <c r="HW23" s="20"/>
      <c r="HX23" s="20"/>
      <c r="HY23" s="20"/>
      <c r="HZ23" s="20"/>
      <c r="IA23" s="20"/>
      <c r="IB23" s="20"/>
      <c r="IC23" s="20"/>
      <c r="ID23" s="20"/>
      <c r="IE23" s="20"/>
      <c r="IF23" s="20"/>
      <c r="IG23" s="20"/>
      <c r="IH23" s="20"/>
      <c r="II23" s="20"/>
      <c r="IJ23" s="20"/>
      <c r="IK23" s="20"/>
      <c r="IL23" s="20"/>
      <c r="IM23" s="20"/>
      <c r="IN23" s="20"/>
      <c r="IO23" s="20"/>
      <c r="IP23" s="20"/>
      <c r="IQ23" s="20"/>
      <c r="IR23" s="20"/>
      <c r="IS23" s="20"/>
      <c r="IT23" s="20"/>
      <c r="IU23" s="20"/>
      <c r="IV23" s="20"/>
      <c r="IW23" s="20"/>
      <c r="IX23" s="20"/>
      <c r="IY23" s="20"/>
      <c r="IZ23" s="20"/>
      <c r="JA23" s="20"/>
      <c r="JB23" s="20"/>
      <c r="JC23" s="20"/>
      <c r="JD23" s="20"/>
      <c r="JE23" s="20"/>
      <c r="JF23" s="20"/>
      <c r="JG23" s="20"/>
      <c r="JH23" s="20"/>
      <c r="JI23" s="20"/>
    </row>
    <row r="24" spans="1:269" ht="17.25" customHeight="1">
      <c r="A24" s="101"/>
      <c r="B24" s="20" t="s">
        <v>61</v>
      </c>
      <c r="C24" s="20" t="s">
        <v>213</v>
      </c>
      <c r="D24" s="83">
        <v>1176809</v>
      </c>
      <c r="E24" s="82">
        <v>8.9999999999999993E-3</v>
      </c>
      <c r="F24" s="82">
        <v>8.5000000000000006E-2</v>
      </c>
      <c r="G24" s="29"/>
      <c r="H24" s="83">
        <v>4349</v>
      </c>
      <c r="I24" s="104">
        <v>7950</v>
      </c>
      <c r="J24" s="29"/>
      <c r="K24" s="83">
        <v>18220</v>
      </c>
      <c r="L24" s="104">
        <v>4976</v>
      </c>
      <c r="M24" s="29"/>
      <c r="N24" s="128">
        <v>0.03</v>
      </c>
      <c r="O24" s="128">
        <v>0.02</v>
      </c>
      <c r="P24" s="29"/>
      <c r="Q24" s="85">
        <v>0</v>
      </c>
      <c r="R24" s="14"/>
      <c r="S24" s="15"/>
      <c r="T24" s="104">
        <v>14876</v>
      </c>
      <c r="U24" s="82">
        <f t="shared" si="0"/>
        <v>-2.012612370857373E-3</v>
      </c>
      <c r="V24" s="132"/>
      <c r="W24" s="83">
        <v>32899</v>
      </c>
      <c r="X24" s="82">
        <v>0.121</v>
      </c>
      <c r="Y24" s="29"/>
      <c r="Z24" s="104">
        <v>8850</v>
      </c>
      <c r="AA24" s="82">
        <f t="shared" si="1"/>
        <v>0.1189783790618283</v>
      </c>
      <c r="AB24" s="29"/>
      <c r="AC24" s="83">
        <v>44984</v>
      </c>
      <c r="AD24" s="82">
        <v>6.2E-2</v>
      </c>
      <c r="AE24" s="29"/>
      <c r="AF24" s="104">
        <v>11737</v>
      </c>
      <c r="AG24" s="120">
        <f t="shared" si="2"/>
        <v>6.3326689617684367E-2</v>
      </c>
      <c r="AH24" s="128">
        <v>3.83</v>
      </c>
      <c r="AI24" s="84">
        <v>48.9</v>
      </c>
      <c r="AJ24" s="128">
        <v>320</v>
      </c>
      <c r="AK24" s="83">
        <v>1808</v>
      </c>
      <c r="AL24" s="102">
        <v>355</v>
      </c>
      <c r="AM24" s="29"/>
      <c r="AN24" s="83">
        <v>10163</v>
      </c>
      <c r="AO24" s="83">
        <v>19524</v>
      </c>
      <c r="AP24" s="83">
        <v>15296</v>
      </c>
      <c r="AQ24" s="29"/>
      <c r="AR24" s="104">
        <v>1901</v>
      </c>
      <c r="AS24" s="104">
        <v>5251</v>
      </c>
      <c r="AT24" s="104">
        <v>4585</v>
      </c>
      <c r="AU24" s="29"/>
      <c r="AV24" s="83">
        <v>36175</v>
      </c>
      <c r="AW24" s="104">
        <v>9358</v>
      </c>
      <c r="AX24" s="29"/>
      <c r="AY24" s="120">
        <v>0.95399999999999996</v>
      </c>
      <c r="AZ24" s="120">
        <v>1.7000000000000001E-2</v>
      </c>
      <c r="BA24" s="120">
        <v>1.2999999999999999E-2</v>
      </c>
      <c r="BB24" s="82">
        <v>1.6E-2</v>
      </c>
      <c r="BC24" s="29"/>
      <c r="BD24" s="128">
        <v>0</v>
      </c>
      <c r="BE24" s="89"/>
      <c r="BF24" s="94"/>
      <c r="BG24" s="128">
        <v>1</v>
      </c>
      <c r="BH24" s="128" t="s">
        <v>208</v>
      </c>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20"/>
      <c r="HC24" s="20"/>
      <c r="HD24" s="20"/>
      <c r="HE24" s="20"/>
      <c r="HF24" s="20"/>
      <c r="HG24" s="20"/>
      <c r="HH24" s="20"/>
      <c r="HI24" s="20"/>
      <c r="HJ24" s="20"/>
      <c r="HK24" s="20"/>
      <c r="HL24" s="20"/>
      <c r="HM24" s="20"/>
      <c r="HN24" s="20"/>
      <c r="HO24" s="20"/>
      <c r="HP24" s="20"/>
      <c r="HQ24" s="20"/>
      <c r="HR24" s="20"/>
      <c r="HS24" s="20"/>
      <c r="HT24" s="20"/>
      <c r="HU24" s="20"/>
      <c r="HV24" s="20"/>
      <c r="HW24" s="20"/>
      <c r="HX24" s="20"/>
      <c r="HY24" s="20"/>
      <c r="HZ24" s="20"/>
      <c r="IA24" s="20"/>
      <c r="IB24" s="20"/>
      <c r="IC24" s="20"/>
      <c r="ID24" s="20"/>
      <c r="IE24" s="20"/>
      <c r="IF24" s="20"/>
      <c r="IG24" s="20"/>
      <c r="IH24" s="20"/>
      <c r="II24" s="20"/>
      <c r="IJ24" s="20"/>
      <c r="IK24" s="20"/>
      <c r="IL24" s="20"/>
      <c r="IM24" s="20"/>
      <c r="IN24" s="20"/>
      <c r="IO24" s="20"/>
      <c r="IP24" s="20"/>
      <c r="IQ24" s="20"/>
      <c r="IR24" s="20"/>
      <c r="IS24" s="20"/>
      <c r="IT24" s="20"/>
      <c r="IU24" s="20"/>
      <c r="IV24" s="20"/>
      <c r="IW24" s="20"/>
      <c r="IX24" s="20"/>
      <c r="IY24" s="20"/>
      <c r="IZ24" s="20"/>
      <c r="JA24" s="20"/>
      <c r="JB24" s="20"/>
      <c r="JC24" s="20"/>
      <c r="JD24" s="20"/>
      <c r="JE24" s="20"/>
      <c r="JF24" s="20"/>
      <c r="JG24" s="20"/>
      <c r="JH24" s="20"/>
      <c r="JI24" s="20"/>
    </row>
    <row r="25" spans="1:269" ht="17.25" customHeight="1">
      <c r="A25" s="101"/>
      <c r="B25" s="20" t="s">
        <v>120</v>
      </c>
      <c r="C25" s="20" t="s">
        <v>214</v>
      </c>
      <c r="D25" s="83">
        <v>1188268</v>
      </c>
      <c r="E25" s="82">
        <v>0.01</v>
      </c>
      <c r="F25" s="82">
        <v>9.4E-2</v>
      </c>
      <c r="G25" s="29"/>
      <c r="H25" s="83">
        <v>4090</v>
      </c>
      <c r="I25" s="104">
        <v>7806</v>
      </c>
      <c r="J25" s="29"/>
      <c r="K25" s="83">
        <v>19286</v>
      </c>
      <c r="L25" s="104">
        <v>5165</v>
      </c>
      <c r="M25" s="29"/>
      <c r="N25" s="128">
        <v>0.03</v>
      </c>
      <c r="O25" s="128">
        <v>0.02</v>
      </c>
      <c r="P25" s="29"/>
      <c r="Q25" s="85">
        <v>0</v>
      </c>
      <c r="R25" s="14"/>
      <c r="S25" s="15"/>
      <c r="T25" s="104">
        <v>9191</v>
      </c>
      <c r="U25" s="82">
        <f t="shared" si="0"/>
        <v>-0.38215918257596126</v>
      </c>
      <c r="V25" s="132"/>
      <c r="W25" s="83">
        <v>33137</v>
      </c>
      <c r="X25" s="82">
        <v>7.0000000000000001E-3</v>
      </c>
      <c r="Y25" s="29"/>
      <c r="Z25" s="104">
        <v>8639</v>
      </c>
      <c r="AA25" s="82">
        <f t="shared" si="1"/>
        <v>-2.384180790960452E-2</v>
      </c>
      <c r="AB25" s="29"/>
      <c r="AC25" s="83">
        <v>34570</v>
      </c>
      <c r="AD25" s="82">
        <v>-0.23200000000000001</v>
      </c>
      <c r="AE25" s="29"/>
      <c r="AF25" s="104">
        <v>9093</v>
      </c>
      <c r="AG25" s="120">
        <f t="shared" si="2"/>
        <v>-0.22527051205589163</v>
      </c>
      <c r="AH25" s="128">
        <v>3.8</v>
      </c>
      <c r="AI25" s="128">
        <v>48.2</v>
      </c>
      <c r="AJ25" s="128">
        <v>316</v>
      </c>
      <c r="AK25" s="83">
        <v>1212</v>
      </c>
      <c r="AL25" s="102">
        <v>227</v>
      </c>
      <c r="AM25" s="29"/>
      <c r="AN25" s="83">
        <v>7490</v>
      </c>
      <c r="AO25" s="83">
        <v>14419</v>
      </c>
      <c r="AP25" s="83">
        <v>12661</v>
      </c>
      <c r="AQ25" s="29"/>
      <c r="AR25" s="104">
        <v>1363</v>
      </c>
      <c r="AS25" s="104">
        <v>3949</v>
      </c>
      <c r="AT25" s="104">
        <v>3781</v>
      </c>
      <c r="AU25" s="29"/>
      <c r="AV25" s="83">
        <v>27145</v>
      </c>
      <c r="AW25" s="104">
        <v>7055</v>
      </c>
      <c r="AX25" s="29"/>
      <c r="AY25" s="120">
        <v>0.95599999999999996</v>
      </c>
      <c r="AZ25" s="120">
        <v>0.02</v>
      </c>
      <c r="BA25" s="120">
        <v>1.0999999999999999E-2</v>
      </c>
      <c r="BB25" s="82">
        <v>1.2999999999999999E-2</v>
      </c>
      <c r="BC25" s="29"/>
      <c r="BD25" s="128">
        <v>0</v>
      </c>
      <c r="BE25" s="89"/>
      <c r="BF25" s="94"/>
      <c r="BG25" s="128">
        <v>0</v>
      </c>
      <c r="BH25" s="128" t="s">
        <v>208</v>
      </c>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c r="IE25" s="20"/>
      <c r="IF25" s="20"/>
      <c r="IG25" s="20"/>
      <c r="IH25" s="20"/>
      <c r="II25" s="20"/>
      <c r="IJ25" s="20"/>
      <c r="IK25" s="20"/>
      <c r="IL25" s="20"/>
      <c r="IM25" s="20"/>
      <c r="IN25" s="20"/>
      <c r="IO25" s="20"/>
      <c r="IP25" s="20"/>
      <c r="IQ25" s="20"/>
      <c r="IR25" s="20"/>
      <c r="IS25" s="20"/>
      <c r="IT25" s="20"/>
      <c r="IU25" s="20"/>
      <c r="IV25" s="20"/>
      <c r="IW25" s="20"/>
      <c r="IX25" s="20"/>
      <c r="IY25" s="20"/>
      <c r="IZ25" s="20"/>
      <c r="JA25" s="20"/>
      <c r="JB25" s="20"/>
      <c r="JC25" s="20"/>
      <c r="JD25" s="20"/>
      <c r="JE25" s="20"/>
      <c r="JF25" s="20"/>
      <c r="JG25" s="20"/>
      <c r="JH25" s="20"/>
      <c r="JI25" s="20"/>
    </row>
    <row r="26" spans="1:269" ht="17.25" customHeight="1">
      <c r="A26" s="101"/>
      <c r="B26" s="20" t="s">
        <v>119</v>
      </c>
      <c r="C26" s="20" t="s">
        <v>215</v>
      </c>
      <c r="D26" s="83">
        <v>1194880</v>
      </c>
      <c r="E26" s="82">
        <v>6.0000000000000001E-3</v>
      </c>
      <c r="F26" s="82">
        <v>9.8000000000000004E-2</v>
      </c>
      <c r="G26" s="29"/>
      <c r="H26" s="83">
        <v>4287</v>
      </c>
      <c r="I26" s="104">
        <v>7691</v>
      </c>
      <c r="J26" s="29"/>
      <c r="K26" s="83">
        <v>19407</v>
      </c>
      <c r="L26" s="104">
        <v>5180</v>
      </c>
      <c r="M26" s="29"/>
      <c r="N26" s="128">
        <v>0.03</v>
      </c>
      <c r="O26" s="128">
        <v>0.02</v>
      </c>
      <c r="P26" s="29"/>
      <c r="Q26" s="85">
        <v>0</v>
      </c>
      <c r="R26" s="14"/>
      <c r="S26" s="15"/>
      <c r="T26" s="104">
        <v>11036</v>
      </c>
      <c r="U26" s="82">
        <f t="shared" si="0"/>
        <v>0.20073985420520074</v>
      </c>
      <c r="V26" s="132"/>
      <c r="W26" s="83">
        <v>28877</v>
      </c>
      <c r="X26" s="82">
        <v>-0.129</v>
      </c>
      <c r="Y26" s="29"/>
      <c r="Z26" s="104">
        <v>7776</v>
      </c>
      <c r="AA26" s="82">
        <f t="shared" si="1"/>
        <v>-9.98958212756106E-2</v>
      </c>
      <c r="AB26" s="29"/>
      <c r="AC26" s="83">
        <v>30631</v>
      </c>
      <c r="AD26" s="82">
        <v>-0.114</v>
      </c>
      <c r="AE26" s="29"/>
      <c r="AF26" s="104">
        <v>8159</v>
      </c>
      <c r="AG26" s="120">
        <f>((AF26-AF25)/AF25)</f>
        <v>-0.10271637523369626</v>
      </c>
      <c r="AH26" s="128">
        <v>3.75</v>
      </c>
      <c r="AI26" s="128">
        <v>48.2</v>
      </c>
      <c r="AJ26" s="128">
        <v>315</v>
      </c>
      <c r="AK26" s="83">
        <v>1126</v>
      </c>
      <c r="AL26" s="102">
        <v>206</v>
      </c>
      <c r="AM26" s="29"/>
      <c r="AN26" s="83">
        <v>5922</v>
      </c>
      <c r="AO26" s="83">
        <v>13315</v>
      </c>
      <c r="AP26" s="83">
        <v>11394</v>
      </c>
      <c r="AQ26" s="29"/>
      <c r="AR26" s="104">
        <v>1091</v>
      </c>
      <c r="AS26" s="104">
        <v>3666</v>
      </c>
      <c r="AT26" s="104">
        <v>3402</v>
      </c>
      <c r="AU26" s="29"/>
      <c r="AV26" s="83">
        <v>24730</v>
      </c>
      <c r="AW26" s="104">
        <v>6491</v>
      </c>
      <c r="AX26" s="29"/>
      <c r="AY26" s="120">
        <v>0.95299999999999996</v>
      </c>
      <c r="AZ26" s="120">
        <v>2.1000000000000001E-2</v>
      </c>
      <c r="BA26" s="120">
        <v>1.2999999999999999E-2</v>
      </c>
      <c r="BB26" s="82">
        <v>1.4E-2</v>
      </c>
      <c r="BC26" s="29"/>
      <c r="BD26" s="128">
        <v>0</v>
      </c>
      <c r="BE26" s="89"/>
      <c r="BF26" s="94"/>
      <c r="BG26" s="128">
        <v>0</v>
      </c>
      <c r="BH26" s="128" t="s">
        <v>208</v>
      </c>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c r="IE26" s="20"/>
      <c r="IF26" s="20"/>
      <c r="IG26" s="20"/>
      <c r="IH26" s="20"/>
      <c r="II26" s="20"/>
      <c r="IJ26" s="20"/>
      <c r="IK26" s="20"/>
      <c r="IL26" s="20"/>
      <c r="IM26" s="20"/>
      <c r="IN26" s="20"/>
      <c r="IO26" s="20"/>
      <c r="IP26" s="20"/>
      <c r="IQ26" s="20"/>
      <c r="IR26" s="20"/>
      <c r="IS26" s="20"/>
      <c r="IT26" s="20"/>
      <c r="IU26" s="20"/>
      <c r="IV26" s="20"/>
      <c r="IW26" s="20"/>
      <c r="IX26" s="20"/>
      <c r="IY26" s="20"/>
      <c r="IZ26" s="20"/>
      <c r="JA26" s="20"/>
      <c r="JB26" s="20"/>
      <c r="JC26" s="20"/>
      <c r="JD26" s="20"/>
      <c r="JE26" s="20"/>
      <c r="JF26" s="20"/>
      <c r="JG26" s="20"/>
      <c r="JH26" s="20"/>
      <c r="JI26" s="20"/>
    </row>
    <row r="27" spans="1:269" ht="17.25" customHeight="1">
      <c r="A27" s="101"/>
      <c r="B27" s="20" t="s">
        <v>118</v>
      </c>
      <c r="C27" s="20" t="s">
        <v>216</v>
      </c>
      <c r="D27" s="83">
        <v>1204104</v>
      </c>
      <c r="E27" s="82">
        <v>8.0000000000000002E-3</v>
      </c>
      <c r="F27" s="82">
        <v>9.9000000000000005E-2</v>
      </c>
      <c r="G27" s="29"/>
      <c r="H27" s="83">
        <v>4268</v>
      </c>
      <c r="I27" s="104">
        <v>7614</v>
      </c>
      <c r="J27" s="29"/>
      <c r="K27" s="83">
        <v>20323</v>
      </c>
      <c r="L27" s="104">
        <v>5294</v>
      </c>
      <c r="M27" s="29"/>
      <c r="N27" s="128">
        <v>0.02</v>
      </c>
      <c r="O27" s="128">
        <v>0.02</v>
      </c>
      <c r="P27" s="29"/>
      <c r="Q27" s="85">
        <v>0</v>
      </c>
      <c r="R27" s="14"/>
      <c r="S27" s="15"/>
      <c r="T27" s="104">
        <v>11484</v>
      </c>
      <c r="U27" s="82">
        <f t="shared" si="0"/>
        <v>4.0594418267488219E-2</v>
      </c>
      <c r="V27" s="29"/>
      <c r="W27" s="83">
        <v>28550</v>
      </c>
      <c r="X27" s="82">
        <v>-1.0999999999999999E-2</v>
      </c>
      <c r="Y27" s="29"/>
      <c r="Z27" s="104">
        <v>7375</v>
      </c>
      <c r="AA27" s="82">
        <f t="shared" si="1"/>
        <v>-5.1568930041152261E-2</v>
      </c>
      <c r="AB27" s="29"/>
      <c r="AC27" s="83">
        <v>30105</v>
      </c>
      <c r="AD27" s="82">
        <v>-1.7000000000000001E-2</v>
      </c>
      <c r="AE27" s="29"/>
      <c r="AF27" s="104">
        <v>7894</v>
      </c>
      <c r="AG27" s="120">
        <f>(AF27-AF26)/AF26</f>
        <v>-3.2479470523348451E-2</v>
      </c>
      <c r="AH27" s="128">
        <v>3.81</v>
      </c>
      <c r="AI27" s="84">
        <v>47.9</v>
      </c>
      <c r="AJ27" s="128">
        <v>312</v>
      </c>
      <c r="AK27" s="83">
        <v>1040</v>
      </c>
      <c r="AL27" s="102">
        <v>190</v>
      </c>
      <c r="AM27" s="29"/>
      <c r="AN27" s="83">
        <v>6311</v>
      </c>
      <c r="AO27" s="83">
        <v>13921</v>
      </c>
      <c r="AP27" s="83">
        <v>9873</v>
      </c>
      <c r="AQ27" s="29"/>
      <c r="AR27" s="104">
        <v>1210</v>
      </c>
      <c r="AS27" s="104">
        <v>3748</v>
      </c>
      <c r="AT27" s="104">
        <v>2936</v>
      </c>
      <c r="AU27" s="29"/>
      <c r="AV27" s="83">
        <v>23543</v>
      </c>
      <c r="AW27" s="104">
        <v>6224</v>
      </c>
      <c r="AX27" s="29"/>
      <c r="AY27" s="120">
        <v>0.93300000000000005</v>
      </c>
      <c r="AZ27" s="120">
        <v>2.1999999999999999E-2</v>
      </c>
      <c r="BA27" s="120">
        <v>0.02</v>
      </c>
      <c r="BB27" s="82">
        <v>2.5000000000000001E-2</v>
      </c>
      <c r="BC27" s="29"/>
      <c r="BD27" s="128">
        <v>0</v>
      </c>
      <c r="BE27" s="89"/>
      <c r="BF27" s="94"/>
      <c r="BG27" s="128">
        <v>0</v>
      </c>
      <c r="BH27" s="128" t="s">
        <v>208</v>
      </c>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20"/>
      <c r="EQ27" s="20"/>
      <c r="ER27" s="20"/>
      <c r="ES27" s="20"/>
      <c r="ET27" s="20"/>
      <c r="EU27" s="20"/>
      <c r="EV27" s="20"/>
      <c r="EW27" s="20"/>
      <c r="EX27" s="20"/>
      <c r="EY27" s="20"/>
      <c r="EZ27" s="20"/>
      <c r="FA27" s="20"/>
      <c r="FB27" s="20"/>
      <c r="FC27" s="20"/>
      <c r="FD27" s="20"/>
      <c r="FE27" s="20"/>
      <c r="FF27" s="20"/>
      <c r="FG27" s="20"/>
      <c r="FH27" s="20"/>
      <c r="FI27" s="20"/>
      <c r="FJ27" s="20"/>
      <c r="FK27" s="20"/>
      <c r="FL27" s="20"/>
      <c r="FM27" s="20"/>
      <c r="FN27" s="20"/>
      <c r="FO27" s="20"/>
      <c r="FP27" s="20"/>
      <c r="FQ27" s="20"/>
      <c r="FR27" s="20"/>
      <c r="FS27" s="20"/>
      <c r="FT27" s="20"/>
      <c r="FU27" s="20"/>
      <c r="FV27" s="20"/>
      <c r="FW27" s="20"/>
      <c r="FX27" s="20"/>
      <c r="FY27" s="20"/>
      <c r="FZ27" s="20"/>
      <c r="GA27" s="20"/>
      <c r="GB27" s="20"/>
      <c r="GC27" s="20"/>
      <c r="GD27" s="20"/>
      <c r="GE27" s="20"/>
      <c r="GF27" s="20"/>
      <c r="GG27" s="20"/>
      <c r="GH27" s="20"/>
      <c r="GI27" s="20"/>
      <c r="GJ27" s="20"/>
      <c r="GK27" s="20"/>
      <c r="GL27" s="20"/>
      <c r="GM27" s="20"/>
      <c r="GN27" s="20"/>
      <c r="GO27" s="20"/>
      <c r="GP27" s="20"/>
      <c r="GQ27" s="20"/>
      <c r="GR27" s="20"/>
      <c r="GS27" s="20"/>
      <c r="GT27" s="20"/>
      <c r="GU27" s="20"/>
      <c r="GV27" s="20"/>
      <c r="GW27" s="20"/>
      <c r="GX27" s="20"/>
      <c r="GY27" s="20"/>
      <c r="GZ27" s="20"/>
      <c r="HA27" s="20"/>
      <c r="HB27" s="20"/>
      <c r="HC27" s="20"/>
      <c r="HD27" s="20"/>
      <c r="HE27" s="20"/>
      <c r="HF27" s="20"/>
      <c r="HG27" s="20"/>
      <c r="HH27" s="20"/>
      <c r="HI27" s="20"/>
      <c r="HJ27" s="20"/>
      <c r="HK27" s="20"/>
      <c r="HL27" s="20"/>
      <c r="HM27" s="20"/>
      <c r="HN27" s="20"/>
      <c r="HO27" s="20"/>
      <c r="HP27" s="20"/>
      <c r="HQ27" s="20"/>
      <c r="HR27" s="20"/>
      <c r="HS27" s="20"/>
      <c r="HT27" s="20"/>
      <c r="HU27" s="20"/>
      <c r="HV27" s="20"/>
      <c r="HW27" s="20"/>
      <c r="HX27" s="20"/>
      <c r="HY27" s="20"/>
      <c r="HZ27" s="20"/>
      <c r="IA27" s="20"/>
      <c r="IB27" s="20"/>
      <c r="IC27" s="20"/>
      <c r="ID27" s="20"/>
      <c r="IE27" s="20"/>
      <c r="IF27" s="20"/>
      <c r="IG27" s="20"/>
      <c r="IH27" s="20"/>
      <c r="II27" s="20"/>
      <c r="IJ27" s="20"/>
      <c r="IK27" s="20"/>
      <c r="IL27" s="20"/>
      <c r="IM27" s="20"/>
      <c r="IN27" s="20"/>
      <c r="IO27" s="20"/>
      <c r="IP27" s="20"/>
      <c r="IQ27" s="20"/>
      <c r="IR27" s="20"/>
      <c r="IS27" s="20"/>
      <c r="IT27" s="20"/>
      <c r="IU27" s="20"/>
      <c r="IV27" s="20"/>
      <c r="IW27" s="20"/>
      <c r="IX27" s="20"/>
      <c r="IY27" s="20"/>
      <c r="IZ27" s="20"/>
      <c r="JA27" s="20"/>
      <c r="JB27" s="20"/>
      <c r="JC27" s="20"/>
      <c r="JD27" s="20"/>
      <c r="JE27" s="20"/>
      <c r="JF27" s="20"/>
      <c r="JG27" s="20"/>
      <c r="JH27" s="20"/>
      <c r="JI27" s="20"/>
    </row>
    <row r="28" spans="1:269" ht="17.25" customHeight="1">
      <c r="A28" s="101"/>
      <c r="B28" s="20" t="s">
        <v>117</v>
      </c>
      <c r="C28" s="20" t="s">
        <v>217</v>
      </c>
      <c r="D28" s="83">
        <v>1207680</v>
      </c>
      <c r="E28" s="82">
        <v>3.0000000000000001E-3</v>
      </c>
      <c r="F28" s="82">
        <v>9.7000000000000003E-2</v>
      </c>
      <c r="G28" s="29"/>
      <c r="H28" s="83">
        <v>4212</v>
      </c>
      <c r="I28" s="104">
        <v>7507</v>
      </c>
      <c r="J28" s="29"/>
      <c r="K28" s="83">
        <v>20354</v>
      </c>
      <c r="L28" s="104">
        <v>5291</v>
      </c>
      <c r="M28" s="29"/>
      <c r="N28" s="128">
        <v>0.02</v>
      </c>
      <c r="O28" s="128">
        <v>0.02</v>
      </c>
      <c r="P28" s="29"/>
      <c r="Q28" s="85">
        <v>0</v>
      </c>
      <c r="R28" s="14"/>
      <c r="S28" s="15"/>
      <c r="T28" s="104">
        <v>11382</v>
      </c>
      <c r="U28" s="82">
        <f t="shared" si="0"/>
        <v>-8.881922675026124E-3</v>
      </c>
      <c r="V28" s="29"/>
      <c r="W28" s="83">
        <v>22087</v>
      </c>
      <c r="X28" s="82">
        <v>-0.22600000000000001</v>
      </c>
      <c r="Y28" s="29"/>
      <c r="Z28" s="104">
        <v>6076</v>
      </c>
      <c r="AA28" s="82">
        <f t="shared" si="1"/>
        <v>-0.17613559322033898</v>
      </c>
      <c r="AB28" s="29"/>
      <c r="AC28" s="83">
        <v>29575</v>
      </c>
      <c r="AD28" s="82">
        <v>-1.7999999999999999E-2</v>
      </c>
      <c r="AE28" s="29"/>
      <c r="AF28" s="104">
        <v>7970</v>
      </c>
      <c r="AG28" s="120">
        <f>(AF28-AF27)/AF27</f>
        <v>9.6275652394223459E-3</v>
      </c>
      <c r="AH28" s="128">
        <v>3.71</v>
      </c>
      <c r="AI28" s="84">
        <v>49</v>
      </c>
      <c r="AJ28" s="128">
        <v>323</v>
      </c>
      <c r="AK28" s="83">
        <v>701</v>
      </c>
      <c r="AL28" s="102">
        <v>127</v>
      </c>
      <c r="AM28" s="29"/>
      <c r="AN28" s="83">
        <v>6028</v>
      </c>
      <c r="AO28" s="83">
        <v>14429</v>
      </c>
      <c r="AP28" s="83">
        <v>9119</v>
      </c>
      <c r="AQ28" s="29"/>
      <c r="AR28" s="104">
        <v>1295</v>
      </c>
      <c r="AS28" s="104">
        <v>3918</v>
      </c>
      <c r="AT28" s="104">
        <v>2757</v>
      </c>
      <c r="AU28" s="29"/>
      <c r="AV28" s="83">
        <v>24729</v>
      </c>
      <c r="AW28" s="104">
        <v>6572</v>
      </c>
      <c r="AX28" s="29"/>
      <c r="AY28" s="120">
        <v>0.92900000000000005</v>
      </c>
      <c r="AZ28" s="120">
        <v>2.1999999999999999E-2</v>
      </c>
      <c r="BA28" s="120">
        <v>2.5000000000000001E-2</v>
      </c>
      <c r="BB28" s="82">
        <v>2.4E-2</v>
      </c>
      <c r="BC28" s="29"/>
      <c r="BD28" s="128">
        <v>0</v>
      </c>
      <c r="BE28" s="89"/>
      <c r="BF28" s="94"/>
      <c r="BG28" s="128">
        <v>0</v>
      </c>
      <c r="BH28" s="128" t="s">
        <v>208</v>
      </c>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c r="FY28" s="20"/>
      <c r="FZ28" s="20"/>
      <c r="GA28" s="20"/>
      <c r="GB28" s="20"/>
      <c r="GC28" s="20"/>
      <c r="GD28" s="20"/>
      <c r="GE28" s="20"/>
      <c r="GF28" s="20"/>
      <c r="GG28" s="20"/>
      <c r="GH28" s="20"/>
      <c r="GI28" s="20"/>
      <c r="GJ28" s="20"/>
      <c r="GK28" s="20"/>
      <c r="GL28" s="20"/>
      <c r="GM28" s="20"/>
      <c r="GN28" s="20"/>
      <c r="GO28" s="20"/>
      <c r="GP28" s="20"/>
      <c r="GQ28" s="20"/>
      <c r="GR28" s="20"/>
      <c r="GS28" s="20"/>
      <c r="GT28" s="20"/>
      <c r="GU28" s="20"/>
      <c r="GV28" s="20"/>
      <c r="GW28" s="20"/>
      <c r="GX28" s="20"/>
      <c r="GY28" s="20"/>
      <c r="GZ28" s="20"/>
      <c r="HA28" s="20"/>
      <c r="HB28" s="20"/>
      <c r="HC28" s="20"/>
      <c r="HD28" s="20"/>
      <c r="HE28" s="20"/>
      <c r="HF28" s="20"/>
      <c r="HG28" s="20"/>
      <c r="HH28" s="20"/>
      <c r="HI28" s="20"/>
      <c r="HJ28" s="20"/>
      <c r="HK28" s="20"/>
      <c r="HL28" s="20"/>
      <c r="HM28" s="20"/>
      <c r="HN28" s="20"/>
      <c r="HO28" s="20"/>
      <c r="HP28" s="20"/>
      <c r="HQ28" s="20"/>
      <c r="HR28" s="20"/>
      <c r="HS28" s="20"/>
      <c r="HT28" s="20"/>
      <c r="HU28" s="20"/>
      <c r="HV28" s="20"/>
      <c r="HW28" s="20"/>
      <c r="HX28" s="20"/>
      <c r="HY28" s="20"/>
      <c r="HZ28" s="20"/>
      <c r="IA28" s="20"/>
      <c r="IB28" s="20"/>
      <c r="IC28" s="20"/>
      <c r="ID28" s="20"/>
      <c r="IE28" s="20"/>
      <c r="IF28" s="20"/>
      <c r="IG28" s="20"/>
      <c r="IH28" s="20"/>
      <c r="II28" s="20"/>
      <c r="IJ28" s="20"/>
      <c r="IK28" s="20"/>
      <c r="IL28" s="20"/>
      <c r="IM28" s="20"/>
      <c r="IN28" s="20"/>
      <c r="IO28" s="20"/>
      <c r="IP28" s="20"/>
      <c r="IQ28" s="20"/>
      <c r="IR28" s="20"/>
      <c r="IS28" s="20"/>
      <c r="IT28" s="20"/>
      <c r="IU28" s="20"/>
      <c r="IV28" s="20"/>
      <c r="IW28" s="20"/>
      <c r="IX28" s="20"/>
      <c r="IY28" s="20"/>
      <c r="IZ28" s="20"/>
      <c r="JA28" s="20"/>
      <c r="JB28" s="20"/>
      <c r="JC28" s="20"/>
      <c r="JD28" s="20"/>
      <c r="JE28" s="20"/>
      <c r="JF28" s="20"/>
      <c r="JG28" s="20"/>
      <c r="JH28" s="20"/>
      <c r="JI28" s="20"/>
    </row>
    <row r="29" spans="1:269" ht="17.25" customHeight="1">
      <c r="A29" s="101"/>
      <c r="B29" s="20" t="s">
        <v>116</v>
      </c>
      <c r="C29" s="20" t="s">
        <v>121</v>
      </c>
      <c r="D29" s="83">
        <v>1216822</v>
      </c>
      <c r="E29" s="82">
        <v>8.0000000000000002E-3</v>
      </c>
      <c r="F29" s="82">
        <v>9.7000000000000003E-2</v>
      </c>
      <c r="G29" s="29"/>
      <c r="H29" s="83">
        <v>4138</v>
      </c>
      <c r="I29" s="104">
        <v>7379</v>
      </c>
      <c r="J29" s="29"/>
      <c r="K29" s="83">
        <v>21043</v>
      </c>
      <c r="L29" s="104">
        <v>5401</v>
      </c>
      <c r="M29" s="29"/>
      <c r="N29" s="128">
        <v>0.02</v>
      </c>
      <c r="O29" s="128">
        <v>0.02</v>
      </c>
      <c r="P29" s="29"/>
      <c r="Q29" s="85">
        <v>0</v>
      </c>
      <c r="R29" s="14"/>
      <c r="S29" s="15"/>
      <c r="T29" s="104">
        <v>12369</v>
      </c>
      <c r="U29" s="82">
        <f t="shared" si="0"/>
        <v>8.6715867158671592E-2</v>
      </c>
      <c r="V29" s="29"/>
      <c r="W29" s="83">
        <v>26797</v>
      </c>
      <c r="X29" s="82">
        <v>0.21299999999999999</v>
      </c>
      <c r="Y29" s="29"/>
      <c r="Z29" s="104">
        <v>7094</v>
      </c>
      <c r="AA29" s="82">
        <f t="shared" si="1"/>
        <v>0.16754443712969058</v>
      </c>
      <c r="AB29" s="29"/>
      <c r="AC29" s="83">
        <v>36394</v>
      </c>
      <c r="AD29" s="82">
        <v>0.23100000000000001</v>
      </c>
      <c r="AE29" s="29"/>
      <c r="AF29" s="104">
        <v>9491</v>
      </c>
      <c r="AG29" s="120">
        <f>(AF29-AF28)/AF28</f>
        <v>0.19084065244667503</v>
      </c>
      <c r="AH29" s="128">
        <v>3.83</v>
      </c>
      <c r="AI29" s="128">
        <v>48.5</v>
      </c>
      <c r="AJ29" s="128">
        <v>320</v>
      </c>
      <c r="AK29" s="83">
        <v>901</v>
      </c>
      <c r="AL29" s="102">
        <v>172</v>
      </c>
      <c r="AM29" s="29"/>
      <c r="AN29" s="83">
        <v>7009</v>
      </c>
      <c r="AO29" s="83">
        <v>18669</v>
      </c>
      <c r="AP29" s="83">
        <v>10716</v>
      </c>
      <c r="AQ29" s="29"/>
      <c r="AR29" s="104">
        <v>1404</v>
      </c>
      <c r="AS29" s="104">
        <v>4941</v>
      </c>
      <c r="AT29" s="104">
        <v>3146</v>
      </c>
      <c r="AU29" s="29"/>
      <c r="AV29" s="83">
        <v>29041</v>
      </c>
      <c r="AW29" s="104">
        <v>7535</v>
      </c>
      <c r="AX29" s="29"/>
      <c r="AY29" s="120">
        <v>0.92300000000000004</v>
      </c>
      <c r="AZ29" s="120">
        <v>2.1999999999999999E-2</v>
      </c>
      <c r="BA29" s="120">
        <v>3.5999999999999997E-2</v>
      </c>
      <c r="BB29" s="82">
        <v>1.9E-2</v>
      </c>
      <c r="BC29" s="29"/>
      <c r="BD29" s="128">
        <v>0</v>
      </c>
      <c r="BE29" s="89"/>
      <c r="BF29" s="94"/>
      <c r="BG29" s="128">
        <v>0</v>
      </c>
      <c r="BH29" s="128" t="s">
        <v>208</v>
      </c>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c r="DV29" s="20"/>
      <c r="DW29" s="20"/>
      <c r="DX29" s="20"/>
      <c r="DY29" s="20"/>
      <c r="DZ29" s="20"/>
      <c r="EA29" s="20"/>
      <c r="EB29" s="20"/>
      <c r="EC29" s="20"/>
      <c r="ED29" s="20"/>
      <c r="EE29" s="20"/>
      <c r="EF29" s="20"/>
      <c r="EG29" s="20"/>
      <c r="EH29" s="20"/>
      <c r="EI29" s="20"/>
      <c r="EJ29" s="20"/>
      <c r="EK29" s="20"/>
      <c r="EL29" s="20"/>
      <c r="EM29" s="20"/>
      <c r="EN29" s="20"/>
      <c r="EO29" s="20"/>
      <c r="EP29" s="20"/>
      <c r="EQ29" s="20"/>
      <c r="ER29" s="20"/>
      <c r="ES29" s="20"/>
      <c r="ET29" s="20"/>
      <c r="EU29" s="20"/>
      <c r="EV29" s="20"/>
      <c r="EW29" s="20"/>
      <c r="EX29" s="20"/>
      <c r="EY29" s="20"/>
      <c r="EZ29" s="20"/>
      <c r="FA29" s="20"/>
      <c r="FB29" s="20"/>
      <c r="FC29" s="20"/>
      <c r="FD29" s="20"/>
      <c r="FE29" s="20"/>
      <c r="FF29" s="20"/>
      <c r="FG29" s="20"/>
      <c r="FH29" s="20"/>
      <c r="FI29" s="20"/>
      <c r="FJ29" s="20"/>
      <c r="FK29" s="20"/>
      <c r="FL29" s="20"/>
      <c r="FM29" s="20"/>
      <c r="FN29" s="20"/>
      <c r="FO29" s="20"/>
      <c r="FP29" s="20"/>
      <c r="FQ29" s="20"/>
      <c r="FR29" s="20"/>
      <c r="FS29" s="20"/>
      <c r="FT29" s="20"/>
      <c r="FU29" s="20"/>
      <c r="FV29" s="20"/>
      <c r="FW29" s="20"/>
      <c r="FX29" s="20"/>
      <c r="FY29" s="20"/>
      <c r="FZ29" s="20"/>
      <c r="GA29" s="20"/>
      <c r="GB29" s="20"/>
      <c r="GC29" s="20"/>
      <c r="GD29" s="20"/>
      <c r="GE29" s="20"/>
      <c r="GF29" s="20"/>
      <c r="GG29" s="20"/>
      <c r="GH29" s="20"/>
      <c r="GI29" s="20"/>
      <c r="GJ29" s="20"/>
      <c r="GK29" s="20"/>
      <c r="GL29" s="20"/>
      <c r="GM29" s="20"/>
      <c r="GN29" s="20"/>
      <c r="GO29" s="20"/>
      <c r="GP29" s="20"/>
      <c r="GQ29" s="20"/>
      <c r="GR29" s="20"/>
      <c r="GS29" s="20"/>
      <c r="GT29" s="20"/>
      <c r="GU29" s="20"/>
      <c r="GV29" s="20"/>
      <c r="GW29" s="20"/>
      <c r="GX29" s="20"/>
      <c r="GY29" s="20"/>
      <c r="GZ29" s="20"/>
      <c r="HA29" s="20"/>
      <c r="HB29" s="20"/>
      <c r="HC29" s="20"/>
      <c r="HD29" s="20"/>
      <c r="HE29" s="20"/>
      <c r="HF29" s="20"/>
      <c r="HG29" s="20"/>
      <c r="HH29" s="20"/>
      <c r="HI29" s="20"/>
      <c r="HJ29" s="20"/>
      <c r="HK29" s="20"/>
      <c r="HL29" s="20"/>
      <c r="HM29" s="20"/>
      <c r="HN29" s="20"/>
      <c r="HO29" s="20"/>
      <c r="HP29" s="20"/>
      <c r="HQ29" s="20"/>
      <c r="HR29" s="20"/>
      <c r="HS29" s="20"/>
      <c r="HT29" s="20"/>
      <c r="HU29" s="20"/>
      <c r="HV29" s="20"/>
      <c r="HW29" s="20"/>
      <c r="HX29" s="20"/>
      <c r="HY29" s="20"/>
      <c r="HZ29" s="20"/>
      <c r="IA29" s="20"/>
      <c r="IB29" s="20"/>
      <c r="IC29" s="20"/>
      <c r="ID29" s="20"/>
      <c r="IE29" s="20"/>
      <c r="IF29" s="20"/>
      <c r="IG29" s="20"/>
      <c r="IH29" s="20"/>
      <c r="II29" s="20"/>
      <c r="IJ29" s="20"/>
      <c r="IK29" s="20"/>
      <c r="IL29" s="20"/>
      <c r="IM29" s="20"/>
      <c r="IN29" s="20"/>
      <c r="IO29" s="20"/>
      <c r="IP29" s="20"/>
      <c r="IQ29" s="20"/>
      <c r="IR29" s="20"/>
      <c r="IS29" s="20"/>
      <c r="IT29" s="20"/>
      <c r="IU29" s="20"/>
      <c r="IV29" s="20"/>
      <c r="IW29" s="20"/>
      <c r="IX29" s="20"/>
      <c r="IY29" s="20"/>
      <c r="IZ29" s="20"/>
      <c r="JA29" s="20"/>
      <c r="JB29" s="20"/>
      <c r="JC29" s="20"/>
      <c r="JD29" s="20"/>
      <c r="JE29" s="20"/>
      <c r="JF29" s="20"/>
      <c r="JG29" s="20"/>
      <c r="JH29" s="20"/>
      <c r="JI29" s="20"/>
    </row>
    <row r="30" spans="1:269" ht="17.25" customHeight="1">
      <c r="A30" s="101"/>
      <c r="B30" s="20" t="s">
        <v>115</v>
      </c>
      <c r="C30" s="20" t="s">
        <v>123</v>
      </c>
      <c r="D30" s="83">
        <v>1223807</v>
      </c>
      <c r="E30" s="82">
        <v>6.0000000000000001E-3</v>
      </c>
      <c r="F30" s="82">
        <v>9.4E-2</v>
      </c>
      <c r="G30" s="29"/>
      <c r="H30" s="83">
        <v>4069</v>
      </c>
      <c r="I30" s="104">
        <v>7289</v>
      </c>
      <c r="J30" s="29"/>
      <c r="K30" s="83">
        <v>21388</v>
      </c>
      <c r="L30" s="104">
        <v>5438</v>
      </c>
      <c r="M30" s="29"/>
      <c r="N30" s="128">
        <v>0.03</v>
      </c>
      <c r="O30" s="128">
        <v>0.02</v>
      </c>
      <c r="P30" s="29"/>
      <c r="Q30" s="85">
        <v>0</v>
      </c>
      <c r="R30" s="14"/>
      <c r="S30" s="15"/>
      <c r="T30" s="104">
        <v>10655</v>
      </c>
      <c r="U30" s="82">
        <f t="shared" si="0"/>
        <v>-0.13857223704422347</v>
      </c>
      <c r="V30" s="29"/>
      <c r="W30" s="83">
        <v>23657</v>
      </c>
      <c r="X30" s="82">
        <v>-0.11700000000000001</v>
      </c>
      <c r="Y30" s="29"/>
      <c r="Z30" s="104">
        <v>6434</v>
      </c>
      <c r="AA30" s="82">
        <f t="shared" si="1"/>
        <v>-9.303636876233437E-2</v>
      </c>
      <c r="AB30" s="29"/>
      <c r="AC30" s="83">
        <v>28382</v>
      </c>
      <c r="AD30" s="82">
        <v>-0.22</v>
      </c>
      <c r="AE30" s="29"/>
      <c r="AF30" s="104">
        <v>7268</v>
      </c>
      <c r="AG30" s="120">
        <f>(AF30-AF29)/AF29</f>
        <v>-0.23422189442629859</v>
      </c>
      <c r="AH30" s="85">
        <v>3.91</v>
      </c>
      <c r="AI30" s="128">
        <v>48.5</v>
      </c>
      <c r="AJ30" s="128">
        <v>321</v>
      </c>
      <c r="AK30" s="83">
        <v>518</v>
      </c>
      <c r="AL30" s="102">
        <v>95</v>
      </c>
      <c r="AM30" s="29"/>
      <c r="AN30" s="83">
        <v>4655</v>
      </c>
      <c r="AO30" s="83">
        <v>15628</v>
      </c>
      <c r="AP30" s="83">
        <v>8098</v>
      </c>
      <c r="AQ30" s="29"/>
      <c r="AR30" s="104">
        <v>851</v>
      </c>
      <c r="AS30" s="104">
        <v>4103</v>
      </c>
      <c r="AT30" s="104">
        <v>2314</v>
      </c>
      <c r="AU30" s="29"/>
      <c r="AV30" s="83">
        <v>23103</v>
      </c>
      <c r="AW30" s="104">
        <v>5808</v>
      </c>
      <c r="AX30" s="29"/>
      <c r="AY30" s="120">
        <v>0.89500000000000002</v>
      </c>
      <c r="AZ30" s="120">
        <v>2.8000000000000001E-2</v>
      </c>
      <c r="BA30" s="120">
        <v>5.8000000000000003E-2</v>
      </c>
      <c r="BB30" s="82">
        <v>1.7999999999999999E-2</v>
      </c>
      <c r="BC30" s="29"/>
      <c r="BD30" s="128">
        <v>0</v>
      </c>
      <c r="BE30" s="89"/>
      <c r="BF30" s="94"/>
      <c r="BG30" s="128">
        <v>0</v>
      </c>
      <c r="BH30" s="128" t="s">
        <v>208</v>
      </c>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c r="FA30" s="20"/>
      <c r="FB30" s="20"/>
      <c r="FC30" s="20"/>
      <c r="FD30" s="20"/>
      <c r="FE30" s="20"/>
      <c r="FF30" s="20"/>
      <c r="FG30" s="20"/>
      <c r="FH30" s="20"/>
      <c r="FI30" s="20"/>
      <c r="FJ30" s="20"/>
      <c r="FK30" s="20"/>
      <c r="FL30" s="20"/>
      <c r="FM30" s="20"/>
      <c r="FN30" s="20"/>
      <c r="FO30" s="20"/>
      <c r="FP30" s="20"/>
      <c r="FQ30" s="20"/>
      <c r="FR30" s="20"/>
      <c r="FS30" s="20"/>
      <c r="FT30" s="20"/>
      <c r="FU30" s="20"/>
      <c r="FV30" s="20"/>
      <c r="FW30" s="20"/>
      <c r="FX30" s="20"/>
      <c r="FY30" s="20"/>
      <c r="FZ30" s="20"/>
      <c r="GA30" s="20"/>
      <c r="GB30" s="20"/>
      <c r="GC30" s="20"/>
      <c r="GD30" s="20"/>
      <c r="GE30" s="20"/>
      <c r="GF30" s="20"/>
      <c r="GG30" s="20"/>
      <c r="GH30" s="20"/>
      <c r="GI30" s="20"/>
      <c r="GJ30" s="20"/>
      <c r="GK30" s="20"/>
      <c r="GL30" s="20"/>
      <c r="GM30" s="20"/>
      <c r="GN30" s="20"/>
      <c r="GO30" s="20"/>
      <c r="GP30" s="20"/>
      <c r="GQ30" s="20"/>
      <c r="GR30" s="20"/>
      <c r="GS30" s="20"/>
      <c r="GT30" s="20"/>
      <c r="GU30" s="20"/>
      <c r="GV30" s="20"/>
      <c r="GW30" s="20"/>
      <c r="GX30" s="20"/>
      <c r="GY30" s="20"/>
      <c r="GZ30" s="20"/>
      <c r="HA30" s="20"/>
      <c r="HB30" s="20"/>
      <c r="HC30" s="20"/>
      <c r="HD30" s="20"/>
      <c r="HE30" s="20"/>
      <c r="HF30" s="20"/>
      <c r="HG30" s="20"/>
      <c r="HH30" s="20"/>
      <c r="HI30" s="20"/>
      <c r="HJ30" s="20"/>
      <c r="HK30" s="20"/>
      <c r="HL30" s="20"/>
      <c r="HM30" s="20"/>
      <c r="HN30" s="20"/>
      <c r="HO30" s="20"/>
      <c r="HP30" s="20"/>
      <c r="HQ30" s="20"/>
      <c r="HR30" s="20"/>
      <c r="HS30" s="20"/>
      <c r="HT30" s="20"/>
      <c r="HU30" s="20"/>
      <c r="HV30" s="20"/>
      <c r="HW30" s="20"/>
      <c r="HX30" s="20"/>
      <c r="HY30" s="20"/>
      <c r="HZ30" s="20"/>
      <c r="IA30" s="20"/>
      <c r="IB30" s="20"/>
      <c r="IC30" s="20"/>
      <c r="ID30" s="20"/>
      <c r="IE30" s="20"/>
      <c r="IF30" s="20"/>
      <c r="IG30" s="20"/>
      <c r="IH30" s="20"/>
      <c r="II30" s="20"/>
      <c r="IJ30" s="20"/>
      <c r="IK30" s="20"/>
      <c r="IL30" s="20"/>
      <c r="IM30" s="20"/>
      <c r="IN30" s="20"/>
      <c r="IO30" s="20"/>
      <c r="IP30" s="20"/>
      <c r="IQ30" s="20"/>
      <c r="IR30" s="20"/>
      <c r="IS30" s="20"/>
      <c r="IT30" s="20"/>
      <c r="IU30" s="20"/>
      <c r="IV30" s="20"/>
      <c r="IW30" s="20"/>
      <c r="IX30" s="20"/>
      <c r="IY30" s="20"/>
      <c r="IZ30" s="20"/>
      <c r="JA30" s="20"/>
      <c r="JB30" s="20"/>
      <c r="JC30" s="20"/>
      <c r="JD30" s="20"/>
      <c r="JE30" s="20"/>
      <c r="JF30" s="20"/>
      <c r="JG30" s="20"/>
      <c r="JH30" s="20"/>
      <c r="JI30" s="20"/>
    </row>
    <row r="31" spans="1:269">
      <c r="A31" s="61"/>
      <c r="B31" s="20"/>
      <c r="C31" s="20"/>
      <c r="D31" s="16"/>
      <c r="E31" s="16"/>
      <c r="F31" s="16"/>
      <c r="G31" s="30"/>
      <c r="H31" s="16"/>
      <c r="I31" s="16"/>
      <c r="J31" s="30"/>
      <c r="K31" s="16"/>
      <c r="L31" s="16"/>
      <c r="M31" s="30"/>
      <c r="N31" s="16"/>
      <c r="O31" s="16"/>
      <c r="P31" s="30"/>
      <c r="Q31" s="16"/>
      <c r="R31" s="17"/>
      <c r="S31" s="18"/>
      <c r="T31" s="18"/>
      <c r="U31" s="18"/>
      <c r="V31" s="30"/>
      <c r="W31" s="105"/>
      <c r="X31" s="105"/>
      <c r="Y31" s="30"/>
      <c r="Z31" s="105"/>
      <c r="AA31" s="105"/>
      <c r="AB31" s="30"/>
      <c r="AC31" s="105"/>
      <c r="AD31" s="105"/>
      <c r="AE31" s="30"/>
      <c r="AF31" s="105"/>
      <c r="AG31" s="105"/>
      <c r="AH31" s="105"/>
      <c r="AI31" s="105"/>
      <c r="AJ31" s="105"/>
      <c r="AK31" s="105"/>
      <c r="AL31" s="105"/>
      <c r="AM31" s="30"/>
      <c r="AN31" s="105"/>
      <c r="AO31" s="105"/>
      <c r="AP31" s="105"/>
      <c r="AQ31" s="30"/>
      <c r="AR31" s="105"/>
      <c r="AS31" s="105"/>
      <c r="AT31" s="105"/>
      <c r="AU31" s="30"/>
      <c r="AV31" s="105"/>
      <c r="AW31" s="105"/>
      <c r="AX31" s="30"/>
      <c r="AY31" s="105"/>
      <c r="AZ31" s="105"/>
      <c r="BA31" s="105"/>
      <c r="BB31" s="105"/>
      <c r="BC31" s="30"/>
      <c r="BD31" s="89"/>
      <c r="BE31" s="89"/>
      <c r="BF31" s="94"/>
      <c r="BG31" s="89"/>
      <c r="BH31" s="89"/>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c r="DJ31" s="20"/>
      <c r="DK31" s="20"/>
      <c r="DL31" s="20"/>
      <c r="DM31" s="20"/>
      <c r="DN31" s="20"/>
      <c r="DO31" s="20"/>
      <c r="DP31" s="20"/>
      <c r="DQ31" s="20"/>
      <c r="DR31" s="20"/>
      <c r="DS31" s="20"/>
      <c r="DT31" s="20"/>
      <c r="DU31" s="20"/>
      <c r="DV31" s="20"/>
      <c r="DW31" s="20"/>
      <c r="DX31" s="20"/>
      <c r="DY31" s="20"/>
      <c r="DZ31" s="20"/>
      <c r="EA31" s="20"/>
      <c r="EB31" s="20"/>
      <c r="EC31" s="20"/>
      <c r="ED31" s="20"/>
      <c r="EE31" s="20"/>
      <c r="EF31" s="20"/>
      <c r="EG31" s="20"/>
      <c r="EH31" s="20"/>
      <c r="EI31" s="20"/>
      <c r="EJ31" s="20"/>
      <c r="EK31" s="20"/>
      <c r="EL31" s="20"/>
      <c r="EM31" s="20"/>
      <c r="EN31" s="20"/>
      <c r="EO31" s="20"/>
      <c r="EP31" s="20"/>
      <c r="EQ31" s="20"/>
      <c r="ER31" s="20"/>
      <c r="ES31" s="20"/>
      <c r="ET31" s="20"/>
      <c r="EU31" s="20"/>
      <c r="EV31" s="20"/>
      <c r="EW31" s="20"/>
      <c r="EX31" s="20"/>
      <c r="EY31" s="20"/>
      <c r="EZ31" s="20"/>
      <c r="FA31" s="20"/>
      <c r="FB31" s="20"/>
      <c r="FC31" s="20"/>
      <c r="FD31" s="20"/>
      <c r="FE31" s="20"/>
      <c r="FF31" s="20"/>
      <c r="FG31" s="20"/>
      <c r="FH31" s="20"/>
      <c r="FI31" s="20"/>
      <c r="FJ31" s="20"/>
      <c r="FK31" s="20"/>
      <c r="FL31" s="20"/>
      <c r="FM31" s="20"/>
      <c r="FN31" s="20"/>
      <c r="FO31" s="20"/>
      <c r="FP31" s="20"/>
      <c r="FQ31" s="20"/>
      <c r="FR31" s="20"/>
      <c r="FS31" s="20"/>
      <c r="FT31" s="20"/>
      <c r="FU31" s="20"/>
      <c r="FV31" s="20"/>
      <c r="FW31" s="20"/>
      <c r="FX31" s="20"/>
      <c r="FY31" s="20"/>
      <c r="FZ31" s="20"/>
      <c r="GA31" s="20"/>
      <c r="GB31" s="20"/>
      <c r="GC31" s="20"/>
      <c r="GD31" s="20"/>
      <c r="GE31" s="20"/>
      <c r="GF31" s="20"/>
      <c r="GG31" s="20"/>
      <c r="GH31" s="20"/>
      <c r="GI31" s="20"/>
      <c r="GJ31" s="20"/>
      <c r="GK31" s="20"/>
      <c r="GL31" s="20"/>
      <c r="GM31" s="20"/>
      <c r="GN31" s="20"/>
      <c r="GO31" s="20"/>
      <c r="GP31" s="20"/>
      <c r="GQ31" s="20"/>
      <c r="GR31" s="20"/>
      <c r="GS31" s="20"/>
      <c r="GT31" s="20"/>
      <c r="GU31" s="20"/>
      <c r="GV31" s="20"/>
      <c r="GW31" s="20"/>
      <c r="GX31" s="20"/>
      <c r="GY31" s="20"/>
      <c r="GZ31" s="20"/>
      <c r="HA31" s="20"/>
      <c r="HB31" s="20"/>
      <c r="HC31" s="20"/>
      <c r="HD31" s="20"/>
      <c r="HE31" s="20"/>
      <c r="HF31" s="20"/>
      <c r="HG31" s="20"/>
      <c r="HH31" s="20"/>
      <c r="HI31" s="20"/>
      <c r="HJ31" s="20"/>
      <c r="HK31" s="20"/>
      <c r="HL31" s="20"/>
      <c r="HM31" s="20"/>
      <c r="HN31" s="20"/>
      <c r="HO31" s="20"/>
      <c r="HP31" s="20"/>
      <c r="HQ31" s="20"/>
      <c r="HR31" s="20"/>
      <c r="HS31" s="20"/>
      <c r="HT31" s="20"/>
      <c r="HU31" s="20"/>
      <c r="HV31" s="20"/>
      <c r="HW31" s="20"/>
      <c r="HX31" s="20"/>
      <c r="HY31" s="20"/>
      <c r="HZ31" s="20"/>
      <c r="IA31" s="20"/>
      <c r="IB31" s="20"/>
      <c r="IC31" s="20"/>
      <c r="ID31" s="20"/>
      <c r="IE31" s="20"/>
      <c r="IF31" s="20"/>
      <c r="IG31" s="20"/>
      <c r="IH31" s="20"/>
      <c r="II31" s="20"/>
      <c r="IJ31" s="20"/>
      <c r="IK31" s="20"/>
      <c r="IL31" s="20"/>
      <c r="IM31" s="20"/>
      <c r="IN31" s="20"/>
      <c r="IO31" s="20"/>
      <c r="IP31" s="20"/>
      <c r="IQ31" s="20"/>
      <c r="IR31" s="20"/>
      <c r="IS31" s="20"/>
      <c r="IT31" s="20"/>
      <c r="IU31" s="20"/>
      <c r="IV31" s="20"/>
      <c r="IW31" s="20"/>
      <c r="IX31" s="20"/>
      <c r="IY31" s="20"/>
      <c r="IZ31" s="20"/>
      <c r="JA31" s="20"/>
      <c r="JB31" s="20"/>
      <c r="JC31" s="20"/>
      <c r="JD31" s="20"/>
      <c r="JE31" s="20"/>
      <c r="JF31" s="20"/>
      <c r="JG31" s="20"/>
      <c r="JH31" s="20"/>
      <c r="JI31" s="20"/>
    </row>
    <row r="32" spans="1:269" ht="17.25" customHeight="1">
      <c r="A32" s="101">
        <v>2018</v>
      </c>
      <c r="B32" s="20" t="s">
        <v>114</v>
      </c>
      <c r="C32" s="20" t="s">
        <v>209</v>
      </c>
      <c r="D32" s="83">
        <v>1232065</v>
      </c>
      <c r="E32" s="82">
        <v>7.0000000000000001E-3</v>
      </c>
      <c r="F32" s="82">
        <v>0.08</v>
      </c>
      <c r="G32" s="29"/>
      <c r="H32" s="83">
        <v>4018</v>
      </c>
      <c r="I32" s="104">
        <v>6310</v>
      </c>
      <c r="J32" s="29"/>
      <c r="K32" s="83">
        <v>21590</v>
      </c>
      <c r="L32" s="104">
        <v>5454</v>
      </c>
      <c r="M32" s="29"/>
      <c r="N32" s="128">
        <v>0.02</v>
      </c>
      <c r="O32" s="128">
        <v>0.02</v>
      </c>
      <c r="P32" s="29"/>
      <c r="Q32" s="85">
        <v>0</v>
      </c>
      <c r="R32" s="14"/>
      <c r="S32" s="15"/>
      <c r="T32" s="104">
        <v>14334</v>
      </c>
      <c r="U32" s="82">
        <f>(T32-T30)/T30</f>
        <v>0.34528390427029565</v>
      </c>
      <c r="V32" s="29"/>
      <c r="W32" s="83">
        <v>27996</v>
      </c>
      <c r="X32" s="82">
        <v>0.183</v>
      </c>
      <c r="Y32" s="29"/>
      <c r="Z32" s="104">
        <v>7197</v>
      </c>
      <c r="AA32" s="82">
        <f>(Z32-Z30)/Z30</f>
        <v>0.1185887472800746</v>
      </c>
      <c r="AB32" s="29"/>
      <c r="AC32" s="83">
        <v>38957</v>
      </c>
      <c r="AD32" s="82">
        <v>0.373</v>
      </c>
      <c r="AE32" s="29"/>
      <c r="AF32" s="104">
        <v>9916</v>
      </c>
      <c r="AG32" s="120">
        <f>(AF32-AF30)/AF30</f>
        <v>0.36433681893230602</v>
      </c>
      <c r="AH32" s="128">
        <v>3.93</v>
      </c>
      <c r="AI32" s="84">
        <v>49</v>
      </c>
      <c r="AJ32" s="128">
        <v>321</v>
      </c>
      <c r="AK32" s="83">
        <v>981</v>
      </c>
      <c r="AL32" s="102">
        <v>184</v>
      </c>
      <c r="AM32" s="29"/>
      <c r="AN32" s="83">
        <v>6641</v>
      </c>
      <c r="AO32" s="83">
        <v>22862</v>
      </c>
      <c r="AP32" s="83">
        <v>9455</v>
      </c>
      <c r="AQ32" s="29"/>
      <c r="AR32" s="104">
        <v>1249</v>
      </c>
      <c r="AS32" s="104">
        <v>5893</v>
      </c>
      <c r="AT32" s="104">
        <v>2774</v>
      </c>
      <c r="AU32" s="29"/>
      <c r="AV32" s="83">
        <v>31286</v>
      </c>
      <c r="AW32" s="104">
        <v>7907</v>
      </c>
      <c r="AX32" s="29"/>
      <c r="AY32" s="120">
        <v>0.85499999999999998</v>
      </c>
      <c r="AZ32" s="120">
        <v>2.7E-2</v>
      </c>
      <c r="BA32" s="120">
        <v>9.5000000000000001E-2</v>
      </c>
      <c r="BB32" s="82">
        <v>2.3E-2</v>
      </c>
      <c r="BC32" s="29"/>
      <c r="BD32" s="128">
        <v>0</v>
      </c>
      <c r="BE32" s="89"/>
      <c r="BF32" s="94"/>
      <c r="BG32" s="128">
        <v>0</v>
      </c>
      <c r="BH32" s="128" t="s">
        <v>208</v>
      </c>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c r="EW32" s="20"/>
      <c r="EX32" s="20"/>
      <c r="EY32" s="20"/>
      <c r="EZ32" s="20"/>
      <c r="FA32" s="20"/>
      <c r="FB32" s="20"/>
      <c r="FC32" s="20"/>
      <c r="FD32" s="20"/>
      <c r="FE32" s="20"/>
      <c r="FF32" s="20"/>
      <c r="FG32" s="20"/>
      <c r="FH32" s="20"/>
      <c r="FI32" s="20"/>
      <c r="FJ32" s="20"/>
      <c r="FK32" s="20"/>
      <c r="FL32" s="20"/>
      <c r="FM32" s="20"/>
      <c r="FN32" s="20"/>
      <c r="FO32" s="20"/>
      <c r="FP32" s="20"/>
      <c r="FQ32" s="20"/>
      <c r="FR32" s="20"/>
      <c r="FS32" s="20"/>
      <c r="FT32" s="20"/>
      <c r="FU32" s="20"/>
      <c r="FV32" s="20"/>
      <c r="FW32" s="20"/>
      <c r="FX32" s="20"/>
      <c r="FY32" s="20"/>
      <c r="FZ32" s="20"/>
      <c r="GA32" s="20"/>
      <c r="GB32" s="20"/>
      <c r="GC32" s="20"/>
      <c r="GD32" s="20"/>
      <c r="GE32" s="20"/>
      <c r="GF32" s="20"/>
      <c r="GG32" s="20"/>
      <c r="GH32" s="20"/>
      <c r="GI32" s="20"/>
      <c r="GJ32" s="20"/>
      <c r="GK32" s="20"/>
      <c r="GL32" s="20"/>
      <c r="GM32" s="20"/>
      <c r="GN32" s="20"/>
      <c r="GO32" s="20"/>
      <c r="GP32" s="20"/>
      <c r="GQ32" s="20"/>
      <c r="GR32" s="20"/>
      <c r="GS32" s="20"/>
      <c r="GT32" s="20"/>
      <c r="GU32" s="20"/>
      <c r="GV32" s="20"/>
      <c r="GW32" s="20"/>
      <c r="GX32" s="20"/>
      <c r="GY32" s="20"/>
      <c r="GZ32" s="20"/>
      <c r="HA32" s="20"/>
      <c r="HB32" s="20"/>
      <c r="HC32" s="20"/>
      <c r="HD32" s="20"/>
      <c r="HE32" s="20"/>
      <c r="HF32" s="20"/>
      <c r="HG32" s="20"/>
      <c r="HH32" s="20"/>
      <c r="HI32" s="20"/>
      <c r="HJ32" s="20"/>
      <c r="HK32" s="20"/>
      <c r="HL32" s="20"/>
      <c r="HM32" s="20"/>
      <c r="HN32" s="20"/>
      <c r="HO32" s="20"/>
      <c r="HP32" s="20"/>
      <c r="HQ32" s="20"/>
      <c r="HR32" s="20"/>
      <c r="HS32" s="20"/>
      <c r="HT32" s="20"/>
      <c r="HU32" s="20"/>
      <c r="HV32" s="20"/>
      <c r="HW32" s="20"/>
      <c r="HX32" s="20"/>
      <c r="HY32" s="20"/>
      <c r="HZ32" s="20"/>
      <c r="IA32" s="20"/>
      <c r="IB32" s="20"/>
      <c r="IC32" s="20"/>
      <c r="ID32" s="20"/>
      <c r="IE32" s="20"/>
      <c r="IF32" s="20"/>
      <c r="IG32" s="20"/>
      <c r="IH32" s="20"/>
      <c r="II32" s="20"/>
      <c r="IJ32" s="20"/>
      <c r="IK32" s="20"/>
      <c r="IL32" s="20"/>
      <c r="IM32" s="20"/>
      <c r="IN32" s="20"/>
      <c r="IO32" s="20"/>
      <c r="IP32" s="20"/>
      <c r="IQ32" s="20"/>
      <c r="IR32" s="20"/>
      <c r="IS32" s="20"/>
      <c r="IT32" s="20"/>
      <c r="IU32" s="20"/>
      <c r="IV32" s="20"/>
      <c r="IW32" s="20"/>
      <c r="IX32" s="20"/>
      <c r="IY32" s="20"/>
      <c r="IZ32" s="20"/>
      <c r="JA32" s="20"/>
      <c r="JB32" s="20"/>
      <c r="JC32" s="20"/>
      <c r="JD32" s="20"/>
      <c r="JE32" s="20"/>
      <c r="JF32" s="20"/>
      <c r="JG32" s="20"/>
      <c r="JH32" s="20"/>
      <c r="JI32" s="20"/>
    </row>
    <row r="33" spans="1:269" ht="17.25" customHeight="1">
      <c r="A33" s="101"/>
      <c r="B33" s="20" t="s">
        <v>113</v>
      </c>
      <c r="C33" s="20" t="s">
        <v>122</v>
      </c>
      <c r="D33" s="83">
        <v>1237078</v>
      </c>
      <c r="E33" s="82">
        <v>4.0000000000000001E-3</v>
      </c>
      <c r="F33" s="82">
        <v>0.08</v>
      </c>
      <c r="G33" s="29"/>
      <c r="H33" s="83">
        <v>3992</v>
      </c>
      <c r="I33" s="104">
        <v>7138</v>
      </c>
      <c r="J33" s="29"/>
      <c r="K33" s="83">
        <v>21633</v>
      </c>
      <c r="L33" s="104">
        <v>5441</v>
      </c>
      <c r="M33" s="29"/>
      <c r="N33" s="128">
        <v>0.02</v>
      </c>
      <c r="O33" s="128">
        <v>0.01</v>
      </c>
      <c r="P33" s="29"/>
      <c r="Q33" s="85">
        <v>0</v>
      </c>
      <c r="R33" s="14"/>
      <c r="S33" s="15"/>
      <c r="T33" s="104">
        <v>11428</v>
      </c>
      <c r="U33" s="82">
        <f t="shared" ref="U33:U43" si="3">(T33-T32)/T32</f>
        <v>-0.20273475652295242</v>
      </c>
      <c r="V33" s="29"/>
      <c r="W33" s="83">
        <v>21467</v>
      </c>
      <c r="X33" s="82">
        <v>-0.23300000000000001</v>
      </c>
      <c r="Y33" s="29"/>
      <c r="Z33" s="104">
        <v>5479</v>
      </c>
      <c r="AA33" s="82">
        <f t="shared" ref="AA33:AA43" si="4">(Z33-Z32)/Z32</f>
        <v>-0.23871057385021538</v>
      </c>
      <c r="AB33" s="29"/>
      <c r="AC33" s="83">
        <v>33164</v>
      </c>
      <c r="AD33" s="82">
        <v>-0.14899999999999999</v>
      </c>
      <c r="AE33" s="29"/>
      <c r="AF33" s="104">
        <v>8404</v>
      </c>
      <c r="AG33" s="120">
        <f t="shared" ref="AG33:AG43" si="5">(AF33-AF32)/AF32</f>
        <v>-0.15248083904800322</v>
      </c>
      <c r="AH33" s="128">
        <v>3.95</v>
      </c>
      <c r="AI33" s="128">
        <v>48.8</v>
      </c>
      <c r="AJ33" s="128">
        <v>319</v>
      </c>
      <c r="AK33" s="83">
        <v>751</v>
      </c>
      <c r="AL33" s="102">
        <v>159</v>
      </c>
      <c r="AM33" s="29"/>
      <c r="AN33" s="83">
        <v>5434</v>
      </c>
      <c r="AO33" s="83">
        <v>19847</v>
      </c>
      <c r="AP33" s="83">
        <v>7883</v>
      </c>
      <c r="AQ33" s="29"/>
      <c r="AR33" s="104">
        <v>1118</v>
      </c>
      <c r="AS33" s="104">
        <v>4987</v>
      </c>
      <c r="AT33" s="104">
        <v>2299</v>
      </c>
      <c r="AU33" s="29"/>
      <c r="AV33" s="83">
        <v>27946</v>
      </c>
      <c r="AW33" s="104">
        <v>7066</v>
      </c>
      <c r="AX33" s="29"/>
      <c r="AY33" s="120">
        <v>0.67200000000000004</v>
      </c>
      <c r="AZ33" s="120">
        <v>2.1999999999999999E-2</v>
      </c>
      <c r="BA33" s="120">
        <v>0.28899999999999998</v>
      </c>
      <c r="BB33" s="82">
        <v>1.7999999999999999E-2</v>
      </c>
      <c r="BC33" s="29"/>
      <c r="BD33" s="128">
        <v>0</v>
      </c>
      <c r="BE33" s="89"/>
      <c r="BF33" s="94"/>
      <c r="BG33" s="128">
        <v>0</v>
      </c>
      <c r="BH33" s="128" t="s">
        <v>208</v>
      </c>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c r="DI33" s="20"/>
      <c r="DJ33" s="20"/>
      <c r="DK33" s="20"/>
      <c r="DL33" s="20"/>
      <c r="DM33" s="20"/>
      <c r="DN33" s="20"/>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c r="FW33" s="20"/>
      <c r="FX33" s="20"/>
      <c r="FY33" s="20"/>
      <c r="FZ33" s="20"/>
      <c r="GA33" s="20"/>
      <c r="GB33" s="20"/>
      <c r="GC33" s="20"/>
      <c r="GD33" s="20"/>
      <c r="GE33" s="20"/>
      <c r="GF33" s="20"/>
      <c r="GG33" s="20"/>
      <c r="GH33" s="20"/>
      <c r="GI33" s="20"/>
      <c r="GJ33" s="20"/>
      <c r="GK33" s="20"/>
      <c r="GL33" s="20"/>
      <c r="GM33" s="20"/>
      <c r="GN33" s="20"/>
      <c r="GO33" s="20"/>
      <c r="GP33" s="20"/>
      <c r="GQ33" s="20"/>
      <c r="GR33" s="20"/>
      <c r="GS33" s="20"/>
      <c r="GT33" s="20"/>
      <c r="GU33" s="20"/>
      <c r="GV33" s="20"/>
      <c r="GW33" s="20"/>
      <c r="GX33" s="20"/>
      <c r="GY33" s="20"/>
      <c r="GZ33" s="20"/>
      <c r="HA33" s="20"/>
      <c r="HB33" s="20"/>
      <c r="HC33" s="20"/>
      <c r="HD33" s="20"/>
      <c r="HE33" s="20"/>
      <c r="HF33" s="20"/>
      <c r="HG33" s="20"/>
      <c r="HH33" s="20"/>
      <c r="HI33" s="20"/>
      <c r="HJ33" s="20"/>
      <c r="HK33" s="20"/>
      <c r="HL33" s="20"/>
      <c r="HM33" s="20"/>
      <c r="HN33" s="20"/>
      <c r="HO33" s="20"/>
      <c r="HP33" s="20"/>
      <c r="HQ33" s="20"/>
      <c r="HR33" s="20"/>
      <c r="HS33" s="20"/>
      <c r="HT33" s="20"/>
      <c r="HU33" s="20"/>
      <c r="HV33" s="20"/>
      <c r="HW33" s="20"/>
      <c r="HX33" s="20"/>
      <c r="HY33" s="20"/>
      <c r="HZ33" s="20"/>
      <c r="IA33" s="20"/>
      <c r="IB33" s="20"/>
      <c r="IC33" s="20"/>
      <c r="ID33" s="20"/>
      <c r="IE33" s="20"/>
      <c r="IF33" s="20"/>
      <c r="IG33" s="20"/>
      <c r="IH33" s="20"/>
      <c r="II33" s="20"/>
      <c r="IJ33" s="20"/>
      <c r="IK33" s="20"/>
      <c r="IL33" s="20"/>
      <c r="IM33" s="20"/>
      <c r="IN33" s="20"/>
      <c r="IO33" s="20"/>
      <c r="IP33" s="20"/>
      <c r="IQ33" s="20"/>
      <c r="IR33" s="20"/>
      <c r="IS33" s="20"/>
      <c r="IT33" s="20"/>
      <c r="IU33" s="20"/>
      <c r="IV33" s="20"/>
      <c r="IW33" s="20"/>
      <c r="IX33" s="20"/>
      <c r="IY33" s="20"/>
      <c r="IZ33" s="20"/>
      <c r="JA33" s="20"/>
      <c r="JB33" s="20"/>
      <c r="JC33" s="20"/>
      <c r="JD33" s="20"/>
      <c r="JE33" s="20"/>
      <c r="JF33" s="20"/>
      <c r="JG33" s="20"/>
      <c r="JH33" s="20"/>
      <c r="JI33" s="20"/>
    </row>
    <row r="34" spans="1:269" ht="17.25" customHeight="1">
      <c r="A34" s="101"/>
      <c r="B34" s="20" t="s">
        <v>112</v>
      </c>
      <c r="C34" s="20" t="s">
        <v>210</v>
      </c>
      <c r="D34" s="83">
        <v>1247454</v>
      </c>
      <c r="E34" s="82">
        <v>8.0000000000000002E-3</v>
      </c>
      <c r="F34" s="82">
        <v>8.3000000000000004E-2</v>
      </c>
      <c r="G34" s="29"/>
      <c r="H34" s="83">
        <v>3933</v>
      </c>
      <c r="I34" s="104">
        <v>7046</v>
      </c>
      <c r="J34" s="29"/>
      <c r="K34" s="83">
        <v>21760</v>
      </c>
      <c r="L34" s="104">
        <v>5450</v>
      </c>
      <c r="M34" s="29"/>
      <c r="N34" s="128">
        <v>0.02</v>
      </c>
      <c r="O34" s="128">
        <v>0.01</v>
      </c>
      <c r="P34" s="29"/>
      <c r="Q34" s="85">
        <v>0</v>
      </c>
      <c r="R34" s="14"/>
      <c r="S34" s="15"/>
      <c r="T34" s="104">
        <v>14032</v>
      </c>
      <c r="U34" s="82">
        <f t="shared" si="3"/>
        <v>0.22786139306965347</v>
      </c>
      <c r="V34" s="29"/>
      <c r="W34" s="83">
        <v>30407</v>
      </c>
      <c r="X34" s="82">
        <v>0.41599999999999998</v>
      </c>
      <c r="Y34" s="29"/>
      <c r="Z34" s="104">
        <v>7853</v>
      </c>
      <c r="AA34" s="82">
        <f t="shared" si="4"/>
        <v>0.43329074648658517</v>
      </c>
      <c r="AB34" s="29"/>
      <c r="AC34" s="83">
        <v>41003</v>
      </c>
      <c r="AD34" s="82">
        <v>0.23599999999999999</v>
      </c>
      <c r="AE34" s="29"/>
      <c r="AF34" s="104">
        <v>10137</v>
      </c>
      <c r="AG34" s="120">
        <f t="shared" si="5"/>
        <v>0.20621132793907662</v>
      </c>
      <c r="AH34" s="128">
        <v>4.04</v>
      </c>
      <c r="AI34" s="128">
        <v>48.9</v>
      </c>
      <c r="AJ34" s="128">
        <v>320</v>
      </c>
      <c r="AK34" s="83">
        <v>1072</v>
      </c>
      <c r="AL34" s="102">
        <v>196</v>
      </c>
      <c r="AM34" s="29"/>
      <c r="AN34" s="83">
        <v>7645</v>
      </c>
      <c r="AO34" s="83">
        <v>22015</v>
      </c>
      <c r="AP34" s="83">
        <v>11343</v>
      </c>
      <c r="AQ34" s="29"/>
      <c r="AR34" s="104">
        <v>1476</v>
      </c>
      <c r="AS34" s="104">
        <v>5471</v>
      </c>
      <c r="AT34" s="104">
        <v>3190</v>
      </c>
      <c r="AU34" s="29"/>
      <c r="AV34" s="83">
        <v>32043</v>
      </c>
      <c r="AW34" s="104">
        <v>7893</v>
      </c>
      <c r="AX34" s="29"/>
      <c r="AY34" s="120">
        <v>0.48499999999999999</v>
      </c>
      <c r="AZ34" s="120">
        <v>2.5000000000000001E-2</v>
      </c>
      <c r="BA34" s="120">
        <v>0.47299999999999998</v>
      </c>
      <c r="BB34" s="82">
        <v>1.7000000000000001E-2</v>
      </c>
      <c r="BC34" s="29"/>
      <c r="BD34" s="128">
        <v>0</v>
      </c>
      <c r="BE34" s="89"/>
      <c r="BF34" s="94"/>
      <c r="BG34" s="128">
        <v>0</v>
      </c>
      <c r="BH34" s="128" t="s">
        <v>208</v>
      </c>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c r="FL34" s="20"/>
      <c r="FM34" s="20"/>
      <c r="FN34" s="20"/>
      <c r="FO34" s="20"/>
      <c r="FP34" s="20"/>
      <c r="FQ34" s="20"/>
      <c r="FR34" s="20"/>
      <c r="FS34" s="20"/>
      <c r="FT34" s="20"/>
      <c r="FU34" s="20"/>
      <c r="FV34" s="20"/>
      <c r="FW34" s="20"/>
      <c r="FX34" s="20"/>
      <c r="FY34" s="20"/>
      <c r="FZ34" s="20"/>
      <c r="GA34" s="20"/>
      <c r="GB34" s="20"/>
      <c r="GC34" s="20"/>
      <c r="GD34" s="20"/>
      <c r="GE34" s="20"/>
      <c r="GF34" s="20"/>
      <c r="GG34" s="20"/>
      <c r="GH34" s="20"/>
      <c r="GI34" s="20"/>
      <c r="GJ34" s="20"/>
      <c r="GK34" s="20"/>
      <c r="GL34" s="20"/>
      <c r="GM34" s="20"/>
      <c r="GN34" s="20"/>
      <c r="GO34" s="20"/>
      <c r="GP34" s="20"/>
      <c r="GQ34" s="20"/>
      <c r="GR34" s="20"/>
      <c r="GS34" s="20"/>
      <c r="GT34" s="20"/>
      <c r="GU34" s="20"/>
      <c r="GV34" s="20"/>
      <c r="GW34" s="20"/>
      <c r="GX34" s="20"/>
      <c r="GY34" s="20"/>
      <c r="GZ34" s="20"/>
      <c r="HA34" s="20"/>
      <c r="HB34" s="20"/>
      <c r="HC34" s="20"/>
      <c r="HD34" s="20"/>
      <c r="HE34" s="20"/>
      <c r="HF34" s="20"/>
      <c r="HG34" s="20"/>
      <c r="HH34" s="20"/>
      <c r="HI34" s="20"/>
      <c r="HJ34" s="20"/>
      <c r="HK34" s="20"/>
      <c r="HL34" s="20"/>
      <c r="HM34" s="20"/>
      <c r="HN34" s="20"/>
      <c r="HO34" s="20"/>
      <c r="HP34" s="20"/>
      <c r="HQ34" s="20"/>
      <c r="HR34" s="20"/>
      <c r="HS34" s="20"/>
      <c r="HT34" s="20"/>
      <c r="HU34" s="20"/>
      <c r="HV34" s="20"/>
      <c r="HW34" s="20"/>
      <c r="HX34" s="20"/>
      <c r="HY34" s="20"/>
      <c r="HZ34" s="20"/>
      <c r="IA34" s="20"/>
      <c r="IB34" s="20"/>
      <c r="IC34" s="20"/>
      <c r="ID34" s="20"/>
      <c r="IE34" s="20"/>
      <c r="IF34" s="20"/>
      <c r="IG34" s="20"/>
      <c r="IH34" s="20"/>
      <c r="II34" s="20"/>
      <c r="IJ34" s="20"/>
      <c r="IK34" s="20"/>
      <c r="IL34" s="20"/>
      <c r="IM34" s="20"/>
      <c r="IN34" s="20"/>
      <c r="IO34" s="20"/>
      <c r="IP34" s="20"/>
      <c r="IQ34" s="20"/>
      <c r="IR34" s="20"/>
      <c r="IS34" s="20"/>
      <c r="IT34" s="20"/>
      <c r="IU34" s="20"/>
      <c r="IV34" s="20"/>
      <c r="IW34" s="20"/>
      <c r="IX34" s="20"/>
      <c r="IY34" s="20"/>
      <c r="IZ34" s="20"/>
      <c r="JA34" s="20"/>
      <c r="JB34" s="20"/>
      <c r="JC34" s="20"/>
      <c r="JD34" s="20"/>
      <c r="JE34" s="20"/>
      <c r="JF34" s="20"/>
      <c r="JG34" s="20"/>
      <c r="JH34" s="20"/>
      <c r="JI34" s="20"/>
    </row>
    <row r="35" spans="1:269" ht="17.25" customHeight="1">
      <c r="A35" s="101"/>
      <c r="B35" s="20" t="s">
        <v>111</v>
      </c>
      <c r="C35" s="20" t="s">
        <v>211</v>
      </c>
      <c r="D35" s="83">
        <v>1256198</v>
      </c>
      <c r="E35" s="82">
        <v>7.0000000000000001E-3</v>
      </c>
      <c r="F35" s="82">
        <v>8.5999999999999993E-2</v>
      </c>
      <c r="G35" s="29"/>
      <c r="H35" s="83">
        <v>3891</v>
      </c>
      <c r="I35" s="104">
        <v>6971</v>
      </c>
      <c r="J35" s="29"/>
      <c r="K35" s="83">
        <v>21910</v>
      </c>
      <c r="L35" s="104">
        <v>5465</v>
      </c>
      <c r="M35" s="29"/>
      <c r="N35" s="128">
        <v>0.02</v>
      </c>
      <c r="O35" s="128">
        <v>0.01</v>
      </c>
      <c r="P35" s="29"/>
      <c r="Q35" s="85">
        <v>0</v>
      </c>
      <c r="R35" s="14"/>
      <c r="S35" s="15"/>
      <c r="T35" s="104">
        <v>15680</v>
      </c>
      <c r="U35" s="82">
        <f t="shared" si="3"/>
        <v>0.11744583808437856</v>
      </c>
      <c r="V35" s="29"/>
      <c r="W35" s="83">
        <v>27461</v>
      </c>
      <c r="X35" s="82">
        <v>-9.7000000000000003E-2</v>
      </c>
      <c r="Y35" s="29"/>
      <c r="Z35" s="104">
        <f>6999</f>
        <v>6999</v>
      </c>
      <c r="AA35" s="82">
        <f t="shared" si="4"/>
        <v>-0.10874824907678594</v>
      </c>
      <c r="AB35" s="29"/>
      <c r="AC35" s="83">
        <v>38856</v>
      </c>
      <c r="AD35" s="82">
        <v>-5.1999999999999998E-2</v>
      </c>
      <c r="AE35" s="29"/>
      <c r="AF35" s="104">
        <v>9649</v>
      </c>
      <c r="AG35" s="120">
        <f t="shared" si="5"/>
        <v>-4.8140475485843937E-2</v>
      </c>
      <c r="AH35" s="128">
        <v>4.03</v>
      </c>
      <c r="AI35" s="84">
        <v>48</v>
      </c>
      <c r="AJ35" s="128">
        <v>319</v>
      </c>
      <c r="AK35" s="83">
        <v>818</v>
      </c>
      <c r="AL35" s="102">
        <v>144</v>
      </c>
      <c r="AM35" s="29"/>
      <c r="AN35" s="83">
        <v>6501</v>
      </c>
      <c r="AO35" s="83">
        <v>20761</v>
      </c>
      <c r="AP35" s="83">
        <v>11594</v>
      </c>
      <c r="AQ35" s="29"/>
      <c r="AR35" s="104">
        <v>1134</v>
      </c>
      <c r="AS35" s="104">
        <v>5240</v>
      </c>
      <c r="AT35" s="104">
        <v>3275</v>
      </c>
      <c r="AU35" s="29"/>
      <c r="AV35" s="83">
        <v>32125</v>
      </c>
      <c r="AW35" s="104">
        <v>8024</v>
      </c>
      <c r="AX35" s="29"/>
      <c r="AY35" s="120">
        <v>0.44500000000000001</v>
      </c>
      <c r="AZ35" s="120">
        <v>2.4E-2</v>
      </c>
      <c r="BA35" s="120">
        <v>0.51200000000000001</v>
      </c>
      <c r="BB35" s="82">
        <v>1.9E-2</v>
      </c>
      <c r="BC35" s="29"/>
      <c r="BD35" s="128">
        <v>0</v>
      </c>
      <c r="BE35" s="89"/>
      <c r="BF35" s="94"/>
      <c r="BG35" s="128">
        <v>0</v>
      </c>
      <c r="BH35" s="128" t="s">
        <v>208</v>
      </c>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c r="FL35" s="20"/>
      <c r="FM35" s="20"/>
      <c r="FN35" s="20"/>
      <c r="FO35" s="20"/>
      <c r="FP35" s="20"/>
      <c r="FQ35" s="20"/>
      <c r="FR35" s="20"/>
      <c r="FS35" s="20"/>
      <c r="FT35" s="20"/>
      <c r="FU35" s="20"/>
      <c r="FV35" s="20"/>
      <c r="FW35" s="20"/>
      <c r="FX35" s="20"/>
      <c r="FY35" s="20"/>
      <c r="FZ35" s="20"/>
      <c r="GA35" s="20"/>
      <c r="GB35" s="20"/>
      <c r="GC35" s="20"/>
      <c r="GD35" s="20"/>
      <c r="GE35" s="20"/>
      <c r="GF35" s="20"/>
      <c r="GG35" s="20"/>
      <c r="GH35" s="20"/>
      <c r="GI35" s="20"/>
      <c r="GJ35" s="20"/>
      <c r="GK35" s="20"/>
      <c r="GL35" s="20"/>
      <c r="GM35" s="20"/>
      <c r="GN35" s="20"/>
      <c r="GO35" s="20"/>
      <c r="GP35" s="20"/>
      <c r="GQ35" s="20"/>
      <c r="GR35" s="20"/>
      <c r="GS35" s="20"/>
      <c r="GT35" s="20"/>
      <c r="GU35" s="20"/>
      <c r="GV35" s="20"/>
      <c r="GW35" s="20"/>
      <c r="GX35" s="20"/>
      <c r="GY35" s="20"/>
      <c r="GZ35" s="20"/>
      <c r="HA35" s="20"/>
      <c r="HB35" s="20"/>
      <c r="HC35" s="20"/>
      <c r="HD35" s="20"/>
      <c r="HE35" s="20"/>
      <c r="HF35" s="20"/>
      <c r="HG35" s="20"/>
      <c r="HH35" s="20"/>
      <c r="HI35" s="20"/>
      <c r="HJ35" s="20"/>
      <c r="HK35" s="20"/>
      <c r="HL35" s="20"/>
      <c r="HM35" s="20"/>
      <c r="HN35" s="20"/>
      <c r="HO35" s="20"/>
      <c r="HP35" s="20"/>
      <c r="HQ35" s="20"/>
      <c r="HR35" s="20"/>
      <c r="HS35" s="20"/>
      <c r="HT35" s="20"/>
      <c r="HU35" s="20"/>
      <c r="HV35" s="20"/>
      <c r="HW35" s="20"/>
      <c r="HX35" s="20"/>
      <c r="HY35" s="20"/>
      <c r="HZ35" s="20"/>
      <c r="IA35" s="20"/>
      <c r="IB35" s="20"/>
      <c r="IC35" s="20"/>
      <c r="ID35" s="20"/>
      <c r="IE35" s="20"/>
      <c r="IF35" s="20"/>
      <c r="IG35" s="20"/>
      <c r="IH35" s="20"/>
      <c r="II35" s="20"/>
      <c r="IJ35" s="20"/>
      <c r="IK35" s="20"/>
      <c r="IL35" s="20"/>
      <c r="IM35" s="20"/>
      <c r="IN35" s="20"/>
      <c r="IO35" s="20"/>
      <c r="IP35" s="20"/>
      <c r="IQ35" s="20"/>
      <c r="IR35" s="20"/>
      <c r="IS35" s="20"/>
      <c r="IT35" s="20"/>
      <c r="IU35" s="20"/>
      <c r="IV35" s="20"/>
      <c r="IW35" s="20"/>
      <c r="IX35" s="20"/>
      <c r="IY35" s="20"/>
      <c r="IZ35" s="20"/>
      <c r="JA35" s="20"/>
      <c r="JB35" s="20"/>
      <c r="JC35" s="20"/>
      <c r="JD35" s="20"/>
      <c r="JE35" s="20"/>
      <c r="JF35" s="20"/>
      <c r="JG35" s="20"/>
      <c r="JH35" s="20"/>
      <c r="JI35" s="20"/>
    </row>
    <row r="36" spans="1:269" ht="17.25" customHeight="1">
      <c r="A36" s="101"/>
      <c r="B36" s="20" t="s">
        <v>110</v>
      </c>
      <c r="C36" s="20" t="s">
        <v>212</v>
      </c>
      <c r="D36" s="83">
        <v>1267264</v>
      </c>
      <c r="E36" s="82">
        <v>8.9999999999999993E-3</v>
      </c>
      <c r="F36" s="82">
        <v>8.6999999999999994E-2</v>
      </c>
      <c r="G36" s="29"/>
      <c r="H36" s="83">
        <v>3851</v>
      </c>
      <c r="I36" s="104">
        <v>6874</v>
      </c>
      <c r="J36" s="29"/>
      <c r="K36" s="83">
        <v>22093</v>
      </c>
      <c r="L36" s="104">
        <v>5474</v>
      </c>
      <c r="M36" s="29"/>
      <c r="N36" s="128">
        <v>0.02</v>
      </c>
      <c r="O36" s="128">
        <v>0.01</v>
      </c>
      <c r="P36" s="29"/>
      <c r="Q36" s="85">
        <v>0</v>
      </c>
      <c r="R36" s="14"/>
      <c r="S36" s="15"/>
      <c r="T36" s="104">
        <v>14777</v>
      </c>
      <c r="U36" s="82">
        <f t="shared" si="3"/>
        <v>-5.7589285714285711E-2</v>
      </c>
      <c r="V36" s="29"/>
      <c r="W36" s="83">
        <v>32348</v>
      </c>
      <c r="X36" s="82">
        <v>0.17799999999999999</v>
      </c>
      <c r="Y36" s="29"/>
      <c r="Z36" s="104">
        <v>8059</v>
      </c>
      <c r="AA36" s="82">
        <f t="shared" si="4"/>
        <v>0.15145020717245319</v>
      </c>
      <c r="AB36" s="29"/>
      <c r="AC36" s="83">
        <v>44628</v>
      </c>
      <c r="AD36" s="82">
        <v>0.14899999999999999</v>
      </c>
      <c r="AE36" s="29"/>
      <c r="AF36" s="104">
        <v>11182</v>
      </c>
      <c r="AG36" s="120">
        <f t="shared" si="5"/>
        <v>0.15887656751995025</v>
      </c>
      <c r="AH36" s="85">
        <v>3.99</v>
      </c>
      <c r="AI36" s="128">
        <v>47.2</v>
      </c>
      <c r="AJ36" s="128">
        <v>318</v>
      </c>
      <c r="AK36" s="83">
        <v>985</v>
      </c>
      <c r="AL36" s="102">
        <v>182</v>
      </c>
      <c r="AM36" s="29"/>
      <c r="AN36" s="83">
        <v>6366</v>
      </c>
      <c r="AO36" s="83">
        <v>24207</v>
      </c>
      <c r="AP36" s="83">
        <v>14055</v>
      </c>
      <c r="AQ36" s="29"/>
      <c r="AR36" s="104">
        <v>1173</v>
      </c>
      <c r="AS36" s="104">
        <v>6010</v>
      </c>
      <c r="AT36" s="104">
        <v>3999</v>
      </c>
      <c r="AU36" s="29"/>
      <c r="AV36" s="83">
        <v>36542</v>
      </c>
      <c r="AW36" s="104">
        <v>9176</v>
      </c>
      <c r="AX36" s="29"/>
      <c r="AY36" s="120">
        <v>0.64500000000000002</v>
      </c>
      <c r="AZ36" s="120">
        <v>2.1999999999999999E-2</v>
      </c>
      <c r="BA36" s="120">
        <v>0.313</v>
      </c>
      <c r="BB36" s="86">
        <v>0.02</v>
      </c>
      <c r="BC36" s="29"/>
      <c r="BD36" s="128">
        <v>0</v>
      </c>
      <c r="BE36" s="89"/>
      <c r="BF36" s="94"/>
      <c r="BG36" s="128">
        <v>0</v>
      </c>
      <c r="BH36" s="128" t="s">
        <v>208</v>
      </c>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0"/>
      <c r="DN36" s="20"/>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c r="FY36" s="20"/>
      <c r="FZ36" s="20"/>
      <c r="GA36" s="20"/>
      <c r="GB36" s="20"/>
      <c r="GC36" s="20"/>
      <c r="GD36" s="20"/>
      <c r="GE36" s="20"/>
      <c r="GF36" s="20"/>
      <c r="GG36" s="20"/>
      <c r="GH36" s="20"/>
      <c r="GI36" s="20"/>
      <c r="GJ36" s="20"/>
      <c r="GK36" s="20"/>
      <c r="GL36" s="20"/>
      <c r="GM36" s="20"/>
      <c r="GN36" s="20"/>
      <c r="GO36" s="20"/>
      <c r="GP36" s="20"/>
      <c r="GQ36" s="20"/>
      <c r="GR36" s="20"/>
      <c r="GS36" s="20"/>
      <c r="GT36" s="20"/>
      <c r="GU36" s="20"/>
      <c r="GV36" s="20"/>
      <c r="GW36" s="20"/>
      <c r="GX36" s="20"/>
      <c r="GY36" s="20"/>
      <c r="GZ36" s="20"/>
      <c r="HA36" s="20"/>
      <c r="HB36" s="20"/>
      <c r="HC36" s="20"/>
      <c r="HD36" s="20"/>
      <c r="HE36" s="20"/>
      <c r="HF36" s="20"/>
      <c r="HG36" s="20"/>
      <c r="HH36" s="20"/>
      <c r="HI36" s="20"/>
      <c r="HJ36" s="20"/>
      <c r="HK36" s="20"/>
      <c r="HL36" s="20"/>
      <c r="HM36" s="20"/>
      <c r="HN36" s="20"/>
      <c r="HO36" s="20"/>
      <c r="HP36" s="20"/>
      <c r="HQ36" s="20"/>
      <c r="HR36" s="20"/>
      <c r="HS36" s="20"/>
      <c r="HT36" s="20"/>
      <c r="HU36" s="20"/>
      <c r="HV36" s="20"/>
      <c r="HW36" s="20"/>
      <c r="HX36" s="20"/>
      <c r="HY36" s="20"/>
      <c r="HZ36" s="20"/>
      <c r="IA36" s="20"/>
      <c r="IB36" s="20"/>
      <c r="IC36" s="20"/>
      <c r="ID36" s="20"/>
      <c r="IE36" s="20"/>
      <c r="IF36" s="20"/>
      <c r="IG36" s="20"/>
      <c r="IH36" s="20"/>
      <c r="II36" s="20"/>
      <c r="IJ36" s="20"/>
      <c r="IK36" s="20"/>
      <c r="IL36" s="20"/>
      <c r="IM36" s="20"/>
      <c r="IN36" s="20"/>
      <c r="IO36" s="20"/>
      <c r="IP36" s="20"/>
      <c r="IQ36" s="20"/>
      <c r="IR36" s="20"/>
      <c r="IS36" s="20"/>
      <c r="IT36" s="20"/>
      <c r="IU36" s="20"/>
      <c r="IV36" s="20"/>
      <c r="IW36" s="20"/>
      <c r="IX36" s="20"/>
      <c r="IY36" s="20"/>
      <c r="IZ36" s="20"/>
      <c r="JA36" s="20"/>
      <c r="JB36" s="20"/>
      <c r="JC36" s="20"/>
      <c r="JD36" s="20"/>
      <c r="JE36" s="20"/>
      <c r="JF36" s="20"/>
      <c r="JG36" s="20"/>
      <c r="JH36" s="20"/>
      <c r="JI36" s="20"/>
    </row>
    <row r="37" spans="1:269" ht="17.25" customHeight="1">
      <c r="A37" s="101"/>
      <c r="B37" s="20" t="s">
        <v>61</v>
      </c>
      <c r="C37" s="20" t="s">
        <v>213</v>
      </c>
      <c r="D37" s="83">
        <v>1280184</v>
      </c>
      <c r="E37" s="82">
        <v>0.01</v>
      </c>
      <c r="F37" s="82">
        <v>8.7999999999999995E-2</v>
      </c>
      <c r="G37" s="29"/>
      <c r="H37" s="83">
        <v>3851</v>
      </c>
      <c r="I37" s="104">
        <v>6798</v>
      </c>
      <c r="J37" s="29"/>
      <c r="K37" s="83">
        <v>22129</v>
      </c>
      <c r="L37" s="104">
        <v>5452</v>
      </c>
      <c r="M37" s="29"/>
      <c r="N37" s="128">
        <v>0.02</v>
      </c>
      <c r="O37" s="128">
        <v>0.01</v>
      </c>
      <c r="P37" s="29"/>
      <c r="Q37" s="85">
        <v>0</v>
      </c>
      <c r="R37" s="14"/>
      <c r="S37" s="15"/>
      <c r="T37" s="104">
        <v>14860</v>
      </c>
      <c r="U37" s="82">
        <f t="shared" si="3"/>
        <v>5.6168369763822156E-3</v>
      </c>
      <c r="V37" s="29"/>
      <c r="W37" s="83">
        <v>35526</v>
      </c>
      <c r="X37" s="82">
        <v>9.8000000000000004E-2</v>
      </c>
      <c r="Y37" s="29"/>
      <c r="Z37" s="104">
        <v>9001</v>
      </c>
      <c r="AA37" s="82">
        <f t="shared" si="4"/>
        <v>0.11688795135872937</v>
      </c>
      <c r="AB37" s="29"/>
      <c r="AC37" s="83">
        <v>42302</v>
      </c>
      <c r="AD37" s="82">
        <v>-5.1999999999999998E-2</v>
      </c>
      <c r="AE37" s="29"/>
      <c r="AF37" s="104">
        <v>10362</v>
      </c>
      <c r="AG37" s="120">
        <f t="shared" si="5"/>
        <v>-7.3332140940797708E-2</v>
      </c>
      <c r="AH37" s="128">
        <v>4.08</v>
      </c>
      <c r="AI37" s="84">
        <v>46.9</v>
      </c>
      <c r="AJ37" s="128">
        <v>317</v>
      </c>
      <c r="AK37" s="83">
        <v>954</v>
      </c>
      <c r="AL37" s="102">
        <v>186</v>
      </c>
      <c r="AM37" s="29"/>
      <c r="AN37" s="83">
        <v>5609</v>
      </c>
      <c r="AO37" s="83">
        <v>24092</v>
      </c>
      <c r="AP37" s="83">
        <v>12601</v>
      </c>
      <c r="AQ37" s="29"/>
      <c r="AR37" s="104">
        <v>1058</v>
      </c>
      <c r="AS37" s="104">
        <v>5761</v>
      </c>
      <c r="AT37" s="104">
        <v>3543</v>
      </c>
      <c r="AU37" s="29"/>
      <c r="AV37" s="83">
        <v>34787</v>
      </c>
      <c r="AW37" s="104">
        <v>8395</v>
      </c>
      <c r="AX37" s="29"/>
      <c r="AY37" s="120">
        <v>0.89200000000000002</v>
      </c>
      <c r="AZ37" s="120">
        <v>2.5000000000000001E-2</v>
      </c>
      <c r="BA37" s="120">
        <v>5.8999999999999997E-2</v>
      </c>
      <c r="BB37" s="82">
        <v>2.4E-2</v>
      </c>
      <c r="BC37" s="29"/>
      <c r="BD37" s="128">
        <v>0</v>
      </c>
      <c r="BE37" s="89"/>
      <c r="BF37" s="94"/>
      <c r="BG37" s="128">
        <v>0</v>
      </c>
      <c r="BH37" s="128" t="s">
        <v>208</v>
      </c>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0"/>
      <c r="DC37" s="20"/>
      <c r="DD37" s="20"/>
      <c r="DE37" s="20"/>
      <c r="DF37" s="20"/>
      <c r="DG37" s="20"/>
      <c r="DH37" s="20"/>
      <c r="DI37" s="20"/>
      <c r="DJ37" s="20"/>
      <c r="DK37" s="20"/>
      <c r="DL37" s="20"/>
      <c r="DM37" s="20"/>
      <c r="DN37" s="20"/>
      <c r="DO37" s="20"/>
      <c r="DP37" s="20"/>
      <c r="DQ37" s="20"/>
      <c r="DR37" s="20"/>
      <c r="DS37" s="20"/>
      <c r="DT37" s="20"/>
      <c r="DU37" s="20"/>
      <c r="DV37" s="20"/>
      <c r="DW37" s="20"/>
      <c r="DX37" s="20"/>
      <c r="DY37" s="20"/>
      <c r="DZ37" s="20"/>
      <c r="EA37" s="20"/>
      <c r="EB37" s="20"/>
      <c r="EC37" s="20"/>
      <c r="ED37" s="20"/>
      <c r="EE37" s="20"/>
      <c r="EF37" s="20"/>
      <c r="EG37" s="20"/>
      <c r="EH37" s="20"/>
      <c r="EI37" s="20"/>
      <c r="EJ37" s="20"/>
      <c r="EK37" s="20"/>
      <c r="EL37" s="20"/>
      <c r="EM37" s="20"/>
      <c r="EN37" s="20"/>
      <c r="EO37" s="20"/>
      <c r="EP37" s="20"/>
      <c r="EQ37" s="20"/>
      <c r="ER37" s="20"/>
      <c r="ES37" s="20"/>
      <c r="ET37" s="20"/>
      <c r="EU37" s="20"/>
      <c r="EV37" s="20"/>
      <c r="EW37" s="20"/>
      <c r="EX37" s="20"/>
      <c r="EY37" s="20"/>
      <c r="EZ37" s="20"/>
      <c r="FA37" s="20"/>
      <c r="FB37" s="20"/>
      <c r="FC37" s="20"/>
      <c r="FD37" s="20"/>
      <c r="FE37" s="20"/>
      <c r="FF37" s="20"/>
      <c r="FG37" s="20"/>
      <c r="FH37" s="20"/>
      <c r="FI37" s="20"/>
      <c r="FJ37" s="20"/>
      <c r="FK37" s="20"/>
      <c r="FL37" s="20"/>
      <c r="FM37" s="20"/>
      <c r="FN37" s="20"/>
      <c r="FO37" s="20"/>
      <c r="FP37" s="20"/>
      <c r="FQ37" s="20"/>
      <c r="FR37" s="20"/>
      <c r="FS37" s="20"/>
      <c r="FT37" s="20"/>
      <c r="FU37" s="20"/>
      <c r="FV37" s="20"/>
      <c r="FW37" s="20"/>
      <c r="FX37" s="20"/>
      <c r="FY37" s="20"/>
      <c r="FZ37" s="20"/>
      <c r="GA37" s="20"/>
      <c r="GB37" s="20"/>
      <c r="GC37" s="20"/>
      <c r="GD37" s="20"/>
      <c r="GE37" s="20"/>
      <c r="GF37" s="20"/>
      <c r="GG37" s="20"/>
      <c r="GH37" s="20"/>
      <c r="GI37" s="20"/>
      <c r="GJ37" s="20"/>
      <c r="GK37" s="20"/>
      <c r="GL37" s="20"/>
      <c r="GM37" s="20"/>
      <c r="GN37" s="20"/>
      <c r="GO37" s="20"/>
      <c r="GP37" s="20"/>
      <c r="GQ37" s="20"/>
      <c r="GR37" s="20"/>
      <c r="GS37" s="20"/>
      <c r="GT37" s="20"/>
      <c r="GU37" s="20"/>
      <c r="GV37" s="20"/>
      <c r="GW37" s="20"/>
      <c r="GX37" s="20"/>
      <c r="GY37" s="20"/>
      <c r="GZ37" s="20"/>
      <c r="HA37" s="20"/>
      <c r="HB37" s="20"/>
      <c r="HC37" s="20"/>
      <c r="HD37" s="20"/>
      <c r="HE37" s="20"/>
      <c r="HF37" s="20"/>
      <c r="HG37" s="20"/>
      <c r="HH37" s="20"/>
      <c r="HI37" s="20"/>
      <c r="HJ37" s="20"/>
      <c r="HK37" s="20"/>
      <c r="HL37" s="20"/>
      <c r="HM37" s="20"/>
      <c r="HN37" s="20"/>
      <c r="HO37" s="20"/>
      <c r="HP37" s="20"/>
      <c r="HQ37" s="20"/>
      <c r="HR37" s="20"/>
      <c r="HS37" s="20"/>
      <c r="HT37" s="20"/>
      <c r="HU37" s="20"/>
      <c r="HV37" s="20"/>
      <c r="HW37" s="20"/>
      <c r="HX37" s="20"/>
      <c r="HY37" s="20"/>
      <c r="HZ37" s="20"/>
      <c r="IA37" s="20"/>
      <c r="IB37" s="20"/>
      <c r="IC37" s="20"/>
      <c r="ID37" s="20"/>
      <c r="IE37" s="20"/>
      <c r="IF37" s="20"/>
      <c r="IG37" s="20"/>
      <c r="IH37" s="20"/>
      <c r="II37" s="20"/>
      <c r="IJ37" s="20"/>
      <c r="IK37" s="20"/>
      <c r="IL37" s="20"/>
      <c r="IM37" s="20"/>
      <c r="IN37" s="20"/>
      <c r="IO37" s="20"/>
      <c r="IP37" s="20"/>
      <c r="IQ37" s="20"/>
      <c r="IR37" s="20"/>
      <c r="IS37" s="20"/>
      <c r="IT37" s="20"/>
      <c r="IU37" s="20"/>
      <c r="IV37" s="20"/>
      <c r="IW37" s="20"/>
      <c r="IX37" s="20"/>
      <c r="IY37" s="20"/>
      <c r="IZ37" s="20"/>
      <c r="JA37" s="20"/>
      <c r="JB37" s="20"/>
      <c r="JC37" s="20"/>
      <c r="JD37" s="20"/>
      <c r="JE37" s="20"/>
      <c r="JF37" s="20"/>
      <c r="JG37" s="20"/>
      <c r="JH37" s="20"/>
      <c r="JI37" s="20"/>
    </row>
    <row r="38" spans="1:269" ht="17.25" customHeight="1">
      <c r="A38" s="101"/>
      <c r="B38" s="20" t="s">
        <v>120</v>
      </c>
      <c r="C38" s="20" t="s">
        <v>214</v>
      </c>
      <c r="D38" s="83">
        <v>1290403</v>
      </c>
      <c r="E38" s="82">
        <v>8.0000000000000002E-3</v>
      </c>
      <c r="F38" s="82">
        <v>8.5999999999999993E-2</v>
      </c>
      <c r="G38" s="29"/>
      <c r="H38" s="83">
        <v>3835</v>
      </c>
      <c r="I38" s="104">
        <v>6710</v>
      </c>
      <c r="J38" s="29"/>
      <c r="K38" s="83">
        <v>22090</v>
      </c>
      <c r="L38" s="104">
        <v>5428</v>
      </c>
      <c r="M38" s="29"/>
      <c r="N38" s="128">
        <v>0.02</v>
      </c>
      <c r="O38" s="128">
        <v>0.01</v>
      </c>
      <c r="P38" s="29"/>
      <c r="Q38" s="85">
        <v>0</v>
      </c>
      <c r="R38" s="14"/>
      <c r="S38" s="15"/>
      <c r="T38" s="104">
        <v>14416</v>
      </c>
      <c r="U38" s="86">
        <f t="shared" si="3"/>
        <v>-2.9878869448183042E-2</v>
      </c>
      <c r="V38" s="29"/>
      <c r="W38" s="83">
        <v>31564</v>
      </c>
      <c r="X38" s="82">
        <v>-0.112</v>
      </c>
      <c r="Y38" s="29"/>
      <c r="Z38" s="104">
        <v>7886</v>
      </c>
      <c r="AA38" s="82">
        <f t="shared" si="4"/>
        <v>-0.12387512498611265</v>
      </c>
      <c r="AB38" s="29"/>
      <c r="AC38" s="83">
        <v>45824</v>
      </c>
      <c r="AD38" s="82">
        <v>8.3000000000000004E-2</v>
      </c>
      <c r="AE38" s="29"/>
      <c r="AF38" s="104">
        <v>11090</v>
      </c>
      <c r="AG38" s="120">
        <f t="shared" si="5"/>
        <v>7.0256707199382359E-2</v>
      </c>
      <c r="AH38" s="128">
        <v>4.13</v>
      </c>
      <c r="AI38" s="128">
        <v>46.9</v>
      </c>
      <c r="AJ38" s="128">
        <v>319</v>
      </c>
      <c r="AK38" s="83">
        <v>1562</v>
      </c>
      <c r="AL38" s="102">
        <v>306</v>
      </c>
      <c r="AM38" s="29"/>
      <c r="AN38" s="83">
        <v>7955</v>
      </c>
      <c r="AO38" s="83">
        <v>23815</v>
      </c>
      <c r="AP38" s="83">
        <v>14054</v>
      </c>
      <c r="AQ38" s="29"/>
      <c r="AR38" s="104">
        <v>1573</v>
      </c>
      <c r="AS38" s="104">
        <v>5748</v>
      </c>
      <c r="AT38" s="104">
        <v>3769</v>
      </c>
      <c r="AU38" s="29"/>
      <c r="AV38" s="83">
        <v>38059</v>
      </c>
      <c r="AW38" s="104">
        <v>9213</v>
      </c>
      <c r="AX38" s="29"/>
      <c r="AY38" s="120">
        <v>0.94599999999999995</v>
      </c>
      <c r="AZ38" s="121">
        <v>0.03</v>
      </c>
      <c r="BA38" s="120">
        <v>3.0000000000000001E-3</v>
      </c>
      <c r="BB38" s="82">
        <v>2.1000000000000001E-2</v>
      </c>
      <c r="BC38" s="29"/>
      <c r="BD38" s="128">
        <v>0</v>
      </c>
      <c r="BE38" s="89"/>
      <c r="BF38" s="94"/>
      <c r="BG38" s="128">
        <v>0</v>
      </c>
      <c r="BH38" s="128" t="s">
        <v>208</v>
      </c>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20"/>
      <c r="DM38" s="20"/>
      <c r="DN38" s="20"/>
      <c r="DO38" s="20"/>
      <c r="DP38" s="20"/>
      <c r="DQ38" s="20"/>
      <c r="DR38" s="20"/>
      <c r="DS38" s="20"/>
      <c r="DT38" s="20"/>
      <c r="DU38" s="20"/>
      <c r="DV38" s="20"/>
      <c r="DW38" s="20"/>
      <c r="DX38" s="20"/>
      <c r="DY38" s="20"/>
      <c r="DZ38" s="20"/>
      <c r="EA38" s="20"/>
      <c r="EB38" s="20"/>
      <c r="EC38" s="20"/>
      <c r="ED38" s="20"/>
      <c r="EE38" s="20"/>
      <c r="EF38" s="20"/>
      <c r="EG38" s="20"/>
      <c r="EH38" s="20"/>
      <c r="EI38" s="20"/>
      <c r="EJ38" s="20"/>
      <c r="EK38" s="20"/>
      <c r="EL38" s="20"/>
      <c r="EM38" s="20"/>
      <c r="EN38" s="20"/>
      <c r="EO38" s="20"/>
      <c r="EP38" s="20"/>
      <c r="EQ38" s="20"/>
      <c r="ER38" s="20"/>
      <c r="ES38" s="20"/>
      <c r="ET38" s="20"/>
      <c r="EU38" s="20"/>
      <c r="EV38" s="20"/>
      <c r="EW38" s="20"/>
      <c r="EX38" s="20"/>
      <c r="EY38" s="20"/>
      <c r="EZ38" s="20"/>
      <c r="FA38" s="20"/>
      <c r="FB38" s="20"/>
      <c r="FC38" s="20"/>
      <c r="FD38" s="20"/>
      <c r="FE38" s="20"/>
      <c r="FF38" s="20"/>
      <c r="FG38" s="20"/>
      <c r="FH38" s="20"/>
      <c r="FI38" s="20"/>
      <c r="FJ38" s="20"/>
      <c r="FK38" s="20"/>
      <c r="FL38" s="20"/>
      <c r="FM38" s="20"/>
      <c r="FN38" s="20"/>
      <c r="FO38" s="20"/>
      <c r="FP38" s="20"/>
      <c r="FQ38" s="20"/>
      <c r="FR38" s="20"/>
      <c r="FS38" s="20"/>
      <c r="FT38" s="20"/>
      <c r="FU38" s="20"/>
      <c r="FV38" s="20"/>
      <c r="FW38" s="20"/>
      <c r="FX38" s="20"/>
      <c r="FY38" s="20"/>
      <c r="FZ38" s="20"/>
      <c r="GA38" s="20"/>
      <c r="GB38" s="20"/>
      <c r="GC38" s="20"/>
      <c r="GD38" s="20"/>
      <c r="GE38" s="20"/>
      <c r="GF38" s="20"/>
      <c r="GG38" s="20"/>
      <c r="GH38" s="20"/>
      <c r="GI38" s="20"/>
      <c r="GJ38" s="20"/>
      <c r="GK38" s="20"/>
      <c r="GL38" s="20"/>
      <c r="GM38" s="20"/>
      <c r="GN38" s="20"/>
      <c r="GO38" s="20"/>
      <c r="GP38" s="20"/>
      <c r="GQ38" s="20"/>
      <c r="GR38" s="20"/>
      <c r="GS38" s="20"/>
      <c r="GT38" s="20"/>
      <c r="GU38" s="20"/>
      <c r="GV38" s="20"/>
      <c r="GW38" s="20"/>
      <c r="GX38" s="20"/>
      <c r="GY38" s="20"/>
      <c r="GZ38" s="20"/>
      <c r="HA38" s="20"/>
      <c r="HB38" s="20"/>
      <c r="HC38" s="20"/>
      <c r="HD38" s="20"/>
      <c r="HE38" s="20"/>
      <c r="HF38" s="20"/>
      <c r="HG38" s="20"/>
      <c r="HH38" s="20"/>
      <c r="HI38" s="20"/>
      <c r="HJ38" s="20"/>
      <c r="HK38" s="20"/>
      <c r="HL38" s="20"/>
      <c r="HM38" s="20"/>
      <c r="HN38" s="20"/>
      <c r="HO38" s="20"/>
      <c r="HP38" s="20"/>
      <c r="HQ38" s="20"/>
      <c r="HR38" s="20"/>
      <c r="HS38" s="20"/>
      <c r="HT38" s="20"/>
      <c r="HU38" s="20"/>
      <c r="HV38" s="20"/>
      <c r="HW38" s="20"/>
      <c r="HX38" s="20"/>
      <c r="HY38" s="20"/>
      <c r="HZ38" s="20"/>
      <c r="IA38" s="20"/>
      <c r="IB38" s="20"/>
      <c r="IC38" s="20"/>
      <c r="ID38" s="20"/>
      <c r="IE38" s="20"/>
      <c r="IF38" s="20"/>
      <c r="IG38" s="20"/>
      <c r="IH38" s="20"/>
      <c r="II38" s="20"/>
      <c r="IJ38" s="20"/>
      <c r="IK38" s="20"/>
      <c r="IL38" s="20"/>
      <c r="IM38" s="20"/>
      <c r="IN38" s="20"/>
      <c r="IO38" s="20"/>
      <c r="IP38" s="20"/>
      <c r="IQ38" s="20"/>
      <c r="IR38" s="20"/>
      <c r="IS38" s="20"/>
      <c r="IT38" s="20"/>
      <c r="IU38" s="20"/>
      <c r="IV38" s="20"/>
      <c r="IW38" s="20"/>
      <c r="IX38" s="20"/>
      <c r="IY38" s="20"/>
      <c r="IZ38" s="20"/>
      <c r="JA38" s="20"/>
      <c r="JB38" s="20"/>
      <c r="JC38" s="20"/>
      <c r="JD38" s="20"/>
      <c r="JE38" s="20"/>
      <c r="JF38" s="20"/>
      <c r="JG38" s="20"/>
      <c r="JH38" s="20"/>
      <c r="JI38" s="20"/>
    </row>
    <row r="39" spans="1:269" ht="17.25" customHeight="1">
      <c r="A39" s="101"/>
      <c r="B39" s="20" t="s">
        <v>119</v>
      </c>
      <c r="C39" s="20" t="s">
        <v>215</v>
      </c>
      <c r="D39" s="83">
        <v>1301441</v>
      </c>
      <c r="E39" s="82">
        <v>8.9999999999999993E-3</v>
      </c>
      <c r="F39" s="82">
        <v>8.8999999999999996E-2</v>
      </c>
      <c r="G39" s="29"/>
      <c r="H39" s="83">
        <v>3825</v>
      </c>
      <c r="I39" s="104">
        <v>6636</v>
      </c>
      <c r="J39" s="29"/>
      <c r="K39" s="83">
        <v>22005</v>
      </c>
      <c r="L39" s="104">
        <v>5382</v>
      </c>
      <c r="M39" s="29"/>
      <c r="N39" s="128">
        <v>0.02</v>
      </c>
      <c r="O39" s="128">
        <v>0.01</v>
      </c>
      <c r="P39" s="29"/>
      <c r="Q39" s="85">
        <v>0</v>
      </c>
      <c r="R39" s="14"/>
      <c r="S39" s="15"/>
      <c r="T39" s="104">
        <v>18254</v>
      </c>
      <c r="U39" s="82">
        <f t="shared" si="3"/>
        <v>0.26623196448390679</v>
      </c>
      <c r="V39" s="29"/>
      <c r="W39" s="83">
        <v>33553</v>
      </c>
      <c r="X39" s="82">
        <v>6.3E-2</v>
      </c>
      <c r="Y39" s="29"/>
      <c r="Z39" s="104">
        <v>8484</v>
      </c>
      <c r="AA39" s="82">
        <f t="shared" si="4"/>
        <v>7.5830585848338822E-2</v>
      </c>
      <c r="AB39" s="29"/>
      <c r="AC39" s="83">
        <v>49190</v>
      </c>
      <c r="AD39" s="82">
        <v>7.2999999999999995E-2</v>
      </c>
      <c r="AE39" s="29"/>
      <c r="AF39" s="104">
        <v>12003</v>
      </c>
      <c r="AG39" s="120">
        <f t="shared" si="5"/>
        <v>8.2326420198376909E-2</v>
      </c>
      <c r="AH39" s="128">
        <v>4.0999999999999996</v>
      </c>
      <c r="AI39" s="128">
        <v>45.3</v>
      </c>
      <c r="AJ39" s="128">
        <v>321</v>
      </c>
      <c r="AK39" s="83">
        <v>1849</v>
      </c>
      <c r="AL39" s="102">
        <v>346</v>
      </c>
      <c r="AM39" s="29"/>
      <c r="AN39" s="83">
        <v>9444</v>
      </c>
      <c r="AO39" s="83">
        <v>20916</v>
      </c>
      <c r="AP39" s="83">
        <v>18829</v>
      </c>
      <c r="AQ39" s="29"/>
      <c r="AR39" s="104">
        <v>1925</v>
      </c>
      <c r="AS39" s="104">
        <v>4977</v>
      </c>
      <c r="AT39" s="104">
        <v>5101</v>
      </c>
      <c r="AU39" s="29"/>
      <c r="AV39" s="83">
        <v>41205</v>
      </c>
      <c r="AW39" s="104">
        <v>9960</v>
      </c>
      <c r="AX39" s="29"/>
      <c r="AY39" s="120">
        <v>0.93600000000000005</v>
      </c>
      <c r="AZ39" s="120">
        <v>4.5999999999999999E-2</v>
      </c>
      <c r="BA39" s="120">
        <v>2E-3</v>
      </c>
      <c r="BB39" s="82">
        <v>1.6E-2</v>
      </c>
      <c r="BC39" s="29"/>
      <c r="BD39" s="128">
        <v>0</v>
      </c>
      <c r="BE39" s="89"/>
      <c r="BF39" s="94"/>
      <c r="BG39" s="128">
        <v>0</v>
      </c>
      <c r="BH39" s="128" t="s">
        <v>208</v>
      </c>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c r="DV39" s="20"/>
      <c r="DW39" s="20"/>
      <c r="DX39" s="20"/>
      <c r="DY39" s="20"/>
      <c r="DZ39" s="20"/>
      <c r="EA39" s="20"/>
      <c r="EB39" s="20"/>
      <c r="EC39" s="20"/>
      <c r="ED39" s="20"/>
      <c r="EE39" s="20"/>
      <c r="EF39" s="20"/>
      <c r="EG39" s="20"/>
      <c r="EH39" s="20"/>
      <c r="EI39" s="20"/>
      <c r="EJ39" s="20"/>
      <c r="EK39" s="20"/>
      <c r="EL39" s="20"/>
      <c r="EM39" s="20"/>
      <c r="EN39" s="20"/>
      <c r="EO39" s="20"/>
      <c r="EP39" s="20"/>
      <c r="EQ39" s="20"/>
      <c r="ER39" s="20"/>
      <c r="ES39" s="20"/>
      <c r="ET39" s="20"/>
      <c r="EU39" s="20"/>
      <c r="EV39" s="20"/>
      <c r="EW39" s="20"/>
      <c r="EX39" s="20"/>
      <c r="EY39" s="20"/>
      <c r="EZ39" s="20"/>
      <c r="FA39" s="20"/>
      <c r="FB39" s="20"/>
      <c r="FC39" s="20"/>
      <c r="FD39" s="20"/>
      <c r="FE39" s="20"/>
      <c r="FF39" s="20"/>
      <c r="FG39" s="20"/>
      <c r="FH39" s="20"/>
      <c r="FI39" s="20"/>
      <c r="FJ39" s="20"/>
      <c r="FK39" s="20"/>
      <c r="FL39" s="20"/>
      <c r="FM39" s="20"/>
      <c r="FN39" s="20"/>
      <c r="FO39" s="20"/>
      <c r="FP39" s="20"/>
      <c r="FQ39" s="20"/>
      <c r="FR39" s="20"/>
      <c r="FS39" s="20"/>
      <c r="FT39" s="20"/>
      <c r="FU39" s="20"/>
      <c r="FV39" s="20"/>
      <c r="FW39" s="20"/>
      <c r="FX39" s="20"/>
      <c r="FY39" s="20"/>
      <c r="FZ39" s="20"/>
      <c r="GA39" s="20"/>
      <c r="GB39" s="20"/>
      <c r="GC39" s="20"/>
      <c r="GD39" s="20"/>
      <c r="GE39" s="20"/>
      <c r="GF39" s="20"/>
      <c r="GG39" s="20"/>
      <c r="GH39" s="20"/>
      <c r="GI39" s="20"/>
      <c r="GJ39" s="20"/>
      <c r="GK39" s="20"/>
      <c r="GL39" s="20"/>
      <c r="GM39" s="20"/>
      <c r="GN39" s="20"/>
      <c r="GO39" s="20"/>
      <c r="GP39" s="20"/>
      <c r="GQ39" s="20"/>
      <c r="GR39" s="20"/>
      <c r="GS39" s="20"/>
      <c r="GT39" s="20"/>
      <c r="GU39" s="20"/>
      <c r="GV39" s="20"/>
      <c r="GW39" s="20"/>
      <c r="GX39" s="20"/>
      <c r="GY39" s="20"/>
      <c r="GZ39" s="20"/>
      <c r="HA39" s="20"/>
      <c r="HB39" s="20"/>
      <c r="HC39" s="20"/>
      <c r="HD39" s="20"/>
      <c r="HE39" s="20"/>
      <c r="HF39" s="20"/>
      <c r="HG39" s="20"/>
      <c r="HH39" s="20"/>
      <c r="HI39" s="20"/>
      <c r="HJ39" s="20"/>
      <c r="HK39" s="20"/>
      <c r="HL39" s="20"/>
      <c r="HM39" s="20"/>
      <c r="HN39" s="20"/>
      <c r="HO39" s="20"/>
      <c r="HP39" s="20"/>
      <c r="HQ39" s="20"/>
      <c r="HR39" s="20"/>
      <c r="HS39" s="20"/>
      <c r="HT39" s="20"/>
      <c r="HU39" s="20"/>
      <c r="HV39" s="20"/>
      <c r="HW39" s="20"/>
      <c r="HX39" s="20"/>
      <c r="HY39" s="20"/>
      <c r="HZ39" s="20"/>
      <c r="IA39" s="20"/>
      <c r="IB39" s="20"/>
      <c r="IC39" s="20"/>
      <c r="ID39" s="20"/>
      <c r="IE39" s="20"/>
      <c r="IF39" s="20"/>
      <c r="IG39" s="20"/>
      <c r="IH39" s="20"/>
      <c r="II39" s="20"/>
      <c r="IJ39" s="20"/>
      <c r="IK39" s="20"/>
      <c r="IL39" s="20"/>
      <c r="IM39" s="20"/>
      <c r="IN39" s="20"/>
      <c r="IO39" s="20"/>
      <c r="IP39" s="20"/>
      <c r="IQ39" s="20"/>
      <c r="IR39" s="20"/>
      <c r="IS39" s="20"/>
      <c r="IT39" s="20"/>
      <c r="IU39" s="20"/>
      <c r="IV39" s="20"/>
      <c r="IW39" s="20"/>
      <c r="IX39" s="20"/>
      <c r="IY39" s="20"/>
      <c r="IZ39" s="20"/>
      <c r="JA39" s="20"/>
      <c r="JB39" s="20"/>
      <c r="JC39" s="20"/>
      <c r="JD39" s="20"/>
      <c r="JE39" s="20"/>
      <c r="JF39" s="20"/>
      <c r="JG39" s="20"/>
      <c r="JH39" s="20"/>
      <c r="JI39" s="20"/>
    </row>
    <row r="40" spans="1:269" ht="17.25" customHeight="1">
      <c r="A40" s="101"/>
      <c r="B40" s="20" t="s">
        <v>118</v>
      </c>
      <c r="C40" s="20" t="s">
        <v>216</v>
      </c>
      <c r="D40" s="83">
        <v>1314442</v>
      </c>
      <c r="E40" s="82">
        <v>0.01</v>
      </c>
      <c r="F40" s="82">
        <v>9.1999999999999998E-2</v>
      </c>
      <c r="G40" s="29"/>
      <c r="H40" s="83">
        <v>3812</v>
      </c>
      <c r="I40" s="104">
        <v>6506</v>
      </c>
      <c r="J40" s="29"/>
      <c r="K40" s="83">
        <v>22304</v>
      </c>
      <c r="L40" s="104">
        <v>5422</v>
      </c>
      <c r="M40" s="29"/>
      <c r="N40" s="128">
        <v>0.02</v>
      </c>
      <c r="O40" s="128">
        <v>0.01</v>
      </c>
      <c r="P40" s="29"/>
      <c r="Q40" s="85">
        <v>0</v>
      </c>
      <c r="R40" s="14"/>
      <c r="S40" s="15"/>
      <c r="T40" s="104">
        <v>8064</v>
      </c>
      <c r="U40" s="82">
        <f t="shared" si="3"/>
        <v>-0.55823381176728393</v>
      </c>
      <c r="V40" s="29"/>
      <c r="W40" s="83">
        <v>33873</v>
      </c>
      <c r="X40" s="82">
        <v>0.01</v>
      </c>
      <c r="Y40" s="29"/>
      <c r="Z40" s="104">
        <v>8485</v>
      </c>
      <c r="AA40" s="86">
        <f t="shared" si="4"/>
        <v>1.1786892975011787E-4</v>
      </c>
      <c r="AB40" s="29"/>
      <c r="AC40" s="83">
        <v>32140</v>
      </c>
      <c r="AD40" s="82">
        <v>-0.34699999999999998</v>
      </c>
      <c r="AE40" s="29"/>
      <c r="AF40" s="104">
        <v>7856</v>
      </c>
      <c r="AG40" s="120">
        <f t="shared" si="5"/>
        <v>-0.34549695909355993</v>
      </c>
      <c r="AH40" s="128">
        <v>4.09</v>
      </c>
      <c r="AI40" s="128">
        <v>44.3</v>
      </c>
      <c r="AJ40" s="128">
        <v>319</v>
      </c>
      <c r="AK40" s="83">
        <v>1123</v>
      </c>
      <c r="AL40" s="102">
        <v>210</v>
      </c>
      <c r="AM40" s="29"/>
      <c r="AN40" s="83">
        <v>6233</v>
      </c>
      <c r="AO40" s="83">
        <v>11792</v>
      </c>
      <c r="AP40" s="83">
        <v>14115</v>
      </c>
      <c r="AQ40" s="29"/>
      <c r="AR40" s="104">
        <v>1270</v>
      </c>
      <c r="AS40" s="104">
        <v>2867</v>
      </c>
      <c r="AT40" s="104">
        <v>3719</v>
      </c>
      <c r="AU40" s="29"/>
      <c r="AV40" s="83">
        <v>26486</v>
      </c>
      <c r="AW40" s="104">
        <v>6402</v>
      </c>
      <c r="AX40" s="29"/>
      <c r="AY40" s="120">
        <v>0.82899999999999996</v>
      </c>
      <c r="AZ40" s="120">
        <v>0.154</v>
      </c>
      <c r="BA40" s="120">
        <v>1E-3</v>
      </c>
      <c r="BB40" s="82">
        <v>1.4999999999999999E-2</v>
      </c>
      <c r="BC40" s="29"/>
      <c r="BD40" s="128">
        <v>0</v>
      </c>
      <c r="BE40" s="89"/>
      <c r="BF40" s="94"/>
      <c r="BG40" s="128">
        <v>0</v>
      </c>
      <c r="BH40" s="128" t="s">
        <v>208</v>
      </c>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c r="FA40" s="20"/>
      <c r="FB40" s="20"/>
      <c r="FC40" s="20"/>
      <c r="FD40" s="20"/>
      <c r="FE40" s="20"/>
      <c r="FF40" s="20"/>
      <c r="FG40" s="20"/>
      <c r="FH40" s="20"/>
      <c r="FI40" s="20"/>
      <c r="FJ40" s="20"/>
      <c r="FK40" s="20"/>
      <c r="FL40" s="20"/>
      <c r="FM40" s="20"/>
      <c r="FN40" s="20"/>
      <c r="FO40" s="20"/>
      <c r="FP40" s="20"/>
      <c r="FQ40" s="20"/>
      <c r="FR40" s="20"/>
      <c r="FS40" s="20"/>
      <c r="FT40" s="20"/>
      <c r="FU40" s="20"/>
      <c r="FV40" s="20"/>
      <c r="FW40" s="20"/>
      <c r="FX40" s="20"/>
      <c r="FY40" s="20"/>
      <c r="FZ40" s="20"/>
      <c r="GA40" s="20"/>
      <c r="GB40" s="20"/>
      <c r="GC40" s="20"/>
      <c r="GD40" s="20"/>
      <c r="GE40" s="20"/>
      <c r="GF40" s="20"/>
      <c r="GG40" s="20"/>
      <c r="GH40" s="20"/>
      <c r="GI40" s="20"/>
      <c r="GJ40" s="20"/>
      <c r="GK40" s="20"/>
      <c r="GL40" s="20"/>
      <c r="GM40" s="20"/>
      <c r="GN40" s="20"/>
      <c r="GO40" s="20"/>
      <c r="GP40" s="20"/>
      <c r="GQ40" s="20"/>
      <c r="GR40" s="20"/>
      <c r="GS40" s="20"/>
      <c r="GT40" s="20"/>
      <c r="GU40" s="20"/>
      <c r="GV40" s="20"/>
      <c r="GW40" s="20"/>
      <c r="GX40" s="20"/>
      <c r="GY40" s="20"/>
      <c r="GZ40" s="20"/>
      <c r="HA40" s="20"/>
      <c r="HB40" s="20"/>
      <c r="HC40" s="20"/>
      <c r="HD40" s="20"/>
      <c r="HE40" s="20"/>
      <c r="HF40" s="20"/>
      <c r="HG40" s="20"/>
      <c r="HH40" s="20"/>
      <c r="HI40" s="20"/>
      <c r="HJ40" s="20"/>
      <c r="HK40" s="20"/>
      <c r="HL40" s="20"/>
      <c r="HM40" s="20"/>
      <c r="HN40" s="20"/>
      <c r="HO40" s="20"/>
      <c r="HP40" s="20"/>
      <c r="HQ40" s="20"/>
      <c r="HR40" s="20"/>
      <c r="HS40" s="20"/>
      <c r="HT40" s="20"/>
      <c r="HU40" s="20"/>
      <c r="HV40" s="20"/>
      <c r="HW40" s="20"/>
      <c r="HX40" s="20"/>
      <c r="HY40" s="20"/>
      <c r="HZ40" s="20"/>
      <c r="IA40" s="20"/>
      <c r="IB40" s="20"/>
      <c r="IC40" s="20"/>
      <c r="ID40" s="20"/>
      <c r="IE40" s="20"/>
      <c r="IF40" s="20"/>
      <c r="IG40" s="20"/>
      <c r="IH40" s="20"/>
      <c r="II40" s="20"/>
      <c r="IJ40" s="20"/>
      <c r="IK40" s="20"/>
      <c r="IL40" s="20"/>
      <c r="IM40" s="20"/>
      <c r="IN40" s="20"/>
      <c r="IO40" s="20"/>
      <c r="IP40" s="20"/>
      <c r="IQ40" s="20"/>
      <c r="IR40" s="20"/>
      <c r="IS40" s="20"/>
      <c r="IT40" s="20"/>
      <c r="IU40" s="20"/>
      <c r="IV40" s="20"/>
      <c r="IW40" s="20"/>
      <c r="IX40" s="20"/>
      <c r="IY40" s="20"/>
      <c r="IZ40" s="20"/>
      <c r="JA40" s="20"/>
      <c r="JB40" s="20"/>
      <c r="JC40" s="20"/>
      <c r="JD40" s="20"/>
      <c r="JE40" s="20"/>
      <c r="JF40" s="20"/>
      <c r="JG40" s="20"/>
      <c r="JH40" s="20"/>
      <c r="JI40" s="20"/>
    </row>
    <row r="41" spans="1:269" ht="17.25" customHeight="1">
      <c r="A41" s="101"/>
      <c r="B41" s="20" t="s">
        <v>117</v>
      </c>
      <c r="C41" s="20" t="s">
        <v>217</v>
      </c>
      <c r="D41" s="83">
        <v>1323736</v>
      </c>
      <c r="E41" s="82">
        <v>7.0000000000000001E-3</v>
      </c>
      <c r="F41" s="82">
        <v>9.6000000000000002E-2</v>
      </c>
      <c r="G41" s="29"/>
      <c r="H41" s="83">
        <v>3735</v>
      </c>
      <c r="I41" s="104">
        <v>6384</v>
      </c>
      <c r="J41" s="29"/>
      <c r="K41" s="83">
        <v>22742</v>
      </c>
      <c r="L41" s="104">
        <v>5523</v>
      </c>
      <c r="M41" s="29"/>
      <c r="N41" s="128">
        <v>0.02</v>
      </c>
      <c r="O41" s="128">
        <v>0.01</v>
      </c>
      <c r="P41" s="29"/>
      <c r="Q41" s="85">
        <v>0</v>
      </c>
      <c r="R41" s="14"/>
      <c r="S41" s="15"/>
      <c r="T41" s="104">
        <v>10895</v>
      </c>
      <c r="U41" s="82">
        <f t="shared" si="3"/>
        <v>0.35106646825396826</v>
      </c>
      <c r="V41" s="29"/>
      <c r="W41" s="83">
        <v>31777</v>
      </c>
      <c r="X41" s="82">
        <v>-6.2E-2</v>
      </c>
      <c r="Y41" s="29"/>
      <c r="Z41" s="104">
        <v>7988</v>
      </c>
      <c r="AA41" s="82">
        <f t="shared" si="4"/>
        <v>-5.8573954036535064E-2</v>
      </c>
      <c r="AB41" s="29"/>
      <c r="AC41" s="83">
        <v>30660</v>
      </c>
      <c r="AD41" s="82">
        <v>-4.5999999999999999E-2</v>
      </c>
      <c r="AE41" s="29"/>
      <c r="AF41" s="104">
        <v>7557</v>
      </c>
      <c r="AG41" s="120">
        <f t="shared" si="5"/>
        <v>-3.8060081466395113E-2</v>
      </c>
      <c r="AH41" s="128">
        <v>4.0599999999999996</v>
      </c>
      <c r="AI41" s="128">
        <v>44.5</v>
      </c>
      <c r="AJ41" s="128">
        <v>319</v>
      </c>
      <c r="AK41" s="83">
        <v>1122</v>
      </c>
      <c r="AL41" s="102">
        <v>204</v>
      </c>
      <c r="AM41" s="29"/>
      <c r="AN41" s="83">
        <v>7987</v>
      </c>
      <c r="AO41" s="83">
        <v>10216</v>
      </c>
      <c r="AP41" s="83">
        <v>12458</v>
      </c>
      <c r="AQ41" s="29"/>
      <c r="AR41" s="104">
        <v>1606</v>
      </c>
      <c r="AS41" s="104">
        <v>2542</v>
      </c>
      <c r="AT41" s="104">
        <v>3409</v>
      </c>
      <c r="AU41" s="29"/>
      <c r="AV41" s="83">
        <v>24547</v>
      </c>
      <c r="AW41" s="104">
        <v>6024</v>
      </c>
      <c r="AX41" s="29"/>
      <c r="AY41" s="120">
        <v>0.503</v>
      </c>
      <c r="AZ41" s="120">
        <v>0.47799999999999998</v>
      </c>
      <c r="BA41" s="121">
        <v>0</v>
      </c>
      <c r="BB41" s="82">
        <v>1.9E-2</v>
      </c>
      <c r="BC41" s="29"/>
      <c r="BD41" s="128">
        <v>0</v>
      </c>
      <c r="BE41" s="89"/>
      <c r="BF41" s="94"/>
      <c r="BG41" s="128">
        <v>0</v>
      </c>
      <c r="BH41" s="128" t="s">
        <v>208</v>
      </c>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20"/>
      <c r="DM41" s="20"/>
      <c r="DN41" s="20"/>
      <c r="DO41" s="20"/>
      <c r="DP41" s="20"/>
      <c r="DQ41" s="20"/>
      <c r="DR41" s="20"/>
      <c r="DS41" s="20"/>
      <c r="DT41" s="20"/>
      <c r="DU41" s="20"/>
      <c r="DV41" s="20"/>
      <c r="DW41" s="20"/>
      <c r="DX41" s="20"/>
      <c r="DY41" s="20"/>
      <c r="DZ41" s="20"/>
      <c r="EA41" s="20"/>
      <c r="EB41" s="20"/>
      <c r="EC41" s="20"/>
      <c r="ED41" s="20"/>
      <c r="EE41" s="20"/>
      <c r="EF41" s="20"/>
      <c r="EG41" s="20"/>
      <c r="EH41" s="20"/>
      <c r="EI41" s="20"/>
      <c r="EJ41" s="20"/>
      <c r="EK41" s="20"/>
      <c r="EL41" s="20"/>
      <c r="EM41" s="20"/>
      <c r="EN41" s="20"/>
      <c r="EO41" s="20"/>
      <c r="EP41" s="20"/>
      <c r="EQ41" s="20"/>
      <c r="ER41" s="20"/>
      <c r="ES41" s="20"/>
      <c r="ET41" s="20"/>
      <c r="EU41" s="20"/>
      <c r="EV41" s="20"/>
      <c r="EW41" s="20"/>
      <c r="EX41" s="20"/>
      <c r="EY41" s="20"/>
      <c r="EZ41" s="20"/>
      <c r="FA41" s="20"/>
      <c r="FB41" s="20"/>
      <c r="FC41" s="20"/>
      <c r="FD41" s="20"/>
      <c r="FE41" s="20"/>
      <c r="FF41" s="20"/>
      <c r="FG41" s="20"/>
      <c r="FH41" s="20"/>
      <c r="FI41" s="20"/>
      <c r="FJ41" s="20"/>
      <c r="FK41" s="20"/>
      <c r="FL41" s="20"/>
      <c r="FM41" s="20"/>
      <c r="FN41" s="20"/>
      <c r="FO41" s="20"/>
      <c r="FP41" s="20"/>
      <c r="FQ41" s="20"/>
      <c r="FR41" s="20"/>
      <c r="FS41" s="20"/>
      <c r="FT41" s="20"/>
      <c r="FU41" s="20"/>
      <c r="FV41" s="20"/>
      <c r="FW41" s="20"/>
      <c r="FX41" s="20"/>
      <c r="FY41" s="20"/>
      <c r="FZ41" s="20"/>
      <c r="GA41" s="20"/>
      <c r="GB41" s="20"/>
      <c r="GC41" s="20"/>
      <c r="GD41" s="20"/>
      <c r="GE41" s="20"/>
      <c r="GF41" s="20"/>
      <c r="GG41" s="20"/>
      <c r="GH41" s="20"/>
      <c r="GI41" s="20"/>
      <c r="GJ41" s="20"/>
      <c r="GK41" s="20"/>
      <c r="GL41" s="20"/>
      <c r="GM41" s="20"/>
      <c r="GN41" s="20"/>
      <c r="GO41" s="20"/>
      <c r="GP41" s="20"/>
      <c r="GQ41" s="20"/>
      <c r="GR41" s="20"/>
      <c r="GS41" s="20"/>
      <c r="GT41" s="20"/>
      <c r="GU41" s="20"/>
      <c r="GV41" s="20"/>
      <c r="GW41" s="20"/>
      <c r="GX41" s="20"/>
      <c r="GY41" s="20"/>
      <c r="GZ41" s="20"/>
      <c r="HA41" s="20"/>
      <c r="HB41" s="20"/>
      <c r="HC41" s="20"/>
      <c r="HD41" s="20"/>
      <c r="HE41" s="20"/>
      <c r="HF41" s="20"/>
      <c r="HG41" s="20"/>
      <c r="HH41" s="20"/>
      <c r="HI41" s="20"/>
      <c r="HJ41" s="20"/>
      <c r="HK41" s="20"/>
      <c r="HL41" s="20"/>
      <c r="HM41" s="20"/>
      <c r="HN41" s="20"/>
      <c r="HO41" s="20"/>
      <c r="HP41" s="20"/>
      <c r="HQ41" s="20"/>
      <c r="HR41" s="20"/>
      <c r="HS41" s="20"/>
      <c r="HT41" s="20"/>
      <c r="HU41" s="20"/>
      <c r="HV41" s="20"/>
      <c r="HW41" s="20"/>
      <c r="HX41" s="20"/>
      <c r="HY41" s="20"/>
      <c r="HZ41" s="20"/>
      <c r="IA41" s="20"/>
      <c r="IB41" s="20"/>
      <c r="IC41" s="20"/>
      <c r="ID41" s="20"/>
      <c r="IE41" s="20"/>
      <c r="IF41" s="20"/>
      <c r="IG41" s="20"/>
      <c r="IH41" s="20"/>
      <c r="II41" s="20"/>
      <c r="IJ41" s="20"/>
      <c r="IK41" s="20"/>
      <c r="IL41" s="20"/>
      <c r="IM41" s="20"/>
      <c r="IN41" s="20"/>
      <c r="IO41" s="20"/>
      <c r="IP41" s="20"/>
      <c r="IQ41" s="20"/>
      <c r="IR41" s="20"/>
      <c r="IS41" s="20"/>
      <c r="IT41" s="20"/>
      <c r="IU41" s="20"/>
      <c r="IV41" s="20"/>
      <c r="IW41" s="20"/>
      <c r="IX41" s="20"/>
      <c r="IY41" s="20"/>
      <c r="IZ41" s="20"/>
      <c r="JA41" s="20"/>
      <c r="JB41" s="20"/>
      <c r="JC41" s="20"/>
      <c r="JD41" s="20"/>
      <c r="JE41" s="20"/>
      <c r="JF41" s="20"/>
      <c r="JG41" s="20"/>
      <c r="JH41" s="20"/>
      <c r="JI41" s="20"/>
    </row>
    <row r="42" spans="1:269" ht="17.25" customHeight="1">
      <c r="A42" s="101"/>
      <c r="B42" s="20" t="s">
        <v>116</v>
      </c>
      <c r="C42" s="20" t="s">
        <v>121</v>
      </c>
      <c r="D42" s="83">
        <v>1330949</v>
      </c>
      <c r="E42" s="82">
        <v>5.0000000000000001E-3</v>
      </c>
      <c r="F42" s="82">
        <v>9.4E-2</v>
      </c>
      <c r="G42" s="29"/>
      <c r="H42" s="83">
        <v>3692</v>
      </c>
      <c r="I42" s="104">
        <v>6252</v>
      </c>
      <c r="J42" s="29"/>
      <c r="K42" s="83">
        <v>22882</v>
      </c>
      <c r="L42" s="104">
        <v>5521</v>
      </c>
      <c r="M42" s="29"/>
      <c r="N42" s="128">
        <v>0.02</v>
      </c>
      <c r="O42" s="128">
        <v>0.02</v>
      </c>
      <c r="P42" s="29"/>
      <c r="Q42" s="85">
        <v>0</v>
      </c>
      <c r="R42" s="14"/>
      <c r="S42" s="15"/>
      <c r="T42" s="104">
        <v>9623</v>
      </c>
      <c r="U42" s="82">
        <f t="shared" si="3"/>
        <v>-0.11675080312069756</v>
      </c>
      <c r="V42" s="29"/>
      <c r="W42" s="83">
        <v>26429</v>
      </c>
      <c r="X42" s="82">
        <v>-0.16800000000000001</v>
      </c>
      <c r="Y42" s="29"/>
      <c r="Z42" s="104">
        <v>6539</v>
      </c>
      <c r="AA42" s="82">
        <f t="shared" si="4"/>
        <v>-0.18139709564346521</v>
      </c>
      <c r="AB42" s="29"/>
      <c r="AC42" s="83">
        <v>30459</v>
      </c>
      <c r="AD42" s="82">
        <v>-7.0000000000000001E-3</v>
      </c>
      <c r="AE42" s="29"/>
      <c r="AF42" s="104">
        <v>7545</v>
      </c>
      <c r="AG42" s="120">
        <f t="shared" si="5"/>
        <v>-1.5879317189360857E-3</v>
      </c>
      <c r="AH42" s="128">
        <v>4.04</v>
      </c>
      <c r="AI42" s="128">
        <v>45.6</v>
      </c>
      <c r="AJ42" s="128">
        <v>319</v>
      </c>
      <c r="AK42" s="83">
        <v>1332</v>
      </c>
      <c r="AL42" s="102">
        <v>228</v>
      </c>
      <c r="AM42" s="29"/>
      <c r="AN42" s="83">
        <v>8701</v>
      </c>
      <c r="AO42" s="83">
        <v>8823</v>
      </c>
      <c r="AP42" s="83">
        <v>12935</v>
      </c>
      <c r="AQ42" s="29"/>
      <c r="AR42" s="104">
        <v>1816</v>
      </c>
      <c r="AS42" s="104">
        <v>2240</v>
      </c>
      <c r="AT42" s="104">
        <v>3489</v>
      </c>
      <c r="AU42" s="29"/>
      <c r="AV42" s="83">
        <v>24751</v>
      </c>
      <c r="AW42" s="104">
        <v>6087</v>
      </c>
      <c r="AX42" s="29"/>
      <c r="AY42" s="120">
        <v>0.39700000000000002</v>
      </c>
      <c r="AZ42" s="120">
        <v>0.58399999999999996</v>
      </c>
      <c r="BA42" s="121">
        <v>0</v>
      </c>
      <c r="BB42" s="82">
        <v>1.9E-2</v>
      </c>
      <c r="BC42" s="29"/>
      <c r="BD42" s="128">
        <v>0</v>
      </c>
      <c r="BE42" s="89"/>
      <c r="BF42" s="94"/>
      <c r="BG42" s="128">
        <v>0</v>
      </c>
      <c r="BH42" s="128" t="s">
        <v>208</v>
      </c>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c r="FY42" s="20"/>
      <c r="FZ42" s="20"/>
      <c r="GA42" s="20"/>
      <c r="GB42" s="20"/>
      <c r="GC42" s="20"/>
      <c r="GD42" s="20"/>
      <c r="GE42" s="20"/>
      <c r="GF42" s="20"/>
      <c r="GG42" s="20"/>
      <c r="GH42" s="20"/>
      <c r="GI42" s="20"/>
      <c r="GJ42" s="20"/>
      <c r="GK42" s="20"/>
      <c r="GL42" s="20"/>
      <c r="GM42" s="20"/>
      <c r="GN42" s="20"/>
      <c r="GO42" s="20"/>
      <c r="GP42" s="20"/>
      <c r="GQ42" s="20"/>
      <c r="GR42" s="20"/>
      <c r="GS42" s="20"/>
      <c r="GT42" s="20"/>
      <c r="GU42" s="20"/>
      <c r="GV42" s="20"/>
      <c r="GW42" s="20"/>
      <c r="GX42" s="20"/>
      <c r="GY42" s="20"/>
      <c r="GZ42" s="20"/>
      <c r="HA42" s="20"/>
      <c r="HB42" s="20"/>
      <c r="HC42" s="20"/>
      <c r="HD42" s="20"/>
      <c r="HE42" s="20"/>
      <c r="HF42" s="20"/>
      <c r="HG42" s="20"/>
      <c r="HH42" s="20"/>
      <c r="HI42" s="20"/>
      <c r="HJ42" s="20"/>
      <c r="HK42" s="20"/>
      <c r="HL42" s="20"/>
      <c r="HM42" s="20"/>
      <c r="HN42" s="20"/>
      <c r="HO42" s="20"/>
      <c r="HP42" s="20"/>
      <c r="HQ42" s="20"/>
      <c r="HR42" s="20"/>
      <c r="HS42" s="20"/>
      <c r="HT42" s="20"/>
      <c r="HU42" s="20"/>
      <c r="HV42" s="20"/>
      <c r="HW42" s="20"/>
      <c r="HX42" s="20"/>
      <c r="HY42" s="20"/>
      <c r="HZ42" s="20"/>
      <c r="IA42" s="20"/>
      <c r="IB42" s="20"/>
      <c r="IC42" s="20"/>
      <c r="ID42" s="20"/>
      <c r="IE42" s="20"/>
      <c r="IF42" s="20"/>
      <c r="IG42" s="20"/>
      <c r="IH42" s="20"/>
      <c r="II42" s="20"/>
      <c r="IJ42" s="20"/>
      <c r="IK42" s="20"/>
      <c r="IL42" s="20"/>
      <c r="IM42" s="20"/>
      <c r="IN42" s="20"/>
      <c r="IO42" s="20"/>
      <c r="IP42" s="20"/>
      <c r="IQ42" s="20"/>
      <c r="IR42" s="20"/>
      <c r="IS42" s="20"/>
      <c r="IT42" s="20"/>
      <c r="IU42" s="20"/>
      <c r="IV42" s="20"/>
      <c r="IW42" s="20"/>
      <c r="IX42" s="20"/>
      <c r="IY42" s="20"/>
      <c r="IZ42" s="20"/>
      <c r="JA42" s="20"/>
      <c r="JB42" s="20"/>
      <c r="JC42" s="20"/>
      <c r="JD42" s="20"/>
      <c r="JE42" s="20"/>
      <c r="JF42" s="20"/>
      <c r="JG42" s="20"/>
      <c r="JH42" s="20"/>
      <c r="JI42" s="20"/>
    </row>
    <row r="43" spans="1:269" ht="17.25" customHeight="1">
      <c r="A43" s="101"/>
      <c r="B43" s="20" t="s">
        <v>115</v>
      </c>
      <c r="C43" s="20" t="s">
        <v>123</v>
      </c>
      <c r="D43" s="83">
        <v>1337093</v>
      </c>
      <c r="E43" s="82">
        <v>5.0000000000000001E-3</v>
      </c>
      <c r="F43" s="82">
        <v>9.2999999999999999E-2</v>
      </c>
      <c r="G43" s="29"/>
      <c r="H43" s="83">
        <v>3651</v>
      </c>
      <c r="I43" s="104">
        <v>6125</v>
      </c>
      <c r="J43" s="29"/>
      <c r="K43" s="83">
        <v>23202</v>
      </c>
      <c r="L43" s="104">
        <v>5559</v>
      </c>
      <c r="M43" s="29"/>
      <c r="N43" s="128">
        <v>0.02</v>
      </c>
      <c r="O43" s="128">
        <v>0.01</v>
      </c>
      <c r="P43" s="29"/>
      <c r="Q43" s="85">
        <v>0</v>
      </c>
      <c r="R43" s="14"/>
      <c r="S43" s="15"/>
      <c r="T43" s="104">
        <v>7562</v>
      </c>
      <c r="U43" s="82">
        <f t="shared" si="3"/>
        <v>-0.21417437389587446</v>
      </c>
      <c r="V43" s="29"/>
      <c r="W43" s="83">
        <v>21926</v>
      </c>
      <c r="X43" s="82">
        <v>-0.17</v>
      </c>
      <c r="Y43" s="29"/>
      <c r="Z43" s="104">
        <v>5501</v>
      </c>
      <c r="AA43" s="82">
        <f t="shared" si="4"/>
        <v>-0.15873986848141919</v>
      </c>
      <c r="AB43" s="29"/>
      <c r="AC43" s="83">
        <v>24181</v>
      </c>
      <c r="AD43" s="82">
        <v>-0.20599999999999999</v>
      </c>
      <c r="AE43" s="29"/>
      <c r="AF43" s="104">
        <v>5874</v>
      </c>
      <c r="AG43" s="120">
        <f t="shared" si="5"/>
        <v>-0.22147117296222665</v>
      </c>
      <c r="AH43" s="128">
        <v>4.12</v>
      </c>
      <c r="AI43" s="128">
        <v>46.2</v>
      </c>
      <c r="AJ43" s="128">
        <v>320</v>
      </c>
      <c r="AK43" s="83">
        <v>766</v>
      </c>
      <c r="AL43" s="102">
        <v>153</v>
      </c>
      <c r="AM43" s="29"/>
      <c r="AN43" s="83">
        <v>6506</v>
      </c>
      <c r="AO43" s="83">
        <v>7722</v>
      </c>
      <c r="AP43" s="83">
        <v>9953</v>
      </c>
      <c r="AQ43" s="29"/>
      <c r="AR43" s="104">
        <v>1247</v>
      </c>
      <c r="AS43" s="104">
        <v>1991</v>
      </c>
      <c r="AT43" s="104">
        <v>2636</v>
      </c>
      <c r="AU43" s="29"/>
      <c r="AV43" s="83">
        <v>20160</v>
      </c>
      <c r="AW43" s="104">
        <v>4900</v>
      </c>
      <c r="AX43" s="29"/>
      <c r="AY43" s="121">
        <v>0.46</v>
      </c>
      <c r="AZ43" s="120">
        <v>0.52300000000000002</v>
      </c>
      <c r="BA43" s="121">
        <v>0</v>
      </c>
      <c r="BB43" s="82">
        <v>1.7000000000000001E-2</v>
      </c>
      <c r="BC43" s="29"/>
      <c r="BD43" s="128">
        <v>0</v>
      </c>
      <c r="BE43" s="89"/>
      <c r="BF43" s="94"/>
      <c r="BG43" s="128">
        <v>0</v>
      </c>
      <c r="BH43" s="128" t="s">
        <v>208</v>
      </c>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c r="DB43" s="20"/>
      <c r="DC43" s="20"/>
      <c r="DD43" s="20"/>
      <c r="DE43" s="20"/>
      <c r="DF43" s="20"/>
      <c r="DG43" s="20"/>
      <c r="DH43" s="20"/>
      <c r="DI43" s="20"/>
      <c r="DJ43" s="20"/>
      <c r="DK43" s="20"/>
      <c r="DL43" s="20"/>
      <c r="DM43" s="20"/>
      <c r="DN43" s="20"/>
      <c r="DO43" s="20"/>
      <c r="DP43" s="20"/>
      <c r="DQ43" s="20"/>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c r="EP43" s="20"/>
      <c r="EQ43" s="20"/>
      <c r="ER43" s="20"/>
      <c r="ES43" s="20"/>
      <c r="ET43" s="20"/>
      <c r="EU43" s="20"/>
      <c r="EV43" s="20"/>
      <c r="EW43" s="20"/>
      <c r="EX43" s="20"/>
      <c r="EY43" s="20"/>
      <c r="EZ43" s="20"/>
      <c r="FA43" s="20"/>
      <c r="FB43" s="20"/>
      <c r="FC43" s="20"/>
      <c r="FD43" s="20"/>
      <c r="FE43" s="20"/>
      <c r="FF43" s="20"/>
      <c r="FG43" s="20"/>
      <c r="FH43" s="20"/>
      <c r="FI43" s="20"/>
      <c r="FJ43" s="20"/>
      <c r="FK43" s="20"/>
      <c r="FL43" s="20"/>
      <c r="FM43" s="20"/>
      <c r="FN43" s="20"/>
      <c r="FO43" s="20"/>
      <c r="FP43" s="20"/>
      <c r="FQ43" s="20"/>
      <c r="FR43" s="20"/>
      <c r="FS43" s="20"/>
      <c r="FT43" s="20"/>
      <c r="FU43" s="20"/>
      <c r="FV43" s="20"/>
      <c r="FW43" s="20"/>
      <c r="FX43" s="20"/>
      <c r="FY43" s="20"/>
      <c r="FZ43" s="20"/>
      <c r="GA43" s="20"/>
      <c r="GB43" s="20"/>
      <c r="GC43" s="20"/>
      <c r="GD43" s="20"/>
      <c r="GE43" s="20"/>
      <c r="GF43" s="20"/>
      <c r="GG43" s="20"/>
      <c r="GH43" s="20"/>
      <c r="GI43" s="20"/>
      <c r="GJ43" s="20"/>
      <c r="GK43" s="20"/>
      <c r="GL43" s="20"/>
      <c r="GM43" s="20"/>
      <c r="GN43" s="20"/>
      <c r="GO43" s="20"/>
      <c r="GP43" s="20"/>
      <c r="GQ43" s="20"/>
      <c r="GR43" s="20"/>
      <c r="GS43" s="20"/>
      <c r="GT43" s="20"/>
      <c r="GU43" s="20"/>
      <c r="GV43" s="20"/>
      <c r="GW43" s="20"/>
      <c r="GX43" s="20"/>
      <c r="GY43" s="20"/>
      <c r="GZ43" s="20"/>
      <c r="HA43" s="20"/>
      <c r="HB43" s="20"/>
      <c r="HC43" s="20"/>
      <c r="HD43" s="20"/>
      <c r="HE43" s="20"/>
      <c r="HF43" s="20"/>
      <c r="HG43" s="20"/>
      <c r="HH43" s="20"/>
      <c r="HI43" s="20"/>
      <c r="HJ43" s="20"/>
      <c r="HK43" s="20"/>
      <c r="HL43" s="20"/>
      <c r="HM43" s="20"/>
      <c r="HN43" s="20"/>
      <c r="HO43" s="20"/>
      <c r="HP43" s="20"/>
      <c r="HQ43" s="20"/>
      <c r="HR43" s="20"/>
      <c r="HS43" s="20"/>
      <c r="HT43" s="20"/>
      <c r="HU43" s="20"/>
      <c r="HV43" s="20"/>
      <c r="HW43" s="20"/>
      <c r="HX43" s="20"/>
      <c r="HY43" s="20"/>
      <c r="HZ43" s="20"/>
      <c r="IA43" s="20"/>
      <c r="IB43" s="20"/>
      <c r="IC43" s="20"/>
      <c r="ID43" s="20"/>
      <c r="IE43" s="20"/>
      <c r="IF43" s="20"/>
      <c r="IG43" s="20"/>
      <c r="IH43" s="20"/>
      <c r="II43" s="20"/>
      <c r="IJ43" s="20"/>
      <c r="IK43" s="20"/>
      <c r="IL43" s="20"/>
      <c r="IM43" s="20"/>
      <c r="IN43" s="20"/>
      <c r="IO43" s="20"/>
      <c r="IP43" s="20"/>
      <c r="IQ43" s="20"/>
      <c r="IR43" s="20"/>
      <c r="IS43" s="20"/>
      <c r="IT43" s="20"/>
      <c r="IU43" s="20"/>
      <c r="IV43" s="20"/>
      <c r="IW43" s="20"/>
      <c r="IX43" s="20"/>
      <c r="IY43" s="20"/>
      <c r="IZ43" s="20"/>
      <c r="JA43" s="20"/>
      <c r="JB43" s="20"/>
      <c r="JC43" s="20"/>
      <c r="JD43" s="20"/>
      <c r="JE43" s="20"/>
      <c r="JF43" s="20"/>
      <c r="JG43" s="20"/>
      <c r="JH43" s="20"/>
      <c r="JI43" s="20"/>
    </row>
    <row r="44" spans="1:269" ht="17.25" customHeight="1">
      <c r="A44" s="101" ph="1"/>
      <c r="B44" s="15" ph="1"/>
      <c r="C44" s="15" ph="1"/>
      <c r="D44" s="125"/>
      <c r="E44" s="125"/>
      <c r="F44" s="125"/>
      <c r="G44" s="29" ph="1"/>
      <c r="H44" s="125"/>
      <c r="I44" s="102"/>
      <c r="J44" s="29" ph="1"/>
      <c r="K44" s="125"/>
      <c r="L44" s="102"/>
      <c r="M44" s="29" ph="1"/>
      <c r="N44" s="125"/>
      <c r="O44" s="125"/>
      <c r="P44" s="29" ph="1"/>
      <c r="Q44" s="125"/>
      <c r="R44" s="14" ph="1"/>
      <c r="S44" s="15" ph="1"/>
      <c r="T44" s="102"/>
      <c r="U44" s="125"/>
      <c r="V44" s="29" ph="1"/>
      <c r="W44" s="125"/>
      <c r="X44" s="125"/>
      <c r="Y44" s="29" ph="1"/>
      <c r="Z44" s="102"/>
      <c r="AA44" s="125"/>
      <c r="AB44" s="29" ph="1"/>
      <c r="AC44" s="125"/>
      <c r="AD44" s="125"/>
      <c r="AE44" s="29" ph="1"/>
      <c r="AF44" s="102"/>
      <c r="AG44" s="102"/>
      <c r="AH44" s="125"/>
      <c r="AI44" s="125"/>
      <c r="AJ44" s="125" ph="1"/>
      <c r="AK44" s="125"/>
      <c r="AL44" s="102"/>
      <c r="AM44" s="29" ph="1"/>
      <c r="AN44" s="125"/>
      <c r="AO44" s="125"/>
      <c r="AP44" s="125"/>
      <c r="AQ44" s="29" ph="1"/>
      <c r="AR44" s="102"/>
      <c r="AS44" s="102"/>
      <c r="AT44" s="102"/>
      <c r="AU44" s="29" ph="1"/>
      <c r="AV44" s="125"/>
      <c r="AW44" s="102"/>
      <c r="AX44" s="29" ph="1"/>
      <c r="AY44" s="102"/>
      <c r="AZ44" s="102"/>
      <c r="BA44" s="102"/>
      <c r="BB44" s="125"/>
      <c r="BC44" s="29" ph="1"/>
      <c r="BD44" s="125"/>
      <c r="BE44" s="89"/>
      <c r="BF44" s="94"/>
      <c r="BG44" s="125"/>
      <c r="BH44" s="125"/>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c r="FY44" s="20"/>
      <c r="FZ44" s="20"/>
      <c r="GA44" s="20"/>
      <c r="GB44" s="20"/>
      <c r="GC44" s="20"/>
      <c r="GD44" s="20"/>
      <c r="GE44" s="20"/>
      <c r="GF44" s="20"/>
      <c r="GG44" s="20"/>
      <c r="GH44" s="20"/>
      <c r="GI44" s="20"/>
      <c r="GJ44" s="20"/>
      <c r="GK44" s="20"/>
      <c r="GL44" s="20"/>
      <c r="GM44" s="20"/>
      <c r="GN44" s="20"/>
      <c r="GO44" s="20"/>
      <c r="GP44" s="20"/>
      <c r="GQ44" s="20"/>
      <c r="GR44" s="20"/>
      <c r="GS44" s="20"/>
      <c r="GT44" s="20"/>
      <c r="GU44" s="20"/>
      <c r="GV44" s="20"/>
      <c r="GW44" s="20"/>
      <c r="GX44" s="20"/>
      <c r="GY44" s="20"/>
      <c r="GZ44" s="20"/>
      <c r="HA44" s="20"/>
      <c r="HB44" s="20"/>
      <c r="HC44" s="20"/>
      <c r="HD44" s="20"/>
      <c r="HE44" s="20"/>
      <c r="HF44" s="20"/>
      <c r="HG44" s="20"/>
      <c r="HH44" s="20"/>
      <c r="HI44" s="20"/>
      <c r="HJ44" s="20"/>
      <c r="HK44" s="20"/>
      <c r="HL44" s="20"/>
      <c r="HM44" s="20"/>
      <c r="HN44" s="20"/>
      <c r="HO44" s="20"/>
      <c r="HP44" s="20"/>
      <c r="HQ44" s="20"/>
      <c r="HR44" s="20"/>
      <c r="HS44" s="20"/>
      <c r="HT44" s="20"/>
      <c r="HU44" s="20"/>
      <c r="HV44" s="20"/>
      <c r="HW44" s="20"/>
      <c r="HX44" s="20"/>
      <c r="HY44" s="20"/>
      <c r="HZ44" s="20"/>
      <c r="IA44" s="20"/>
      <c r="IB44" s="20"/>
      <c r="IC44" s="20"/>
      <c r="ID44" s="20"/>
      <c r="IE44" s="20"/>
      <c r="IF44" s="20"/>
      <c r="IG44" s="20"/>
      <c r="IH44" s="20"/>
      <c r="II44" s="20"/>
      <c r="IJ44" s="20"/>
      <c r="IK44" s="20"/>
      <c r="IL44" s="20"/>
      <c r="IM44" s="20"/>
      <c r="IN44" s="20"/>
      <c r="IO44" s="20"/>
      <c r="IP44" s="20"/>
      <c r="IQ44" s="20"/>
      <c r="IR44" s="20"/>
      <c r="IS44" s="20"/>
      <c r="IT44" s="20"/>
      <c r="IU44" s="20"/>
      <c r="IV44" s="20"/>
      <c r="IW44" s="20"/>
      <c r="IX44" s="20"/>
      <c r="IY44" s="20"/>
      <c r="IZ44" s="20"/>
      <c r="JA44" s="20"/>
      <c r="JB44" s="20"/>
      <c r="JC44" s="20"/>
      <c r="JD44" s="20"/>
      <c r="JE44" s="20"/>
      <c r="JF44" s="20"/>
      <c r="JG44" s="20"/>
      <c r="JH44" s="20"/>
      <c r="JI44" s="20"/>
    </row>
    <row r="45" spans="1:269" ht="17.25" customHeight="1">
      <c r="A45" s="101">
        <v>2019</v>
      </c>
      <c r="B45" s="20" t="s">
        <v>114</v>
      </c>
      <c r="C45" s="20" t="s">
        <v>135</v>
      </c>
      <c r="D45" s="83">
        <v>1351143</v>
      </c>
      <c r="E45" s="82">
        <v>1.0999999999999999E-2</v>
      </c>
      <c r="F45" s="82">
        <v>9.7000000000000003E-2</v>
      </c>
      <c r="G45" s="29"/>
      <c r="H45" s="83">
        <v>3603</v>
      </c>
      <c r="I45" s="104">
        <v>5983</v>
      </c>
      <c r="J45" s="29"/>
      <c r="K45" s="83">
        <v>23913</v>
      </c>
      <c r="L45" s="104">
        <v>5676</v>
      </c>
      <c r="M45" s="29"/>
      <c r="N45" s="128">
        <v>0.02</v>
      </c>
      <c r="O45" s="128">
        <v>0.01</v>
      </c>
      <c r="P45" s="29"/>
      <c r="Q45" s="85">
        <v>0</v>
      </c>
      <c r="R45" s="14"/>
      <c r="S45" s="15"/>
      <c r="T45" s="104">
        <v>11652</v>
      </c>
      <c r="U45" s="82">
        <f>(T45-T43)/T43</f>
        <v>0.54086220576567046</v>
      </c>
      <c r="V45" s="29"/>
      <c r="W45" s="83">
        <v>30672</v>
      </c>
      <c r="X45" s="82">
        <v>0.39900000000000002</v>
      </c>
      <c r="Y45" s="29"/>
      <c r="Z45" s="104">
        <v>7338</v>
      </c>
      <c r="AA45" s="82">
        <f>(Z45-Z43)/Z43</f>
        <v>0.33393928376658788</v>
      </c>
      <c r="AB45" s="29"/>
      <c r="AC45" s="83">
        <v>28650</v>
      </c>
      <c r="AD45" s="82">
        <v>0.185</v>
      </c>
      <c r="AE45" s="29"/>
      <c r="AF45" s="104">
        <v>7132</v>
      </c>
      <c r="AG45" s="120">
        <f>(AF45-AF43)/AF43</f>
        <v>0.21416411304051752</v>
      </c>
      <c r="AH45" s="128">
        <v>4.0199999999999996</v>
      </c>
      <c r="AI45" s="84">
        <v>45.9</v>
      </c>
      <c r="AJ45" s="128">
        <v>316</v>
      </c>
      <c r="AK45" s="83">
        <v>1661</v>
      </c>
      <c r="AL45" s="102">
        <v>320</v>
      </c>
      <c r="AM45" s="29"/>
      <c r="AN45" s="83">
        <v>7226</v>
      </c>
      <c r="AO45" s="83">
        <v>10863</v>
      </c>
      <c r="AP45" s="83">
        <v>10562</v>
      </c>
      <c r="AQ45" s="29"/>
      <c r="AR45" s="104">
        <v>1435</v>
      </c>
      <c r="AS45" s="104">
        <v>2794</v>
      </c>
      <c r="AT45" s="104">
        <v>2903</v>
      </c>
      <c r="AU45" s="29"/>
      <c r="AV45" s="83">
        <v>22724</v>
      </c>
      <c r="AW45" s="104">
        <v>5624</v>
      </c>
      <c r="AX45" s="29"/>
      <c r="AY45" s="120">
        <v>0.48399999999999999</v>
      </c>
      <c r="AZ45" s="120">
        <v>0.48899999999999999</v>
      </c>
      <c r="BA45" s="121">
        <v>0</v>
      </c>
      <c r="BB45" s="82">
        <v>2.7E-2</v>
      </c>
      <c r="BC45" s="29"/>
      <c r="BD45" s="128">
        <v>0</v>
      </c>
      <c r="BE45" s="89"/>
      <c r="BF45" s="94"/>
      <c r="BG45" s="128">
        <v>0</v>
      </c>
      <c r="BH45" s="128" t="s">
        <v>208</v>
      </c>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c r="DV45" s="20"/>
      <c r="DW45" s="20"/>
      <c r="DX45" s="20"/>
      <c r="DY45" s="20"/>
      <c r="DZ45" s="20"/>
      <c r="EA45" s="20"/>
      <c r="EB45" s="20"/>
      <c r="EC45" s="20"/>
      <c r="ED45" s="20"/>
      <c r="EE45" s="20"/>
      <c r="EF45" s="20"/>
      <c r="EG45" s="20"/>
      <c r="EH45" s="20"/>
      <c r="EI45" s="20"/>
      <c r="EJ45" s="20"/>
      <c r="EK45" s="20"/>
      <c r="EL45" s="20"/>
      <c r="EM45" s="20"/>
      <c r="EN45" s="20"/>
      <c r="EO45" s="20"/>
      <c r="EP45" s="20"/>
      <c r="EQ45" s="20"/>
      <c r="ER45" s="20"/>
      <c r="ES45" s="20"/>
      <c r="ET45" s="20"/>
      <c r="EU45" s="20"/>
      <c r="EV45" s="20"/>
      <c r="EW45" s="20"/>
      <c r="EX45" s="20"/>
      <c r="EY45" s="20"/>
      <c r="EZ45" s="20"/>
      <c r="FA45" s="20"/>
      <c r="FB45" s="20"/>
      <c r="FC45" s="20"/>
      <c r="FD45" s="20"/>
      <c r="FE45" s="20"/>
      <c r="FF45" s="20"/>
      <c r="FG45" s="20"/>
      <c r="FH45" s="20"/>
      <c r="FI45" s="20"/>
      <c r="FJ45" s="20"/>
      <c r="FK45" s="20"/>
      <c r="FL45" s="20"/>
      <c r="FM45" s="20"/>
      <c r="FN45" s="20"/>
      <c r="FO45" s="20"/>
      <c r="FP45" s="20"/>
      <c r="FQ45" s="20"/>
      <c r="FR45" s="20"/>
      <c r="FS45" s="20"/>
      <c r="FT45" s="20"/>
      <c r="FU45" s="20"/>
      <c r="FV45" s="20"/>
      <c r="FW45" s="20"/>
      <c r="FX45" s="20"/>
      <c r="FY45" s="20"/>
      <c r="FZ45" s="20"/>
      <c r="GA45" s="20"/>
      <c r="GB45" s="20"/>
      <c r="GC45" s="20"/>
      <c r="GD45" s="20"/>
      <c r="GE45" s="20"/>
      <c r="GF45" s="20"/>
      <c r="GG45" s="20"/>
      <c r="GH45" s="20"/>
      <c r="GI45" s="20"/>
      <c r="GJ45" s="20"/>
      <c r="GK45" s="20"/>
      <c r="GL45" s="20"/>
      <c r="GM45" s="20"/>
      <c r="GN45" s="20"/>
      <c r="GO45" s="20"/>
      <c r="GP45" s="20"/>
      <c r="GQ45" s="20"/>
      <c r="GR45" s="20"/>
      <c r="GS45" s="20"/>
      <c r="GT45" s="20"/>
      <c r="GU45" s="20"/>
      <c r="GV45" s="20"/>
      <c r="GW45" s="20"/>
      <c r="GX45" s="20"/>
      <c r="GY45" s="20"/>
      <c r="GZ45" s="20"/>
      <c r="HA45" s="20"/>
      <c r="HB45" s="20"/>
      <c r="HC45" s="20"/>
      <c r="HD45" s="20"/>
      <c r="HE45" s="20"/>
      <c r="HF45" s="20"/>
      <c r="HG45" s="20"/>
      <c r="HH45" s="20"/>
      <c r="HI45" s="20"/>
      <c r="HJ45" s="20"/>
      <c r="HK45" s="20"/>
      <c r="HL45" s="20"/>
      <c r="HM45" s="20"/>
      <c r="HN45" s="20"/>
      <c r="HO45" s="20"/>
      <c r="HP45" s="20"/>
      <c r="HQ45" s="20"/>
      <c r="HR45" s="20"/>
      <c r="HS45" s="20"/>
      <c r="HT45" s="20"/>
      <c r="HU45" s="20"/>
      <c r="HV45" s="20"/>
      <c r="HW45" s="20"/>
      <c r="HX45" s="20"/>
      <c r="HY45" s="20"/>
      <c r="HZ45" s="20"/>
      <c r="IA45" s="20"/>
      <c r="IB45" s="20"/>
      <c r="IC45" s="20"/>
      <c r="ID45" s="20"/>
      <c r="IE45" s="20"/>
      <c r="IF45" s="20"/>
      <c r="IG45" s="20"/>
      <c r="IH45" s="20"/>
      <c r="II45" s="20"/>
      <c r="IJ45" s="20"/>
      <c r="IK45" s="20"/>
      <c r="IL45" s="20"/>
      <c r="IM45" s="20"/>
      <c r="IN45" s="20"/>
      <c r="IO45" s="20"/>
      <c r="IP45" s="20"/>
      <c r="IQ45" s="20"/>
      <c r="IR45" s="20"/>
      <c r="IS45" s="20"/>
      <c r="IT45" s="20"/>
      <c r="IU45" s="20"/>
      <c r="IV45" s="20"/>
      <c r="IW45" s="20"/>
      <c r="IX45" s="20"/>
      <c r="IY45" s="20"/>
      <c r="IZ45" s="20"/>
      <c r="JA45" s="20"/>
      <c r="JB45" s="20"/>
      <c r="JC45" s="20"/>
      <c r="JD45" s="20"/>
      <c r="JE45" s="20"/>
      <c r="JF45" s="20"/>
      <c r="JG45" s="20"/>
      <c r="JH45" s="20"/>
      <c r="JI45" s="20"/>
    </row>
    <row r="46" spans="1:269" ht="17.25" customHeight="1">
      <c r="A46" s="101"/>
      <c r="B46" s="20" t="s">
        <v>113</v>
      </c>
      <c r="C46" s="20" t="s">
        <v>122</v>
      </c>
      <c r="D46" s="83">
        <v>1354541</v>
      </c>
      <c r="E46" s="82">
        <v>3.0000000000000001E-3</v>
      </c>
      <c r="F46" s="82">
        <v>9.5000000000000001E-2</v>
      </c>
      <c r="G46" s="29"/>
      <c r="H46" s="83">
        <v>3543</v>
      </c>
      <c r="I46" s="104">
        <v>5908</v>
      </c>
      <c r="J46" s="29"/>
      <c r="K46" s="83">
        <v>23925</v>
      </c>
      <c r="L46" s="104">
        <v>5663</v>
      </c>
      <c r="M46" s="29"/>
      <c r="N46" s="128">
        <v>0.02</v>
      </c>
      <c r="O46" s="128">
        <v>0.01</v>
      </c>
      <c r="P46" s="29"/>
      <c r="Q46" s="85">
        <v>0</v>
      </c>
      <c r="R46" s="14"/>
      <c r="S46" s="15"/>
      <c r="T46" s="104">
        <v>10241</v>
      </c>
      <c r="U46" s="82">
        <f t="shared" ref="U46:U56" si="6">(T46-T45)/T45</f>
        <v>-0.12109509097150704</v>
      </c>
      <c r="V46" s="29"/>
      <c r="W46" s="83">
        <v>16944</v>
      </c>
      <c r="X46" s="82">
        <v>-0.44800000000000001</v>
      </c>
      <c r="Y46" s="29"/>
      <c r="Z46" s="104">
        <v>4334</v>
      </c>
      <c r="AA46" s="82">
        <f t="shared" ref="AA46:AA56" si="7">(Z46-Z45)/Z45</f>
        <v>-0.40937585173071683</v>
      </c>
      <c r="AB46" s="29"/>
      <c r="AC46" s="83">
        <v>26463</v>
      </c>
      <c r="AD46" s="82">
        <v>-7.5999999999999998E-2</v>
      </c>
      <c r="AE46" s="29"/>
      <c r="AF46" s="104">
        <v>6529</v>
      </c>
      <c r="AG46" s="120">
        <f t="shared" ref="AG46:AG56" si="8">(AF46-AF45)/AF45</f>
        <v>-8.454851374088615E-2</v>
      </c>
      <c r="AH46" s="128">
        <v>4.05</v>
      </c>
      <c r="AI46" s="128">
        <v>47.5</v>
      </c>
      <c r="AJ46" s="128">
        <v>322</v>
      </c>
      <c r="AK46" s="83">
        <v>1719</v>
      </c>
      <c r="AL46" s="102">
        <v>337</v>
      </c>
      <c r="AM46" s="29"/>
      <c r="AN46" s="83">
        <v>6783</v>
      </c>
      <c r="AO46" s="83">
        <v>11923</v>
      </c>
      <c r="AP46" s="83">
        <v>7757</v>
      </c>
      <c r="AQ46" s="29"/>
      <c r="AR46" s="104">
        <v>1390</v>
      </c>
      <c r="AS46" s="104">
        <v>2952</v>
      </c>
      <c r="AT46" s="104">
        <v>2187</v>
      </c>
      <c r="AU46" s="29"/>
      <c r="AV46" s="83">
        <v>23110</v>
      </c>
      <c r="AW46" s="104">
        <v>5672</v>
      </c>
      <c r="AX46" s="29"/>
      <c r="AY46" s="120">
        <v>0.77100000000000002</v>
      </c>
      <c r="AZ46" s="120">
        <v>0.21199999999999999</v>
      </c>
      <c r="BA46" s="121">
        <v>0</v>
      </c>
      <c r="BB46" s="82">
        <v>1.7000000000000001E-2</v>
      </c>
      <c r="BC46" s="29"/>
      <c r="BD46" s="128">
        <v>0</v>
      </c>
      <c r="BE46" s="89"/>
      <c r="BF46" s="94"/>
      <c r="BG46" s="128">
        <v>0</v>
      </c>
      <c r="BH46" s="128" t="s">
        <v>208</v>
      </c>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c r="FY46" s="20"/>
      <c r="FZ46" s="20"/>
      <c r="GA46" s="20"/>
      <c r="GB46" s="20"/>
      <c r="GC46" s="20"/>
      <c r="GD46" s="20"/>
      <c r="GE46" s="20"/>
      <c r="GF46" s="20"/>
      <c r="GG46" s="20"/>
      <c r="GH46" s="20"/>
      <c r="GI46" s="20"/>
      <c r="GJ46" s="20"/>
      <c r="GK46" s="20"/>
      <c r="GL46" s="20"/>
      <c r="GM46" s="20"/>
      <c r="GN46" s="20"/>
      <c r="GO46" s="20"/>
      <c r="GP46" s="20"/>
      <c r="GQ46" s="20"/>
      <c r="GR46" s="20"/>
      <c r="GS46" s="20"/>
      <c r="GT46" s="20"/>
      <c r="GU46" s="20"/>
      <c r="GV46" s="20"/>
      <c r="GW46" s="20"/>
      <c r="GX46" s="20"/>
      <c r="GY46" s="20"/>
      <c r="GZ46" s="20"/>
      <c r="HA46" s="20"/>
      <c r="HB46" s="20"/>
      <c r="HC46" s="20"/>
      <c r="HD46" s="20"/>
      <c r="HE46" s="20"/>
      <c r="HF46" s="20"/>
      <c r="HG46" s="20"/>
      <c r="HH46" s="20"/>
      <c r="HI46" s="20"/>
      <c r="HJ46" s="20"/>
      <c r="HK46" s="20"/>
      <c r="HL46" s="20"/>
      <c r="HM46" s="20"/>
      <c r="HN46" s="20"/>
      <c r="HO46" s="20"/>
      <c r="HP46" s="20"/>
      <c r="HQ46" s="20"/>
      <c r="HR46" s="20"/>
      <c r="HS46" s="20"/>
      <c r="HT46" s="20"/>
      <c r="HU46" s="20"/>
      <c r="HV46" s="20"/>
      <c r="HW46" s="20"/>
      <c r="HX46" s="20"/>
      <c r="HY46" s="20"/>
      <c r="HZ46" s="20"/>
      <c r="IA46" s="20"/>
      <c r="IB46" s="20"/>
      <c r="IC46" s="20"/>
      <c r="ID46" s="20"/>
      <c r="IE46" s="20"/>
      <c r="IF46" s="20"/>
      <c r="IG46" s="20"/>
      <c r="IH46" s="20"/>
      <c r="II46" s="20"/>
      <c r="IJ46" s="20"/>
      <c r="IK46" s="20"/>
      <c r="IL46" s="20"/>
      <c r="IM46" s="20"/>
      <c r="IN46" s="20"/>
      <c r="IO46" s="20"/>
      <c r="IP46" s="20"/>
      <c r="IQ46" s="20"/>
      <c r="IR46" s="20"/>
      <c r="IS46" s="20"/>
      <c r="IT46" s="20"/>
      <c r="IU46" s="20"/>
      <c r="IV46" s="20"/>
      <c r="IW46" s="20"/>
      <c r="IX46" s="20"/>
      <c r="IY46" s="20"/>
      <c r="IZ46" s="20"/>
      <c r="JA46" s="20"/>
      <c r="JB46" s="20"/>
      <c r="JC46" s="20"/>
      <c r="JD46" s="20"/>
      <c r="JE46" s="20"/>
      <c r="JF46" s="20"/>
      <c r="JG46" s="20"/>
      <c r="JH46" s="20"/>
      <c r="JI46" s="20"/>
    </row>
    <row r="47" spans="1:269" ht="17.25" customHeight="1">
      <c r="A47" s="101"/>
      <c r="B47" s="20" t="s">
        <v>112</v>
      </c>
      <c r="C47" s="20" t="s">
        <v>210</v>
      </c>
      <c r="D47" s="83">
        <v>1358888</v>
      </c>
      <c r="E47" s="82">
        <v>3.0000000000000001E-3</v>
      </c>
      <c r="F47" s="82">
        <v>8.8999999999999996E-2</v>
      </c>
      <c r="G47" s="29"/>
      <c r="H47" s="83">
        <v>3509</v>
      </c>
      <c r="I47" s="104">
        <v>5796</v>
      </c>
      <c r="J47" s="29"/>
      <c r="K47" s="83">
        <v>23880</v>
      </c>
      <c r="L47" s="104">
        <v>5634</v>
      </c>
      <c r="M47" s="29"/>
      <c r="N47" s="128">
        <v>0.02</v>
      </c>
      <c r="O47" s="128">
        <v>0.01</v>
      </c>
      <c r="P47" s="29"/>
      <c r="Q47" s="85">
        <v>0</v>
      </c>
      <c r="R47" s="14"/>
      <c r="S47" s="15"/>
      <c r="T47" s="104">
        <v>15891</v>
      </c>
      <c r="U47" s="82">
        <f t="shared" si="6"/>
        <v>0.55170393516258176</v>
      </c>
      <c r="V47" s="29"/>
      <c r="W47" s="83">
        <v>20364</v>
      </c>
      <c r="X47" s="82">
        <v>0.20200000000000001</v>
      </c>
      <c r="Y47" s="29"/>
      <c r="Z47" s="104">
        <v>5240</v>
      </c>
      <c r="AA47" s="82">
        <f t="shared" si="7"/>
        <v>0.20904476234425473</v>
      </c>
      <c r="AB47" s="29"/>
      <c r="AC47" s="83">
        <v>37998</v>
      </c>
      <c r="AD47" s="82">
        <v>0.436</v>
      </c>
      <c r="AE47" s="29"/>
      <c r="AF47" s="104">
        <v>9200</v>
      </c>
      <c r="AG47" s="120">
        <f t="shared" si="8"/>
        <v>0.40909787103691225</v>
      </c>
      <c r="AH47" s="128">
        <v>4.13</v>
      </c>
      <c r="AI47" s="128">
        <v>47.6</v>
      </c>
      <c r="AJ47" s="128">
        <v>319</v>
      </c>
      <c r="AK47" s="83">
        <v>2084</v>
      </c>
      <c r="AL47" s="102">
        <v>406</v>
      </c>
      <c r="AM47" s="29"/>
      <c r="AN47" s="83">
        <v>7910</v>
      </c>
      <c r="AO47" s="83">
        <v>18783</v>
      </c>
      <c r="AP47" s="83">
        <v>11305</v>
      </c>
      <c r="AQ47" s="29"/>
      <c r="AR47" s="104">
        <v>1590</v>
      </c>
      <c r="AS47" s="104">
        <v>4541</v>
      </c>
      <c r="AT47" s="104">
        <v>3069</v>
      </c>
      <c r="AU47" s="29"/>
      <c r="AV47" s="83">
        <v>32334</v>
      </c>
      <c r="AW47" s="104">
        <v>7766</v>
      </c>
      <c r="AX47" s="29"/>
      <c r="AY47" s="120">
        <v>0.86199999999999999</v>
      </c>
      <c r="AZ47" s="120">
        <v>0.108</v>
      </c>
      <c r="BA47" s="121">
        <v>0</v>
      </c>
      <c r="BB47" s="86">
        <v>0.03</v>
      </c>
      <c r="BC47" s="29"/>
      <c r="BD47" s="128">
        <v>0</v>
      </c>
      <c r="BE47" s="89"/>
      <c r="BF47" s="94"/>
      <c r="BG47" s="128">
        <v>0</v>
      </c>
      <c r="BH47" s="128" t="s">
        <v>208</v>
      </c>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c r="FY47" s="20"/>
      <c r="FZ47" s="20"/>
      <c r="GA47" s="20"/>
      <c r="GB47" s="20"/>
      <c r="GC47" s="20"/>
      <c r="GD47" s="20"/>
      <c r="GE47" s="20"/>
      <c r="GF47" s="20"/>
      <c r="GG47" s="20"/>
      <c r="GH47" s="20"/>
      <c r="GI47" s="20"/>
      <c r="GJ47" s="20"/>
      <c r="GK47" s="20"/>
      <c r="GL47" s="20"/>
      <c r="GM47" s="20"/>
      <c r="GN47" s="20"/>
      <c r="GO47" s="20"/>
      <c r="GP47" s="20"/>
      <c r="GQ47" s="20"/>
      <c r="GR47" s="20"/>
      <c r="GS47" s="20"/>
      <c r="GT47" s="20"/>
      <c r="GU47" s="20"/>
      <c r="GV47" s="20"/>
      <c r="GW47" s="20"/>
      <c r="GX47" s="20"/>
      <c r="GY47" s="20"/>
      <c r="GZ47" s="20"/>
      <c r="HA47" s="20"/>
      <c r="HB47" s="20"/>
      <c r="HC47" s="20"/>
      <c r="HD47" s="20"/>
      <c r="HE47" s="20"/>
      <c r="HF47" s="20"/>
      <c r="HG47" s="20"/>
      <c r="HH47" s="20"/>
      <c r="HI47" s="20"/>
      <c r="HJ47" s="20"/>
      <c r="HK47" s="20"/>
      <c r="HL47" s="20"/>
      <c r="HM47" s="20"/>
      <c r="HN47" s="20"/>
      <c r="HO47" s="20"/>
      <c r="HP47" s="20"/>
      <c r="HQ47" s="20"/>
      <c r="HR47" s="20"/>
      <c r="HS47" s="20"/>
      <c r="HT47" s="20"/>
      <c r="HU47" s="20"/>
      <c r="HV47" s="20"/>
      <c r="HW47" s="20"/>
      <c r="HX47" s="20"/>
      <c r="HY47" s="20"/>
      <c r="HZ47" s="20"/>
      <c r="IA47" s="20"/>
      <c r="IB47" s="20"/>
      <c r="IC47" s="20"/>
      <c r="ID47" s="20"/>
      <c r="IE47" s="20"/>
      <c r="IF47" s="20"/>
      <c r="IG47" s="20"/>
      <c r="IH47" s="20"/>
      <c r="II47" s="20"/>
      <c r="IJ47" s="20"/>
      <c r="IK47" s="20"/>
      <c r="IL47" s="20"/>
      <c r="IM47" s="20"/>
      <c r="IN47" s="20"/>
      <c r="IO47" s="20"/>
      <c r="IP47" s="20"/>
      <c r="IQ47" s="20"/>
      <c r="IR47" s="20"/>
      <c r="IS47" s="20"/>
      <c r="IT47" s="20"/>
      <c r="IU47" s="20"/>
      <c r="IV47" s="20"/>
      <c r="IW47" s="20"/>
      <c r="IX47" s="20"/>
      <c r="IY47" s="20"/>
      <c r="IZ47" s="20"/>
      <c r="JA47" s="20"/>
      <c r="JB47" s="20"/>
      <c r="JC47" s="20"/>
      <c r="JD47" s="20"/>
      <c r="JE47" s="20"/>
      <c r="JF47" s="20"/>
      <c r="JG47" s="20"/>
      <c r="JH47" s="20"/>
      <c r="JI47" s="20"/>
    </row>
    <row r="48" spans="1:269" ht="17.25" customHeight="1">
      <c r="A48" s="101"/>
      <c r="B48" s="20" t="s">
        <v>111</v>
      </c>
      <c r="C48" s="20" t="s">
        <v>211</v>
      </c>
      <c r="D48" s="83">
        <v>1363952</v>
      </c>
      <c r="E48" s="82">
        <v>4.0000000000000001E-3</v>
      </c>
      <c r="F48" s="82">
        <v>8.5999999999999993E-2</v>
      </c>
      <c r="G48" s="29"/>
      <c r="H48" s="83">
        <v>3474</v>
      </c>
      <c r="I48" s="104">
        <v>5637</v>
      </c>
      <c r="J48" s="29"/>
      <c r="K48" s="83">
        <v>23734</v>
      </c>
      <c r="L48" s="104">
        <v>5579</v>
      </c>
      <c r="M48" s="29"/>
      <c r="N48" s="128">
        <v>0.02</v>
      </c>
      <c r="O48" s="128">
        <v>0.01</v>
      </c>
      <c r="P48" s="29"/>
      <c r="Q48" s="85">
        <v>0</v>
      </c>
      <c r="R48" s="14"/>
      <c r="S48" s="15"/>
      <c r="T48" s="104">
        <v>15199</v>
      </c>
      <c r="U48" s="82">
        <f t="shared" si="6"/>
        <v>-4.3546661632370524E-2</v>
      </c>
      <c r="V48" s="29"/>
      <c r="W48" s="83">
        <v>21792</v>
      </c>
      <c r="X48" s="82">
        <v>7.0000000000000007E-2</v>
      </c>
      <c r="Y48" s="29"/>
      <c r="Z48" s="104">
        <v>5588</v>
      </c>
      <c r="AA48" s="82">
        <f t="shared" si="7"/>
        <v>6.6412213740458012E-2</v>
      </c>
      <c r="AB48" s="29"/>
      <c r="AC48" s="83">
        <v>40814</v>
      </c>
      <c r="AD48" s="82">
        <v>7.3999999999999996E-2</v>
      </c>
      <c r="AE48" s="29"/>
      <c r="AF48" s="104">
        <v>9850</v>
      </c>
      <c r="AG48" s="120">
        <f t="shared" si="8"/>
        <v>7.0652173913043473E-2</v>
      </c>
      <c r="AH48" s="128">
        <v>4.1399999999999997</v>
      </c>
      <c r="AI48" s="84">
        <v>48</v>
      </c>
      <c r="AJ48" s="128">
        <v>320</v>
      </c>
      <c r="AK48" s="83">
        <v>1701</v>
      </c>
      <c r="AL48" s="102">
        <v>316</v>
      </c>
      <c r="AM48" s="29"/>
      <c r="AN48" s="83">
        <v>8377</v>
      </c>
      <c r="AO48" s="83">
        <v>21181</v>
      </c>
      <c r="AP48" s="83">
        <v>11256</v>
      </c>
      <c r="AQ48" s="29"/>
      <c r="AR48" s="104">
        <v>1759</v>
      </c>
      <c r="AS48" s="104">
        <v>5002</v>
      </c>
      <c r="AT48" s="104">
        <v>3089</v>
      </c>
      <c r="AU48" s="29"/>
      <c r="AV48" s="83">
        <v>35706</v>
      </c>
      <c r="AW48" s="104">
        <v>8536</v>
      </c>
      <c r="AX48" s="29"/>
      <c r="AY48" s="120">
        <v>0.89100000000000001</v>
      </c>
      <c r="AZ48" s="120">
        <v>8.1000000000000003E-2</v>
      </c>
      <c r="BA48" s="121">
        <v>0</v>
      </c>
      <c r="BB48" s="82">
        <v>2.8000000000000001E-2</v>
      </c>
      <c r="BC48" s="29"/>
      <c r="BD48" s="128">
        <v>0</v>
      </c>
      <c r="BE48" s="89"/>
      <c r="BF48" s="94"/>
      <c r="BG48" s="128">
        <v>0</v>
      </c>
      <c r="BH48" s="128" t="s">
        <v>208</v>
      </c>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c r="FY48" s="20"/>
      <c r="FZ48" s="20"/>
      <c r="GA48" s="20"/>
      <c r="GB48" s="20"/>
      <c r="GC48" s="20"/>
      <c r="GD48" s="20"/>
      <c r="GE48" s="20"/>
      <c r="GF48" s="20"/>
      <c r="GG48" s="20"/>
      <c r="GH48" s="20"/>
      <c r="GI48" s="20"/>
      <c r="GJ48" s="20"/>
      <c r="GK48" s="20"/>
      <c r="GL48" s="20"/>
      <c r="GM48" s="20"/>
      <c r="GN48" s="20"/>
      <c r="GO48" s="20"/>
      <c r="GP48" s="20"/>
      <c r="GQ48" s="20"/>
      <c r="GR48" s="20"/>
      <c r="GS48" s="20"/>
      <c r="GT48" s="20"/>
      <c r="GU48" s="20"/>
      <c r="GV48" s="20"/>
      <c r="GW48" s="20"/>
      <c r="GX48" s="20"/>
      <c r="GY48" s="20"/>
      <c r="GZ48" s="20"/>
      <c r="HA48" s="20"/>
      <c r="HB48" s="20"/>
      <c r="HC48" s="20"/>
      <c r="HD48" s="20"/>
      <c r="HE48" s="20"/>
      <c r="HF48" s="20"/>
      <c r="HG48" s="20"/>
      <c r="HH48" s="20"/>
      <c r="HI48" s="20"/>
      <c r="HJ48" s="20"/>
      <c r="HK48" s="20"/>
      <c r="HL48" s="20"/>
      <c r="HM48" s="20"/>
      <c r="HN48" s="20"/>
      <c r="HO48" s="20"/>
      <c r="HP48" s="20"/>
      <c r="HQ48" s="20"/>
      <c r="HR48" s="20"/>
      <c r="HS48" s="20"/>
      <c r="HT48" s="20"/>
      <c r="HU48" s="20"/>
      <c r="HV48" s="20"/>
      <c r="HW48" s="20"/>
      <c r="HX48" s="20"/>
      <c r="HY48" s="20"/>
      <c r="HZ48" s="20"/>
      <c r="IA48" s="20"/>
      <c r="IB48" s="20"/>
      <c r="IC48" s="20"/>
      <c r="ID48" s="20"/>
      <c r="IE48" s="20"/>
      <c r="IF48" s="20"/>
      <c r="IG48" s="20"/>
      <c r="IH48" s="20"/>
      <c r="II48" s="20"/>
      <c r="IJ48" s="20"/>
      <c r="IK48" s="20"/>
      <c r="IL48" s="20"/>
      <c r="IM48" s="20"/>
      <c r="IN48" s="20"/>
      <c r="IO48" s="20"/>
      <c r="IP48" s="20"/>
      <c r="IQ48" s="20"/>
      <c r="IR48" s="20"/>
      <c r="IS48" s="20"/>
      <c r="IT48" s="20"/>
      <c r="IU48" s="20"/>
      <c r="IV48" s="20"/>
      <c r="IW48" s="20"/>
      <c r="IX48" s="20"/>
      <c r="IY48" s="20"/>
      <c r="IZ48" s="20"/>
      <c r="JA48" s="20"/>
      <c r="JB48" s="20"/>
      <c r="JC48" s="20"/>
      <c r="JD48" s="20"/>
      <c r="JE48" s="20"/>
      <c r="JF48" s="20"/>
      <c r="JG48" s="20"/>
      <c r="JH48" s="20"/>
      <c r="JI48" s="20"/>
    </row>
    <row r="49" spans="1:269" ht="17.25" customHeight="1">
      <c r="A49" s="101"/>
      <c r="B49" s="20" t="s">
        <v>110</v>
      </c>
      <c r="C49" s="20" t="s">
        <v>212</v>
      </c>
      <c r="D49" s="83">
        <v>1378019</v>
      </c>
      <c r="E49" s="86">
        <v>0.01</v>
      </c>
      <c r="F49" s="82">
        <v>8.6999999999999994E-2</v>
      </c>
      <c r="G49" s="29"/>
      <c r="H49" s="83">
        <v>3441</v>
      </c>
      <c r="I49" s="104">
        <v>5404</v>
      </c>
      <c r="J49" s="29"/>
      <c r="K49" s="83">
        <v>24400</v>
      </c>
      <c r="L49" s="104">
        <v>5722</v>
      </c>
      <c r="M49" s="29"/>
      <c r="N49" s="128">
        <v>0.02</v>
      </c>
      <c r="O49" s="128">
        <v>0.01</v>
      </c>
      <c r="P49" s="29"/>
      <c r="Q49" s="85">
        <v>0</v>
      </c>
      <c r="R49" s="14"/>
      <c r="S49" s="15"/>
      <c r="T49" s="104">
        <v>17634</v>
      </c>
      <c r="U49" s="82">
        <f t="shared" si="6"/>
        <v>0.1602079084150273</v>
      </c>
      <c r="V49" s="29"/>
      <c r="W49" s="83">
        <v>34051</v>
      </c>
      <c r="X49" s="82">
        <v>0.56299999999999994</v>
      </c>
      <c r="Y49" s="29"/>
      <c r="Z49" s="104">
        <v>8514</v>
      </c>
      <c r="AA49" s="82">
        <f t="shared" si="7"/>
        <v>0.52362204724409445</v>
      </c>
      <c r="AB49" s="29"/>
      <c r="AC49" s="83">
        <v>53211</v>
      </c>
      <c r="AD49" s="82">
        <v>0.30399999999999999</v>
      </c>
      <c r="AE49" s="29"/>
      <c r="AF49" s="104">
        <v>12262</v>
      </c>
      <c r="AG49" s="120">
        <f t="shared" si="8"/>
        <v>0.24487309644670049</v>
      </c>
      <c r="AH49" s="128">
        <v>4.34</v>
      </c>
      <c r="AI49" s="84">
        <v>47</v>
      </c>
      <c r="AJ49" s="128">
        <v>319</v>
      </c>
      <c r="AK49" s="83">
        <v>2132</v>
      </c>
      <c r="AL49" s="102">
        <v>410</v>
      </c>
      <c r="AM49" s="29"/>
      <c r="AN49" s="83">
        <v>12477</v>
      </c>
      <c r="AO49" s="83">
        <v>26168</v>
      </c>
      <c r="AP49" s="83">
        <v>14567</v>
      </c>
      <c r="AQ49" s="29"/>
      <c r="AR49" s="104">
        <v>2607</v>
      </c>
      <c r="AS49" s="104">
        <v>5872</v>
      </c>
      <c r="AT49" s="104">
        <v>3783</v>
      </c>
      <c r="AU49" s="29"/>
      <c r="AV49" s="83">
        <v>44930</v>
      </c>
      <c r="AW49" s="104">
        <v>10174</v>
      </c>
      <c r="AX49" s="29"/>
      <c r="AY49" s="120">
        <v>0.88100000000000001</v>
      </c>
      <c r="AZ49" s="120">
        <v>8.5999999999999993E-2</v>
      </c>
      <c r="BA49" s="121">
        <v>0</v>
      </c>
      <c r="BB49" s="82">
        <v>3.3000000000000002E-2</v>
      </c>
      <c r="BC49" s="29"/>
      <c r="BD49" s="128">
        <v>0</v>
      </c>
      <c r="BE49" s="89"/>
      <c r="BF49" s="94"/>
      <c r="BG49" s="128">
        <v>0</v>
      </c>
      <c r="BH49" s="128" t="s">
        <v>208</v>
      </c>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c r="FL49" s="20"/>
      <c r="FM49" s="20"/>
      <c r="FN49" s="20"/>
      <c r="FO49" s="20"/>
      <c r="FP49" s="20"/>
      <c r="FQ49" s="20"/>
      <c r="FR49" s="20"/>
      <c r="FS49" s="20"/>
      <c r="FT49" s="20"/>
      <c r="FU49" s="20"/>
      <c r="FV49" s="20"/>
      <c r="FW49" s="20"/>
      <c r="FX49" s="20"/>
      <c r="FY49" s="20"/>
      <c r="FZ49" s="20"/>
      <c r="GA49" s="20"/>
      <c r="GB49" s="20"/>
      <c r="GC49" s="20"/>
      <c r="GD49" s="20"/>
      <c r="GE49" s="20"/>
      <c r="GF49" s="20"/>
      <c r="GG49" s="20"/>
      <c r="GH49" s="20"/>
      <c r="GI49" s="20"/>
      <c r="GJ49" s="20"/>
      <c r="GK49" s="20"/>
      <c r="GL49" s="20"/>
      <c r="GM49" s="20"/>
      <c r="GN49" s="20"/>
      <c r="GO49" s="20"/>
      <c r="GP49" s="20"/>
      <c r="GQ49" s="20"/>
      <c r="GR49" s="20"/>
      <c r="GS49" s="20"/>
      <c r="GT49" s="20"/>
      <c r="GU49" s="20"/>
      <c r="GV49" s="20"/>
      <c r="GW49" s="20"/>
      <c r="GX49" s="20"/>
      <c r="GY49" s="20"/>
      <c r="GZ49" s="20"/>
      <c r="HA49" s="20"/>
      <c r="HB49" s="20"/>
      <c r="HC49" s="20"/>
      <c r="HD49" s="20"/>
      <c r="HE49" s="20"/>
      <c r="HF49" s="20"/>
      <c r="HG49" s="20"/>
      <c r="HH49" s="20"/>
      <c r="HI49" s="20"/>
      <c r="HJ49" s="20"/>
      <c r="HK49" s="20"/>
      <c r="HL49" s="20"/>
      <c r="HM49" s="20"/>
      <c r="HN49" s="20"/>
      <c r="HO49" s="20"/>
      <c r="HP49" s="20"/>
      <c r="HQ49" s="20"/>
      <c r="HR49" s="20"/>
      <c r="HS49" s="20"/>
      <c r="HT49" s="20"/>
      <c r="HU49" s="20"/>
      <c r="HV49" s="20"/>
      <c r="HW49" s="20"/>
      <c r="HX49" s="20"/>
      <c r="HY49" s="20"/>
      <c r="HZ49" s="20"/>
      <c r="IA49" s="20"/>
      <c r="IB49" s="20"/>
      <c r="IC49" s="20"/>
      <c r="ID49" s="20"/>
      <c r="IE49" s="20"/>
      <c r="IF49" s="20"/>
      <c r="IG49" s="20"/>
      <c r="IH49" s="20"/>
      <c r="II49" s="20"/>
      <c r="IJ49" s="20"/>
      <c r="IK49" s="20"/>
      <c r="IL49" s="20"/>
      <c r="IM49" s="20"/>
      <c r="IN49" s="20"/>
      <c r="IO49" s="20"/>
      <c r="IP49" s="20"/>
      <c r="IQ49" s="20"/>
      <c r="IR49" s="20"/>
      <c r="IS49" s="20"/>
      <c r="IT49" s="20"/>
      <c r="IU49" s="20"/>
      <c r="IV49" s="20"/>
      <c r="IW49" s="20"/>
      <c r="IX49" s="20"/>
      <c r="IY49" s="20"/>
      <c r="IZ49" s="20"/>
      <c r="JA49" s="20"/>
      <c r="JB49" s="20"/>
      <c r="JC49" s="20"/>
      <c r="JD49" s="20"/>
      <c r="JE49" s="20"/>
      <c r="JF49" s="20"/>
      <c r="JG49" s="20"/>
      <c r="JH49" s="20"/>
      <c r="JI49" s="20"/>
    </row>
    <row r="50" spans="1:269" ht="17.25" customHeight="1">
      <c r="A50" s="101"/>
      <c r="B50" s="20" t="s">
        <v>61</v>
      </c>
      <c r="C50" s="20" t="s">
        <v>213</v>
      </c>
      <c r="D50" s="83">
        <v>1397188</v>
      </c>
      <c r="E50" s="82">
        <v>1.4E-2</v>
      </c>
      <c r="F50" s="82">
        <v>9.0999999999999998E-2</v>
      </c>
      <c r="G50" s="29"/>
      <c r="H50" s="83">
        <v>3436</v>
      </c>
      <c r="I50" s="104">
        <v>5263</v>
      </c>
      <c r="J50" s="29"/>
      <c r="K50" s="83">
        <v>25866</v>
      </c>
      <c r="L50" s="104">
        <v>5953</v>
      </c>
      <c r="M50" s="29"/>
      <c r="N50" s="128">
        <v>0.02</v>
      </c>
      <c r="O50" s="128">
        <v>0.01</v>
      </c>
      <c r="P50" s="29"/>
      <c r="Q50" s="85">
        <v>0</v>
      </c>
      <c r="R50" s="14"/>
      <c r="S50" s="15"/>
      <c r="T50" s="104">
        <v>12873</v>
      </c>
      <c r="U50" s="82">
        <f t="shared" si="6"/>
        <v>-0.26998979244641036</v>
      </c>
      <c r="V50" s="29"/>
      <c r="W50" s="83">
        <v>39195</v>
      </c>
      <c r="X50" s="82">
        <v>0.151</v>
      </c>
      <c r="Y50" s="29"/>
      <c r="Z50" s="104">
        <v>9121</v>
      </c>
      <c r="AA50" s="82">
        <f t="shared" si="7"/>
        <v>7.1294338736199198E-2</v>
      </c>
      <c r="AB50" s="29"/>
      <c r="AC50" s="83">
        <v>45451</v>
      </c>
      <c r="AD50" s="82">
        <v>-0.14599999999999999</v>
      </c>
      <c r="AE50" s="29"/>
      <c r="AF50" s="104">
        <v>10756</v>
      </c>
      <c r="AG50" s="120">
        <f t="shared" si="8"/>
        <v>-0.12281846354591421</v>
      </c>
      <c r="AH50" s="128">
        <v>4.2300000000000004</v>
      </c>
      <c r="AI50" s="128">
        <v>47.3</v>
      </c>
      <c r="AJ50" s="128">
        <v>323</v>
      </c>
      <c r="AK50" s="83">
        <v>1557</v>
      </c>
      <c r="AL50" s="102">
        <v>311</v>
      </c>
      <c r="AM50" s="29"/>
      <c r="AN50" s="83">
        <v>11455</v>
      </c>
      <c r="AO50" s="83">
        <v>18917</v>
      </c>
      <c r="AP50" s="83">
        <v>15078</v>
      </c>
      <c r="AQ50" s="29"/>
      <c r="AR50" s="104">
        <v>2489</v>
      </c>
      <c r="AS50" s="104">
        <v>4332</v>
      </c>
      <c r="AT50" s="104">
        <v>3935</v>
      </c>
      <c r="AU50" s="29"/>
      <c r="AV50" s="83">
        <v>38060</v>
      </c>
      <c r="AW50" s="104">
        <v>8964</v>
      </c>
      <c r="AX50" s="29"/>
      <c r="AY50" s="120">
        <v>0.88400000000000001</v>
      </c>
      <c r="AZ50" s="120">
        <v>8.8999999999999996E-2</v>
      </c>
      <c r="BA50" s="121">
        <v>0</v>
      </c>
      <c r="BB50" s="82">
        <v>2.7E-2</v>
      </c>
      <c r="BC50" s="29"/>
      <c r="BD50" s="128">
        <v>0</v>
      </c>
      <c r="BE50" s="89"/>
      <c r="BF50" s="94"/>
      <c r="BG50" s="128">
        <v>0</v>
      </c>
      <c r="BH50" s="128" t="s">
        <v>208</v>
      </c>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c r="HE50" s="20"/>
      <c r="HF50" s="20"/>
      <c r="HG50" s="20"/>
      <c r="HH50" s="20"/>
      <c r="HI50" s="20"/>
      <c r="HJ50" s="20"/>
      <c r="HK50" s="20"/>
      <c r="HL50" s="20"/>
      <c r="HM50" s="20"/>
      <c r="HN50" s="20"/>
      <c r="HO50" s="20"/>
      <c r="HP50" s="20"/>
      <c r="HQ50" s="20"/>
      <c r="HR50" s="20"/>
      <c r="HS50" s="20"/>
      <c r="HT50" s="20"/>
      <c r="HU50" s="20"/>
      <c r="HV50" s="20"/>
      <c r="HW50" s="20"/>
      <c r="HX50" s="20"/>
      <c r="HY50" s="20"/>
      <c r="HZ50" s="20"/>
      <c r="IA50" s="20"/>
      <c r="IB50" s="20"/>
      <c r="IC50" s="20"/>
      <c r="ID50" s="20"/>
      <c r="IE50" s="20"/>
      <c r="IF50" s="20"/>
      <c r="IG50" s="20"/>
      <c r="IH50" s="20"/>
      <c r="II50" s="20"/>
      <c r="IJ50" s="20"/>
      <c r="IK50" s="20"/>
      <c r="IL50" s="20"/>
      <c r="IM50" s="20"/>
      <c r="IN50" s="20"/>
      <c r="IO50" s="20"/>
      <c r="IP50" s="20"/>
      <c r="IQ50" s="20"/>
      <c r="IR50" s="20"/>
      <c r="IS50" s="20"/>
      <c r="IT50" s="20"/>
      <c r="IU50" s="20"/>
      <c r="IV50" s="20"/>
      <c r="IW50" s="20"/>
      <c r="IX50" s="20"/>
      <c r="IY50" s="20"/>
      <c r="IZ50" s="20"/>
      <c r="JA50" s="20"/>
      <c r="JB50" s="20"/>
      <c r="JC50" s="20"/>
      <c r="JD50" s="20"/>
      <c r="JE50" s="20"/>
      <c r="JF50" s="20"/>
      <c r="JG50" s="20"/>
      <c r="JH50" s="20"/>
      <c r="JI50" s="20"/>
    </row>
    <row r="51" spans="1:269" ht="17.25" customHeight="1">
      <c r="A51" s="101"/>
      <c r="B51" s="20" t="s">
        <v>120</v>
      </c>
      <c r="C51" s="20" t="s">
        <v>147</v>
      </c>
      <c r="D51" s="83">
        <v>1415971</v>
      </c>
      <c r="E51" s="82">
        <v>1.2999999999999999E-2</v>
      </c>
      <c r="F51" s="82">
        <v>9.7000000000000003E-2</v>
      </c>
      <c r="G51" s="29"/>
      <c r="H51" s="83">
        <v>3406</v>
      </c>
      <c r="I51" s="104">
        <v>5054</v>
      </c>
      <c r="J51" s="29"/>
      <c r="K51" s="83">
        <v>26455</v>
      </c>
      <c r="L51" s="104">
        <v>6086</v>
      </c>
      <c r="M51" s="29"/>
      <c r="N51" s="128">
        <v>0.02</v>
      </c>
      <c r="O51" s="128">
        <v>0.01</v>
      </c>
      <c r="P51" s="29"/>
      <c r="Q51" s="85">
        <v>0</v>
      </c>
      <c r="R51" s="14"/>
      <c r="S51" s="15"/>
      <c r="T51" s="104">
        <v>15439</v>
      </c>
      <c r="U51" s="82">
        <f t="shared" si="6"/>
        <v>0.19933193505787306</v>
      </c>
      <c r="V51" s="29"/>
      <c r="W51" s="83">
        <v>41437</v>
      </c>
      <c r="X51" s="82">
        <v>5.7000000000000002E-2</v>
      </c>
      <c r="Y51" s="29"/>
      <c r="Z51" s="104">
        <v>9841</v>
      </c>
      <c r="AA51" s="82">
        <f t="shared" si="7"/>
        <v>7.893871286043197E-2</v>
      </c>
      <c r="AB51" s="29"/>
      <c r="AC51" s="83">
        <v>47595</v>
      </c>
      <c r="AD51" s="82">
        <v>4.7E-2</v>
      </c>
      <c r="AE51" s="29"/>
      <c r="AF51" s="104">
        <v>11371</v>
      </c>
      <c r="AG51" s="120">
        <f t="shared" si="8"/>
        <v>5.7177389364075862E-2</v>
      </c>
      <c r="AH51" s="85">
        <v>4.1900000000000004</v>
      </c>
      <c r="AI51" s="128">
        <v>46.1</v>
      </c>
      <c r="AJ51" s="128">
        <v>321</v>
      </c>
      <c r="AK51" s="83">
        <v>1522</v>
      </c>
      <c r="AL51" s="102">
        <v>310</v>
      </c>
      <c r="AM51" s="29"/>
      <c r="AN51" s="83">
        <v>11330</v>
      </c>
      <c r="AO51" s="83">
        <v>16821</v>
      </c>
      <c r="AP51" s="83">
        <v>19444</v>
      </c>
      <c r="AQ51" s="29"/>
      <c r="AR51" s="104">
        <v>2335</v>
      </c>
      <c r="AS51" s="104">
        <v>3902</v>
      </c>
      <c r="AT51" s="104">
        <v>5134</v>
      </c>
      <c r="AU51" s="29"/>
      <c r="AV51" s="83">
        <v>39731</v>
      </c>
      <c r="AW51" s="104">
        <v>9435</v>
      </c>
      <c r="AX51" s="29"/>
      <c r="AY51" s="120">
        <v>0.88700000000000001</v>
      </c>
      <c r="AZ51" s="120">
        <v>8.8999999999999996E-2</v>
      </c>
      <c r="BA51" s="121">
        <v>0</v>
      </c>
      <c r="BB51" s="82">
        <v>2.4E-2</v>
      </c>
      <c r="BC51" s="29"/>
      <c r="BD51" s="128">
        <v>0</v>
      </c>
      <c r="BE51" s="89"/>
      <c r="BF51" s="94"/>
      <c r="BG51" s="128">
        <v>0</v>
      </c>
      <c r="BH51" s="128" t="s">
        <v>208</v>
      </c>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c r="FC51" s="20"/>
      <c r="FD51" s="20"/>
      <c r="FE51" s="20"/>
      <c r="FF51" s="20"/>
      <c r="FG51" s="20"/>
      <c r="FH51" s="20"/>
      <c r="FI51" s="20"/>
      <c r="FJ51" s="20"/>
      <c r="FK51" s="20"/>
      <c r="FL51" s="20"/>
      <c r="FM51" s="20"/>
      <c r="FN51" s="20"/>
      <c r="FO51" s="20"/>
      <c r="FP51" s="20"/>
      <c r="FQ51" s="20"/>
      <c r="FR51" s="20"/>
      <c r="FS51" s="20"/>
      <c r="FT51" s="20"/>
      <c r="FU51" s="20"/>
      <c r="FV51" s="20"/>
      <c r="FW51" s="20"/>
      <c r="FX51" s="20"/>
      <c r="FY51" s="20"/>
      <c r="FZ51" s="20"/>
      <c r="GA51" s="20"/>
      <c r="GB51" s="20"/>
      <c r="GC51" s="20"/>
      <c r="GD51" s="20"/>
      <c r="GE51" s="20"/>
      <c r="GF51" s="20"/>
      <c r="GG51" s="20"/>
      <c r="GH51" s="20"/>
      <c r="GI51" s="20"/>
      <c r="GJ51" s="20"/>
      <c r="GK51" s="20"/>
      <c r="GL51" s="20"/>
      <c r="GM51" s="20"/>
      <c r="GN51" s="20"/>
      <c r="GO51" s="20"/>
      <c r="GP51" s="20"/>
      <c r="GQ51" s="20"/>
      <c r="GR51" s="20"/>
      <c r="GS51" s="20"/>
      <c r="GT51" s="20"/>
      <c r="GU51" s="20"/>
      <c r="GV51" s="20"/>
      <c r="GW51" s="20"/>
      <c r="GX51" s="20"/>
      <c r="GY51" s="20"/>
      <c r="GZ51" s="20"/>
      <c r="HA51" s="20"/>
      <c r="HB51" s="20"/>
      <c r="HC51" s="20"/>
      <c r="HD51" s="20"/>
      <c r="HE51" s="20"/>
      <c r="HF51" s="20"/>
      <c r="HG51" s="20"/>
      <c r="HH51" s="20"/>
      <c r="HI51" s="20"/>
      <c r="HJ51" s="20"/>
      <c r="HK51" s="20"/>
      <c r="HL51" s="20"/>
      <c r="HM51" s="20"/>
      <c r="HN51" s="20"/>
      <c r="HO51" s="20"/>
      <c r="HP51" s="20"/>
      <c r="HQ51" s="20"/>
      <c r="HR51" s="20"/>
      <c r="HS51" s="20"/>
      <c r="HT51" s="20"/>
      <c r="HU51" s="20"/>
      <c r="HV51" s="20"/>
      <c r="HW51" s="20"/>
      <c r="HX51" s="20"/>
      <c r="HY51" s="20"/>
      <c r="HZ51" s="20"/>
      <c r="IA51" s="20"/>
      <c r="IB51" s="20"/>
      <c r="IC51" s="20"/>
      <c r="ID51" s="20"/>
      <c r="IE51" s="20"/>
      <c r="IF51" s="20"/>
      <c r="IG51" s="20"/>
      <c r="IH51" s="20"/>
      <c r="II51" s="20"/>
      <c r="IJ51" s="20"/>
      <c r="IK51" s="20"/>
      <c r="IL51" s="20"/>
      <c r="IM51" s="20"/>
      <c r="IN51" s="20"/>
      <c r="IO51" s="20"/>
      <c r="IP51" s="20"/>
      <c r="IQ51" s="20"/>
      <c r="IR51" s="20"/>
      <c r="IS51" s="20"/>
      <c r="IT51" s="20"/>
      <c r="IU51" s="20"/>
      <c r="IV51" s="20"/>
      <c r="IW51" s="20"/>
      <c r="IX51" s="20"/>
      <c r="IY51" s="20"/>
      <c r="IZ51" s="20"/>
      <c r="JA51" s="20"/>
      <c r="JB51" s="20"/>
      <c r="JC51" s="20"/>
      <c r="JD51" s="20"/>
      <c r="JE51" s="20"/>
      <c r="JF51" s="20"/>
      <c r="JG51" s="20"/>
      <c r="JH51" s="20"/>
      <c r="JI51" s="20"/>
    </row>
    <row r="52" spans="1:269" ht="17.25" customHeight="1">
      <c r="A52" s="101"/>
      <c r="B52" s="20" t="s">
        <v>119</v>
      </c>
      <c r="C52" s="20" t="s">
        <v>145</v>
      </c>
      <c r="D52" s="83">
        <v>1431020</v>
      </c>
      <c r="E52" s="82">
        <v>1.0999999999999999E-2</v>
      </c>
      <c r="F52" s="82">
        <v>0.1</v>
      </c>
      <c r="G52" s="29"/>
      <c r="H52" s="83">
        <v>3379</v>
      </c>
      <c r="I52" s="104">
        <v>4909</v>
      </c>
      <c r="J52" s="29"/>
      <c r="K52" s="83">
        <v>26793</v>
      </c>
      <c r="L52" s="104">
        <v>6134</v>
      </c>
      <c r="M52" s="29"/>
      <c r="N52" s="128">
        <v>0.02</v>
      </c>
      <c r="O52" s="128">
        <v>0.01</v>
      </c>
      <c r="P52" s="29"/>
      <c r="Q52" s="85">
        <v>0</v>
      </c>
      <c r="R52" s="14"/>
      <c r="S52" s="15"/>
      <c r="T52" s="104">
        <v>11461</v>
      </c>
      <c r="U52" s="82">
        <f t="shared" si="6"/>
        <v>-0.25765917481702183</v>
      </c>
      <c r="V52" s="29"/>
      <c r="W52" s="83">
        <v>37239</v>
      </c>
      <c r="X52" s="82">
        <v>-0.10100000000000001</v>
      </c>
      <c r="Y52" s="29"/>
      <c r="Z52" s="104">
        <v>8828</v>
      </c>
      <c r="AA52" s="82">
        <f t="shared" si="7"/>
        <v>-0.1029366934254649</v>
      </c>
      <c r="AB52" s="29"/>
      <c r="AC52" s="83">
        <v>46885</v>
      </c>
      <c r="AD52" s="82">
        <v>-1.4999999999999999E-2</v>
      </c>
      <c r="AE52" s="29"/>
      <c r="AF52" s="104">
        <v>11345</v>
      </c>
      <c r="AG52" s="120">
        <f t="shared" si="8"/>
        <v>-2.2865183361181953E-3</v>
      </c>
      <c r="AH52" s="128">
        <v>4.13</v>
      </c>
      <c r="AI52" s="128">
        <v>46.4</v>
      </c>
      <c r="AJ52" s="128">
        <v>322</v>
      </c>
      <c r="AK52" s="83">
        <v>1547</v>
      </c>
      <c r="AL52" s="102">
        <v>331</v>
      </c>
      <c r="AM52" s="29"/>
      <c r="AN52" s="83">
        <v>10923</v>
      </c>
      <c r="AO52" s="83">
        <v>16028</v>
      </c>
      <c r="AP52" s="83">
        <v>19935</v>
      </c>
      <c r="AQ52" s="29"/>
      <c r="AR52" s="104">
        <v>2542</v>
      </c>
      <c r="AS52" s="104">
        <v>3720</v>
      </c>
      <c r="AT52" s="104">
        <v>5083</v>
      </c>
      <c r="AU52" s="29"/>
      <c r="AV52" s="83">
        <v>40926</v>
      </c>
      <c r="AW52" s="104">
        <v>9877</v>
      </c>
      <c r="AX52" s="29"/>
      <c r="AY52" s="120">
        <v>0.89400000000000002</v>
      </c>
      <c r="AZ52" s="120">
        <v>8.2000000000000003E-2</v>
      </c>
      <c r="BA52" s="121">
        <v>0</v>
      </c>
      <c r="BB52" s="82">
        <v>2.3E-2</v>
      </c>
      <c r="BC52" s="29"/>
      <c r="BD52" s="128">
        <v>0</v>
      </c>
      <c r="BE52" s="89"/>
      <c r="BF52" s="94"/>
      <c r="BG52" s="128">
        <v>0</v>
      </c>
      <c r="BH52" s="128" t="s">
        <v>231</v>
      </c>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c r="HE52" s="20"/>
      <c r="HF52" s="20"/>
      <c r="HG52" s="20"/>
      <c r="HH52" s="20"/>
      <c r="HI52" s="20"/>
      <c r="HJ52" s="20"/>
      <c r="HK52" s="20"/>
      <c r="HL52" s="20"/>
      <c r="HM52" s="20"/>
      <c r="HN52" s="20"/>
      <c r="HO52" s="20"/>
      <c r="HP52" s="20"/>
      <c r="HQ52" s="20"/>
      <c r="HR52" s="20"/>
      <c r="HS52" s="20"/>
      <c r="HT52" s="20"/>
      <c r="HU52" s="20"/>
      <c r="HV52" s="20"/>
      <c r="HW52" s="20"/>
      <c r="HX52" s="20"/>
      <c r="HY52" s="20"/>
      <c r="HZ52" s="20"/>
      <c r="IA52" s="20"/>
      <c r="IB52" s="20"/>
      <c r="IC52" s="20"/>
      <c r="ID52" s="20"/>
      <c r="IE52" s="20"/>
      <c r="IF52" s="20"/>
      <c r="IG52" s="20"/>
      <c r="IH52" s="20"/>
      <c r="II52" s="20"/>
      <c r="IJ52" s="20"/>
      <c r="IK52" s="20"/>
      <c r="IL52" s="20"/>
      <c r="IM52" s="20"/>
      <c r="IN52" s="20"/>
      <c r="IO52" s="20"/>
      <c r="IP52" s="20"/>
      <c r="IQ52" s="20"/>
      <c r="IR52" s="20"/>
      <c r="IS52" s="20"/>
      <c r="IT52" s="20"/>
      <c r="IU52" s="20"/>
      <c r="IV52" s="20"/>
      <c r="IW52" s="20"/>
      <c r="IX52" s="20"/>
      <c r="IY52" s="20"/>
      <c r="IZ52" s="20"/>
      <c r="JA52" s="20"/>
      <c r="JB52" s="20"/>
      <c r="JC52" s="20"/>
      <c r="JD52" s="20"/>
      <c r="JE52" s="20"/>
      <c r="JF52" s="20"/>
      <c r="JG52" s="20"/>
      <c r="JH52" s="20"/>
      <c r="JI52" s="20"/>
    </row>
    <row r="53" spans="1:269" ht="17.25" customHeight="1">
      <c r="A53" s="101"/>
      <c r="B53" s="20" t="s">
        <v>118</v>
      </c>
      <c r="C53" s="20" t="s">
        <v>143</v>
      </c>
      <c r="D53" s="83">
        <v>1444006</v>
      </c>
      <c r="E53" s="82">
        <v>8.9999999999999993E-3</v>
      </c>
      <c r="F53" s="82">
        <v>9.9000000000000005E-2</v>
      </c>
      <c r="G53" s="29"/>
      <c r="H53" s="83">
        <v>3339</v>
      </c>
      <c r="I53" s="104">
        <v>4771</v>
      </c>
      <c r="J53" s="29"/>
      <c r="K53" s="83">
        <v>26674</v>
      </c>
      <c r="L53" s="104">
        <v>6100</v>
      </c>
      <c r="M53" s="29"/>
      <c r="N53" s="128">
        <v>0.02</v>
      </c>
      <c r="O53" s="128">
        <v>0.01</v>
      </c>
      <c r="P53" s="29"/>
      <c r="Q53" s="85">
        <v>0</v>
      </c>
      <c r="R53" s="14"/>
      <c r="S53" s="15"/>
      <c r="T53" s="104">
        <v>9828</v>
      </c>
      <c r="U53" s="82">
        <f t="shared" si="6"/>
        <v>-0.14248320390890848</v>
      </c>
      <c r="V53" s="29"/>
      <c r="W53" s="83">
        <v>35621</v>
      </c>
      <c r="X53" s="82">
        <v>-4.2999999999999997E-2</v>
      </c>
      <c r="Y53" s="29"/>
      <c r="Z53" s="104">
        <v>8778</v>
      </c>
      <c r="AA53" s="82">
        <f t="shared" si="7"/>
        <v>-5.6637970095151794E-3</v>
      </c>
      <c r="AB53" s="29"/>
      <c r="AC53" s="83">
        <v>36141</v>
      </c>
      <c r="AD53" s="82">
        <v>-0.22900000000000001</v>
      </c>
      <c r="AE53" s="29"/>
      <c r="AF53" s="104">
        <v>8706</v>
      </c>
      <c r="AG53" s="120">
        <f t="shared" si="8"/>
        <v>-0.23261348611723226</v>
      </c>
      <c r="AH53" s="128">
        <v>4.1500000000000004</v>
      </c>
      <c r="AI53" s="128">
        <v>45.8</v>
      </c>
      <c r="AJ53" s="128">
        <v>322</v>
      </c>
      <c r="AK53" s="83">
        <v>1349</v>
      </c>
      <c r="AL53" s="102">
        <v>281</v>
      </c>
      <c r="AM53" s="29"/>
      <c r="AN53" s="83">
        <v>8722</v>
      </c>
      <c r="AO53" s="83">
        <v>11175</v>
      </c>
      <c r="AP53" s="83">
        <v>16244</v>
      </c>
      <c r="AQ53" s="29"/>
      <c r="AR53" s="104">
        <v>1967</v>
      </c>
      <c r="AS53" s="104">
        <v>2647</v>
      </c>
      <c r="AT53" s="104">
        <v>4092</v>
      </c>
      <c r="AU53" s="29"/>
      <c r="AV53" s="83">
        <v>31172</v>
      </c>
      <c r="AW53" s="104">
        <v>7452</v>
      </c>
      <c r="AX53" s="29"/>
      <c r="AY53" s="120">
        <v>0.86799999999999999</v>
      </c>
      <c r="AZ53" s="120">
        <v>0.111</v>
      </c>
      <c r="BA53" s="121">
        <v>0</v>
      </c>
      <c r="BB53" s="86">
        <v>0.02</v>
      </c>
      <c r="BC53" s="29"/>
      <c r="BD53" s="128">
        <v>0</v>
      </c>
      <c r="BE53" s="89"/>
      <c r="BF53" s="94"/>
      <c r="BG53" s="128">
        <v>0</v>
      </c>
      <c r="BH53" s="128" t="s">
        <v>208</v>
      </c>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c r="GM53" s="20"/>
      <c r="GN53" s="20"/>
      <c r="GO53" s="20"/>
      <c r="GP53" s="20"/>
      <c r="GQ53" s="20"/>
      <c r="GR53" s="20"/>
      <c r="GS53" s="20"/>
      <c r="GT53" s="20"/>
      <c r="GU53" s="20"/>
      <c r="GV53" s="20"/>
      <c r="GW53" s="20"/>
      <c r="GX53" s="20"/>
      <c r="GY53" s="20"/>
      <c r="GZ53" s="20"/>
      <c r="HA53" s="20"/>
      <c r="HB53" s="20"/>
      <c r="HC53" s="20"/>
      <c r="HD53" s="20"/>
      <c r="HE53" s="20"/>
      <c r="HF53" s="20"/>
      <c r="HG53" s="20"/>
      <c r="HH53" s="20"/>
      <c r="HI53" s="20"/>
      <c r="HJ53" s="20"/>
      <c r="HK53" s="20"/>
      <c r="HL53" s="20"/>
      <c r="HM53" s="20"/>
      <c r="HN53" s="20"/>
      <c r="HO53" s="20"/>
      <c r="HP53" s="20"/>
      <c r="HQ53" s="20"/>
      <c r="HR53" s="20"/>
      <c r="HS53" s="20"/>
      <c r="HT53" s="20"/>
      <c r="HU53" s="20"/>
      <c r="HV53" s="20"/>
      <c r="HW53" s="20"/>
      <c r="HX53" s="20"/>
      <c r="HY53" s="20"/>
      <c r="HZ53" s="20"/>
      <c r="IA53" s="20"/>
      <c r="IB53" s="20"/>
      <c r="IC53" s="20"/>
      <c r="ID53" s="20"/>
      <c r="IE53" s="20"/>
      <c r="IF53" s="20"/>
      <c r="IG53" s="20"/>
      <c r="IH53" s="20"/>
      <c r="II53" s="20"/>
      <c r="IJ53" s="20"/>
      <c r="IK53" s="20"/>
      <c r="IL53" s="20"/>
      <c r="IM53" s="20"/>
      <c r="IN53" s="20"/>
      <c r="IO53" s="20"/>
      <c r="IP53" s="20"/>
      <c r="IQ53" s="20"/>
      <c r="IR53" s="20"/>
      <c r="IS53" s="20"/>
      <c r="IT53" s="20"/>
      <c r="IU53" s="20"/>
      <c r="IV53" s="20"/>
      <c r="IW53" s="20"/>
      <c r="IX53" s="20"/>
      <c r="IY53" s="20"/>
      <c r="IZ53" s="20"/>
      <c r="JA53" s="20"/>
      <c r="JB53" s="20"/>
      <c r="JC53" s="20"/>
      <c r="JD53" s="20"/>
      <c r="JE53" s="20"/>
      <c r="JF53" s="20"/>
      <c r="JG53" s="20"/>
      <c r="JH53" s="20"/>
      <c r="JI53" s="20"/>
    </row>
    <row r="54" spans="1:269" ht="17.25" customHeight="1">
      <c r="A54" s="101"/>
      <c r="B54" s="20" t="s">
        <v>117</v>
      </c>
      <c r="C54" s="20" t="s">
        <v>141</v>
      </c>
      <c r="D54" s="83">
        <v>1453151</v>
      </c>
      <c r="E54" s="82">
        <v>6.0000000000000001E-3</v>
      </c>
      <c r="F54" s="82">
        <v>9.8000000000000004E-2</v>
      </c>
      <c r="G54" s="29"/>
      <c r="H54" s="83">
        <v>3326</v>
      </c>
      <c r="I54" s="104">
        <v>4700</v>
      </c>
      <c r="J54" s="29"/>
      <c r="K54" s="83">
        <v>27029</v>
      </c>
      <c r="L54" s="104">
        <v>6197</v>
      </c>
      <c r="M54" s="29"/>
      <c r="N54" s="128">
        <v>0.02</v>
      </c>
      <c r="O54" s="128">
        <v>0.01</v>
      </c>
      <c r="P54" s="29"/>
      <c r="Q54" s="85">
        <v>0</v>
      </c>
      <c r="R54" s="14"/>
      <c r="S54" s="15"/>
      <c r="T54" s="104">
        <v>9376</v>
      </c>
      <c r="U54" s="82">
        <f t="shared" si="6"/>
        <v>-4.599104599104599E-2</v>
      </c>
      <c r="V54" s="29"/>
      <c r="W54" s="83">
        <v>28079</v>
      </c>
      <c r="X54" s="82">
        <v>-0.21199999999999999</v>
      </c>
      <c r="Y54" s="29"/>
      <c r="Z54" s="104">
        <v>6846</v>
      </c>
      <c r="AA54" s="82">
        <f t="shared" si="7"/>
        <v>-0.22009569377990432</v>
      </c>
      <c r="AB54" s="29"/>
      <c r="AC54" s="83">
        <v>33408</v>
      </c>
      <c r="AD54" s="82">
        <v>-7.5999999999999998E-2</v>
      </c>
      <c r="AE54" s="29"/>
      <c r="AF54" s="104">
        <v>7839</v>
      </c>
      <c r="AG54" s="120">
        <f t="shared" si="8"/>
        <v>-9.9586492074431432E-2</v>
      </c>
      <c r="AH54" s="128">
        <v>4.26</v>
      </c>
      <c r="AI54" s="84">
        <v>47.8</v>
      </c>
      <c r="AJ54" s="128">
        <v>319</v>
      </c>
      <c r="AK54" s="83">
        <v>1415</v>
      </c>
      <c r="AL54" s="102">
        <v>276</v>
      </c>
      <c r="AM54" s="29"/>
      <c r="AN54" s="83">
        <v>9125</v>
      </c>
      <c r="AO54" s="83">
        <v>12808</v>
      </c>
      <c r="AP54" s="83">
        <v>11475</v>
      </c>
      <c r="AQ54" s="29"/>
      <c r="AR54" s="104">
        <v>1954</v>
      </c>
      <c r="AS54" s="104">
        <v>3061</v>
      </c>
      <c r="AT54" s="104">
        <v>2824</v>
      </c>
      <c r="AU54" s="29"/>
      <c r="AV54" s="83">
        <v>29210</v>
      </c>
      <c r="AW54" s="104">
        <v>6827</v>
      </c>
      <c r="AX54" s="29"/>
      <c r="AY54" s="120">
        <v>0.84899999999999998</v>
      </c>
      <c r="AZ54" s="120">
        <v>0.122</v>
      </c>
      <c r="BA54" s="121">
        <v>0</v>
      </c>
      <c r="BB54" s="82">
        <v>2.9000000000000001E-2</v>
      </c>
      <c r="BC54" s="29"/>
      <c r="BD54" s="128">
        <v>0</v>
      </c>
      <c r="BE54" s="89"/>
      <c r="BF54" s="94"/>
      <c r="BG54" s="128">
        <v>0</v>
      </c>
      <c r="BH54" s="128" t="s">
        <v>231</v>
      </c>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c r="EE54" s="20"/>
      <c r="EF54" s="20"/>
      <c r="EG54" s="20"/>
      <c r="EH54" s="20"/>
      <c r="EI54" s="20"/>
      <c r="EJ54" s="20"/>
      <c r="EK54" s="20"/>
      <c r="EL54" s="20"/>
      <c r="EM54" s="20"/>
      <c r="EN54" s="20"/>
      <c r="EO54" s="20"/>
      <c r="EP54" s="20"/>
      <c r="EQ54" s="20"/>
      <c r="ER54" s="20"/>
      <c r="ES54" s="20"/>
      <c r="ET54" s="20"/>
      <c r="EU54" s="20"/>
      <c r="EV54" s="20"/>
      <c r="EW54" s="20"/>
      <c r="EX54" s="20"/>
      <c r="EY54" s="20"/>
      <c r="EZ54" s="20"/>
      <c r="FA54" s="20"/>
      <c r="FB54" s="20"/>
      <c r="FC54" s="20"/>
      <c r="FD54" s="20"/>
      <c r="FE54" s="20"/>
      <c r="FF54" s="20"/>
      <c r="FG54" s="20"/>
      <c r="FH54" s="20"/>
      <c r="FI54" s="20"/>
      <c r="FJ54" s="20"/>
      <c r="FK54" s="20"/>
      <c r="FL54" s="20"/>
      <c r="FM54" s="20"/>
      <c r="FN54" s="20"/>
      <c r="FO54" s="20"/>
      <c r="FP54" s="20"/>
      <c r="FQ54" s="20"/>
      <c r="FR54" s="20"/>
      <c r="FS54" s="20"/>
      <c r="FT54" s="20"/>
      <c r="FU54" s="20"/>
      <c r="FV54" s="20"/>
      <c r="FW54" s="20"/>
      <c r="FX54" s="20"/>
      <c r="FY54" s="20"/>
      <c r="FZ54" s="20"/>
      <c r="GA54" s="20"/>
      <c r="GB54" s="20"/>
      <c r="GC54" s="20"/>
      <c r="GD54" s="20"/>
      <c r="GE54" s="20"/>
      <c r="GF54" s="20"/>
      <c r="GG54" s="20"/>
      <c r="GH54" s="20"/>
      <c r="GI54" s="20"/>
      <c r="GJ54" s="20"/>
      <c r="GK54" s="20"/>
      <c r="GL54" s="20"/>
      <c r="GM54" s="20"/>
      <c r="GN54" s="20"/>
      <c r="GO54" s="20"/>
      <c r="GP54" s="20"/>
      <c r="GQ54" s="20"/>
      <c r="GR54" s="20"/>
      <c r="GS54" s="20"/>
      <c r="GT54" s="20"/>
      <c r="GU54" s="20"/>
      <c r="GV54" s="20"/>
      <c r="GW54" s="20"/>
      <c r="GX54" s="20"/>
      <c r="GY54" s="20"/>
      <c r="GZ54" s="20"/>
      <c r="HA54" s="20"/>
      <c r="HB54" s="20"/>
      <c r="HC54" s="20"/>
      <c r="HD54" s="20"/>
      <c r="HE54" s="20"/>
      <c r="HF54" s="20"/>
      <c r="HG54" s="20"/>
      <c r="HH54" s="20"/>
      <c r="HI54" s="20"/>
      <c r="HJ54" s="20"/>
      <c r="HK54" s="20"/>
      <c r="HL54" s="20"/>
      <c r="HM54" s="20"/>
      <c r="HN54" s="20"/>
      <c r="HO54" s="20"/>
      <c r="HP54" s="20"/>
      <c r="HQ54" s="20"/>
      <c r="HR54" s="20"/>
      <c r="HS54" s="20"/>
      <c r="HT54" s="20"/>
      <c r="HU54" s="20"/>
      <c r="HV54" s="20"/>
      <c r="HW54" s="20"/>
      <c r="HX54" s="20"/>
      <c r="HY54" s="20"/>
      <c r="HZ54" s="20"/>
      <c r="IA54" s="20"/>
      <c r="IB54" s="20"/>
      <c r="IC54" s="20"/>
      <c r="ID54" s="20"/>
      <c r="IE54" s="20"/>
      <c r="IF54" s="20"/>
      <c r="IG54" s="20"/>
      <c r="IH54" s="20"/>
      <c r="II54" s="20"/>
      <c r="IJ54" s="20"/>
      <c r="IK54" s="20"/>
      <c r="IL54" s="20"/>
      <c r="IM54" s="20"/>
      <c r="IN54" s="20"/>
      <c r="IO54" s="20"/>
      <c r="IP54" s="20"/>
      <c r="IQ54" s="20"/>
      <c r="IR54" s="20"/>
      <c r="IS54" s="20"/>
      <c r="IT54" s="20"/>
      <c r="IU54" s="20"/>
      <c r="IV54" s="20"/>
      <c r="IW54" s="20"/>
      <c r="IX54" s="20"/>
      <c r="IY54" s="20"/>
      <c r="IZ54" s="20"/>
      <c r="JA54" s="20"/>
      <c r="JB54" s="20"/>
      <c r="JC54" s="20"/>
      <c r="JD54" s="20"/>
      <c r="JE54" s="20"/>
      <c r="JF54" s="20"/>
      <c r="JG54" s="20"/>
      <c r="JH54" s="20"/>
      <c r="JI54" s="20"/>
    </row>
    <row r="55" spans="1:269" ht="17.25" customHeight="1">
      <c r="A55" s="101"/>
      <c r="B55" s="20" t="s">
        <v>116</v>
      </c>
      <c r="C55" s="20" t="s">
        <v>121</v>
      </c>
      <c r="D55" s="83">
        <v>1460460</v>
      </c>
      <c r="E55" s="82">
        <v>5.0000000000000001E-3</v>
      </c>
      <c r="F55" s="82">
        <v>9.7000000000000003E-2</v>
      </c>
      <c r="G55" s="29"/>
      <c r="H55" s="83">
        <v>3316</v>
      </c>
      <c r="I55" s="104">
        <v>4649</v>
      </c>
      <c r="J55" s="29"/>
      <c r="K55" s="83">
        <v>27215</v>
      </c>
      <c r="L55" s="104">
        <v>6246</v>
      </c>
      <c r="M55" s="29"/>
      <c r="N55" s="128">
        <v>0.03</v>
      </c>
      <c r="O55" s="128">
        <v>0.01</v>
      </c>
      <c r="P55" s="29"/>
      <c r="Q55" s="85">
        <v>0</v>
      </c>
      <c r="R55" s="14"/>
      <c r="S55" s="15"/>
      <c r="T55" s="104">
        <v>9477</v>
      </c>
      <c r="U55" s="82">
        <f t="shared" si="6"/>
        <v>1.0772184300341298E-2</v>
      </c>
      <c r="V55" s="29"/>
      <c r="W55" s="83">
        <v>23195</v>
      </c>
      <c r="X55" s="82">
        <v>-0.17399999999999999</v>
      </c>
      <c r="Y55" s="29"/>
      <c r="Z55" s="104">
        <v>5439</v>
      </c>
      <c r="AA55" s="82">
        <f t="shared" si="7"/>
        <v>-0.20552147239263804</v>
      </c>
      <c r="AB55" s="29"/>
      <c r="AC55" s="83">
        <v>28573</v>
      </c>
      <c r="AD55" s="82">
        <v>-0.14499999999999999</v>
      </c>
      <c r="AE55" s="29"/>
      <c r="AF55" s="104">
        <v>6611</v>
      </c>
      <c r="AG55" s="120">
        <f t="shared" si="8"/>
        <v>-0.15665263426457457</v>
      </c>
      <c r="AH55" s="128">
        <v>4.32</v>
      </c>
      <c r="AI55" s="84">
        <v>51</v>
      </c>
      <c r="AJ55" s="128">
        <v>327</v>
      </c>
      <c r="AK55" s="83">
        <v>1117</v>
      </c>
      <c r="AL55" s="102">
        <v>224</v>
      </c>
      <c r="AM55" s="29"/>
      <c r="AN55" s="83">
        <v>6463</v>
      </c>
      <c r="AO55" s="83">
        <v>15009</v>
      </c>
      <c r="AP55" s="83">
        <v>7101</v>
      </c>
      <c r="AQ55" s="29"/>
      <c r="AR55" s="104">
        <v>1334</v>
      </c>
      <c r="AS55" s="104">
        <v>3386</v>
      </c>
      <c r="AT55" s="104">
        <v>1891</v>
      </c>
      <c r="AU55" s="29"/>
      <c r="AV55" s="83">
        <v>25748</v>
      </c>
      <c r="AW55" s="104">
        <v>5949</v>
      </c>
      <c r="AX55" s="29"/>
      <c r="AY55" s="120">
        <v>0.79900000000000004</v>
      </c>
      <c r="AZ55" s="120">
        <v>0.17499999999999999</v>
      </c>
      <c r="BA55" s="121">
        <v>0</v>
      </c>
      <c r="BB55" s="82">
        <v>2.5999999999999999E-2</v>
      </c>
      <c r="BC55" s="29"/>
      <c r="BD55" s="128">
        <v>0</v>
      </c>
      <c r="BE55" s="89"/>
      <c r="BF55" s="94"/>
      <c r="BG55" s="128">
        <v>0</v>
      </c>
      <c r="BH55" s="128" t="s">
        <v>231</v>
      </c>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c r="DV55" s="20"/>
      <c r="DW55" s="20"/>
      <c r="DX55" s="20"/>
      <c r="DY55" s="20"/>
      <c r="DZ55" s="20"/>
      <c r="EA55" s="20"/>
      <c r="EB55" s="20"/>
      <c r="EC55" s="20"/>
      <c r="ED55" s="20"/>
      <c r="EE55" s="20"/>
      <c r="EF55" s="20"/>
      <c r="EG55" s="20"/>
      <c r="EH55" s="20"/>
      <c r="EI55" s="20"/>
      <c r="EJ55" s="20"/>
      <c r="EK55" s="20"/>
      <c r="EL55" s="20"/>
      <c r="EM55" s="20"/>
      <c r="EN55" s="20"/>
      <c r="EO55" s="20"/>
      <c r="EP55" s="20"/>
      <c r="EQ55" s="20"/>
      <c r="ER55" s="20"/>
      <c r="ES55" s="20"/>
      <c r="ET55" s="20"/>
      <c r="EU55" s="20"/>
      <c r="EV55" s="20"/>
      <c r="EW55" s="20"/>
      <c r="EX55" s="20"/>
      <c r="EY55" s="20"/>
      <c r="EZ55" s="20"/>
      <c r="FA55" s="20"/>
      <c r="FB55" s="20"/>
      <c r="FC55" s="20"/>
      <c r="FD55" s="20"/>
      <c r="FE55" s="20"/>
      <c r="FF55" s="20"/>
      <c r="FG55" s="20"/>
      <c r="FH55" s="20"/>
      <c r="FI55" s="20"/>
      <c r="FJ55" s="20"/>
      <c r="FK55" s="20"/>
      <c r="FL55" s="20"/>
      <c r="FM55" s="20"/>
      <c r="FN55" s="20"/>
      <c r="FO55" s="20"/>
      <c r="FP55" s="20"/>
      <c r="FQ55" s="20"/>
      <c r="FR55" s="20"/>
      <c r="FS55" s="20"/>
      <c r="FT55" s="20"/>
      <c r="FU55" s="20"/>
      <c r="FV55" s="20"/>
      <c r="FW55" s="20"/>
      <c r="FX55" s="20"/>
      <c r="FY55" s="20"/>
      <c r="FZ55" s="20"/>
      <c r="GA55" s="20"/>
      <c r="GB55" s="20"/>
      <c r="GC55" s="20"/>
      <c r="GD55" s="20"/>
      <c r="GE55" s="20"/>
      <c r="GF55" s="20"/>
      <c r="GG55" s="20"/>
      <c r="GH55" s="20"/>
      <c r="GI55" s="20"/>
      <c r="GJ55" s="20"/>
      <c r="GK55" s="20"/>
      <c r="GL55" s="20"/>
      <c r="GM55" s="20"/>
      <c r="GN55" s="20"/>
      <c r="GO55" s="20"/>
      <c r="GP55" s="20"/>
      <c r="GQ55" s="20"/>
      <c r="GR55" s="20"/>
      <c r="GS55" s="20"/>
      <c r="GT55" s="20"/>
      <c r="GU55" s="20"/>
      <c r="GV55" s="20"/>
      <c r="GW55" s="20"/>
      <c r="GX55" s="20"/>
      <c r="GY55" s="20"/>
      <c r="GZ55" s="20"/>
      <c r="HA55" s="20"/>
      <c r="HB55" s="20"/>
      <c r="HC55" s="20"/>
      <c r="HD55" s="20"/>
      <c r="HE55" s="20"/>
      <c r="HF55" s="20"/>
      <c r="HG55" s="20"/>
      <c r="HH55" s="20"/>
      <c r="HI55" s="20"/>
      <c r="HJ55" s="20"/>
      <c r="HK55" s="20"/>
      <c r="HL55" s="20"/>
      <c r="HM55" s="20"/>
      <c r="HN55" s="20"/>
      <c r="HO55" s="20"/>
      <c r="HP55" s="20"/>
      <c r="HQ55" s="20"/>
      <c r="HR55" s="20"/>
      <c r="HS55" s="20"/>
      <c r="HT55" s="20"/>
      <c r="HU55" s="20"/>
      <c r="HV55" s="20"/>
      <c r="HW55" s="20"/>
      <c r="HX55" s="20"/>
      <c r="HY55" s="20"/>
      <c r="HZ55" s="20"/>
      <c r="IA55" s="20"/>
      <c r="IB55" s="20"/>
      <c r="IC55" s="20"/>
      <c r="ID55" s="20"/>
      <c r="IE55" s="20"/>
      <c r="IF55" s="20"/>
      <c r="IG55" s="20"/>
      <c r="IH55" s="20"/>
      <c r="II55" s="20"/>
      <c r="IJ55" s="20"/>
      <c r="IK55" s="20"/>
      <c r="IL55" s="20"/>
      <c r="IM55" s="20"/>
      <c r="IN55" s="20"/>
      <c r="IO55" s="20"/>
      <c r="IP55" s="20"/>
      <c r="IQ55" s="20"/>
      <c r="IR55" s="20"/>
      <c r="IS55" s="20"/>
      <c r="IT55" s="20"/>
      <c r="IU55" s="20"/>
      <c r="IV55" s="20"/>
      <c r="IW55" s="20"/>
      <c r="IX55" s="20"/>
      <c r="IY55" s="20"/>
      <c r="IZ55" s="20"/>
      <c r="JA55" s="20"/>
      <c r="JB55" s="20"/>
      <c r="JC55" s="20"/>
      <c r="JD55" s="20"/>
      <c r="JE55" s="20"/>
      <c r="JF55" s="20"/>
      <c r="JG55" s="20"/>
      <c r="JH55" s="20"/>
      <c r="JI55" s="20"/>
    </row>
    <row r="56" spans="1:269" ht="17.25" customHeight="1">
      <c r="A56" s="101"/>
      <c r="B56" s="20" t="s">
        <v>115</v>
      </c>
      <c r="C56" s="20" t="s">
        <v>123</v>
      </c>
      <c r="D56" s="83">
        <v>1467988</v>
      </c>
      <c r="E56" s="82">
        <v>5.0000000000000001E-3</v>
      </c>
      <c r="F56" s="82">
        <v>9.8000000000000004E-2</v>
      </c>
      <c r="G56" s="29"/>
      <c r="H56" s="83">
        <v>3290</v>
      </c>
      <c r="I56" s="104">
        <v>4580</v>
      </c>
      <c r="J56" s="29"/>
      <c r="K56" s="83">
        <v>27995</v>
      </c>
      <c r="L56" s="104">
        <v>6397</v>
      </c>
      <c r="M56" s="29"/>
      <c r="N56" s="128">
        <v>0.03</v>
      </c>
      <c r="O56" s="128">
        <v>0.01</v>
      </c>
      <c r="P56" s="29"/>
      <c r="Q56" s="85">
        <v>0</v>
      </c>
      <c r="R56" s="14"/>
      <c r="S56" s="15"/>
      <c r="T56" s="104">
        <v>7871</v>
      </c>
      <c r="U56" s="82">
        <f t="shared" si="6"/>
        <v>-0.16946291020365095</v>
      </c>
      <c r="V56" s="29"/>
      <c r="W56" s="83">
        <v>21762</v>
      </c>
      <c r="X56" s="82">
        <v>-6.2E-2</v>
      </c>
      <c r="Y56" s="29"/>
      <c r="Z56" s="104">
        <v>5139</v>
      </c>
      <c r="AA56" s="82">
        <f t="shared" si="7"/>
        <v>-5.5157198014340873E-2</v>
      </c>
      <c r="AB56" s="29"/>
      <c r="AC56" s="83">
        <v>27011</v>
      </c>
      <c r="AD56" s="82">
        <v>-5.5E-2</v>
      </c>
      <c r="AE56" s="29"/>
      <c r="AF56" s="104">
        <v>6171</v>
      </c>
      <c r="AG56" s="120">
        <f t="shared" si="8"/>
        <v>-6.6555740432612309E-2</v>
      </c>
      <c r="AH56" s="128">
        <v>4.38</v>
      </c>
      <c r="AI56" s="84">
        <v>53.2</v>
      </c>
      <c r="AJ56" s="128">
        <v>327</v>
      </c>
      <c r="AK56" s="83">
        <v>669</v>
      </c>
      <c r="AL56" s="102">
        <v>139</v>
      </c>
      <c r="AM56" s="29"/>
      <c r="AN56" s="83">
        <v>5322</v>
      </c>
      <c r="AO56" s="83">
        <v>15790</v>
      </c>
      <c r="AP56" s="83">
        <v>5899</v>
      </c>
      <c r="AQ56" s="29"/>
      <c r="AR56" s="104">
        <v>1167</v>
      </c>
      <c r="AS56" s="104">
        <v>3393</v>
      </c>
      <c r="AT56" s="104">
        <v>1611</v>
      </c>
      <c r="AU56" s="29"/>
      <c r="AV56" s="83">
        <v>23823</v>
      </c>
      <c r="AW56" s="104">
        <v>5343</v>
      </c>
      <c r="AX56" s="29"/>
      <c r="AY56" s="120">
        <v>0.77400000000000002</v>
      </c>
      <c r="AZ56" s="120">
        <v>0.19500000000000001</v>
      </c>
      <c r="BA56" s="121">
        <v>0</v>
      </c>
      <c r="BB56" s="82">
        <v>3.1E-2</v>
      </c>
      <c r="BC56" s="29"/>
      <c r="BD56" s="128">
        <v>0</v>
      </c>
      <c r="BE56" s="89"/>
      <c r="BF56" s="94"/>
      <c r="BG56" s="128">
        <v>0</v>
      </c>
      <c r="BH56" s="128" t="s">
        <v>231</v>
      </c>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c r="DV56" s="20"/>
      <c r="DW56" s="20"/>
      <c r="DX56" s="20"/>
      <c r="DY56" s="20"/>
      <c r="DZ56" s="20"/>
      <c r="EA56" s="20"/>
      <c r="EB56" s="20"/>
      <c r="EC56" s="20"/>
      <c r="ED56" s="20"/>
      <c r="EE56" s="20"/>
      <c r="EF56" s="20"/>
      <c r="EG56" s="20"/>
      <c r="EH56" s="20"/>
      <c r="EI56" s="20"/>
      <c r="EJ56" s="20"/>
      <c r="EK56" s="20"/>
      <c r="EL56" s="20"/>
      <c r="EM56" s="20"/>
      <c r="EN56" s="20"/>
      <c r="EO56" s="20"/>
      <c r="EP56" s="20"/>
      <c r="EQ56" s="20"/>
      <c r="ER56" s="20"/>
      <c r="ES56" s="20"/>
      <c r="ET56" s="20"/>
      <c r="EU56" s="20"/>
      <c r="EV56" s="20"/>
      <c r="EW56" s="20"/>
      <c r="EX56" s="20"/>
      <c r="EY56" s="20"/>
      <c r="EZ56" s="20"/>
      <c r="FA56" s="20"/>
      <c r="FB56" s="20"/>
      <c r="FC56" s="20"/>
      <c r="FD56" s="20"/>
      <c r="FE56" s="20"/>
      <c r="FF56" s="20"/>
      <c r="FG56" s="20"/>
      <c r="FH56" s="20"/>
      <c r="FI56" s="20"/>
      <c r="FJ56" s="20"/>
      <c r="FK56" s="20"/>
      <c r="FL56" s="20"/>
      <c r="FM56" s="20"/>
      <c r="FN56" s="20"/>
      <c r="FO56" s="20"/>
      <c r="FP56" s="20"/>
      <c r="FQ56" s="20"/>
      <c r="FR56" s="20"/>
      <c r="FS56" s="20"/>
      <c r="FT56" s="20"/>
      <c r="FU56" s="20"/>
      <c r="FV56" s="20"/>
      <c r="FW56" s="20"/>
      <c r="FX56" s="20"/>
      <c r="FY56" s="20"/>
      <c r="FZ56" s="20"/>
      <c r="GA56" s="20"/>
      <c r="GB56" s="20"/>
      <c r="GC56" s="20"/>
      <c r="GD56" s="20"/>
      <c r="GE56" s="20"/>
      <c r="GF56" s="20"/>
      <c r="GG56" s="20"/>
      <c r="GH56" s="20"/>
      <c r="GI56" s="20"/>
      <c r="GJ56" s="20"/>
      <c r="GK56" s="20"/>
      <c r="GL56" s="20"/>
      <c r="GM56" s="20"/>
      <c r="GN56" s="20"/>
      <c r="GO56" s="20"/>
      <c r="GP56" s="20"/>
      <c r="GQ56" s="20"/>
      <c r="GR56" s="20"/>
      <c r="GS56" s="20"/>
      <c r="GT56" s="20"/>
      <c r="GU56" s="20"/>
      <c r="GV56" s="20"/>
      <c r="GW56" s="20"/>
      <c r="GX56" s="20"/>
      <c r="GY56" s="20"/>
      <c r="GZ56" s="20"/>
      <c r="HA56" s="20"/>
      <c r="HB56" s="20"/>
      <c r="HC56" s="20"/>
      <c r="HD56" s="20"/>
      <c r="HE56" s="20"/>
      <c r="HF56" s="20"/>
      <c r="HG56" s="20"/>
      <c r="HH56" s="20"/>
      <c r="HI56" s="20"/>
      <c r="HJ56" s="20"/>
      <c r="HK56" s="20"/>
      <c r="HL56" s="20"/>
      <c r="HM56" s="20"/>
      <c r="HN56" s="20"/>
      <c r="HO56" s="20"/>
      <c r="HP56" s="20"/>
      <c r="HQ56" s="20"/>
      <c r="HR56" s="20"/>
      <c r="HS56" s="20"/>
      <c r="HT56" s="20"/>
      <c r="HU56" s="20"/>
      <c r="HV56" s="20"/>
      <c r="HW56" s="20"/>
      <c r="HX56" s="20"/>
      <c r="HY56" s="20"/>
      <c r="HZ56" s="20"/>
      <c r="IA56" s="20"/>
      <c r="IB56" s="20"/>
      <c r="IC56" s="20"/>
      <c r="ID56" s="20"/>
      <c r="IE56" s="20"/>
      <c r="IF56" s="20"/>
      <c r="IG56" s="20"/>
      <c r="IH56" s="20"/>
      <c r="II56" s="20"/>
      <c r="IJ56" s="20"/>
      <c r="IK56" s="20"/>
      <c r="IL56" s="20"/>
      <c r="IM56" s="20"/>
      <c r="IN56" s="20"/>
      <c r="IO56" s="20"/>
      <c r="IP56" s="20"/>
      <c r="IQ56" s="20"/>
      <c r="IR56" s="20"/>
      <c r="IS56" s="20"/>
      <c r="IT56" s="20"/>
      <c r="IU56" s="20"/>
      <c r="IV56" s="20"/>
      <c r="IW56" s="20"/>
      <c r="IX56" s="20"/>
      <c r="IY56" s="20"/>
      <c r="IZ56" s="20"/>
      <c r="JA56" s="20"/>
      <c r="JB56" s="20"/>
      <c r="JC56" s="20"/>
      <c r="JD56" s="20"/>
      <c r="JE56" s="20"/>
      <c r="JF56" s="20"/>
      <c r="JG56" s="20"/>
      <c r="JH56" s="20"/>
      <c r="JI56" s="20"/>
    </row>
    <row r="57" spans="1:269" ht="17.25" customHeight="1">
      <c r="A57" s="101"/>
      <c r="B57" s="20"/>
      <c r="C57" s="20"/>
      <c r="D57" s="83"/>
      <c r="E57" s="82"/>
      <c r="F57" s="82"/>
      <c r="G57" s="29"/>
      <c r="H57" s="83"/>
      <c r="I57" s="104"/>
      <c r="J57" s="29"/>
      <c r="K57" s="83"/>
      <c r="L57" s="104"/>
      <c r="M57" s="29"/>
      <c r="N57" s="125"/>
      <c r="O57" s="125"/>
      <c r="P57" s="29"/>
      <c r="Q57" s="85"/>
      <c r="R57" s="14"/>
      <c r="S57" s="15"/>
      <c r="T57" s="104"/>
      <c r="U57" s="82"/>
      <c r="V57" s="29"/>
      <c r="W57" s="83"/>
      <c r="X57" s="82"/>
      <c r="Y57" s="29"/>
      <c r="Z57" s="104"/>
      <c r="AA57" s="82"/>
      <c r="AB57" s="29"/>
      <c r="AC57" s="83"/>
      <c r="AD57" s="82"/>
      <c r="AE57" s="29"/>
      <c r="AF57" s="104"/>
      <c r="AG57" s="120"/>
      <c r="AH57" s="125"/>
      <c r="AI57" s="84"/>
      <c r="AJ57" s="125"/>
      <c r="AK57" s="83"/>
      <c r="AL57" s="102"/>
      <c r="AM57" s="29"/>
      <c r="AN57" s="83"/>
      <c r="AO57" s="83"/>
      <c r="AP57" s="83"/>
      <c r="AQ57" s="29"/>
      <c r="AR57" s="104"/>
      <c r="AS57" s="104"/>
      <c r="AT57" s="104"/>
      <c r="AU57" s="29"/>
      <c r="AV57" s="83"/>
      <c r="AW57" s="104"/>
      <c r="AX57" s="29"/>
      <c r="AY57" s="120"/>
      <c r="AZ57" s="120"/>
      <c r="BA57" s="121"/>
      <c r="BB57" s="82"/>
      <c r="BC57" s="29"/>
      <c r="BD57" s="125"/>
      <c r="BE57" s="89"/>
      <c r="BF57" s="94"/>
      <c r="BG57" s="125"/>
      <c r="BH57" s="125"/>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c r="DV57" s="20"/>
      <c r="DW57" s="20"/>
      <c r="DX57" s="20"/>
      <c r="DY57" s="20"/>
      <c r="DZ57" s="20"/>
      <c r="EA57" s="20"/>
      <c r="EB57" s="20"/>
      <c r="EC57" s="20"/>
      <c r="ED57" s="20"/>
      <c r="EE57" s="20"/>
      <c r="EF57" s="20"/>
      <c r="EG57" s="20"/>
      <c r="EH57" s="20"/>
      <c r="EI57" s="20"/>
      <c r="EJ57" s="20"/>
      <c r="EK57" s="20"/>
      <c r="EL57" s="20"/>
      <c r="EM57" s="20"/>
      <c r="EN57" s="20"/>
      <c r="EO57" s="20"/>
      <c r="EP57" s="20"/>
      <c r="EQ57" s="20"/>
      <c r="ER57" s="20"/>
      <c r="ES57" s="20"/>
      <c r="ET57" s="20"/>
      <c r="EU57" s="20"/>
      <c r="EV57" s="20"/>
      <c r="EW57" s="20"/>
      <c r="EX57" s="20"/>
      <c r="EY57" s="20"/>
      <c r="EZ57" s="20"/>
      <c r="FA57" s="20"/>
      <c r="FB57" s="20"/>
      <c r="FC57" s="20"/>
      <c r="FD57" s="20"/>
      <c r="FE57" s="20"/>
      <c r="FF57" s="20"/>
      <c r="FG57" s="20"/>
      <c r="FH57" s="20"/>
      <c r="FI57" s="20"/>
      <c r="FJ57" s="20"/>
      <c r="FK57" s="20"/>
      <c r="FL57" s="20"/>
      <c r="FM57" s="20"/>
      <c r="FN57" s="20"/>
      <c r="FO57" s="20"/>
      <c r="FP57" s="20"/>
      <c r="FQ57" s="20"/>
      <c r="FR57" s="20"/>
      <c r="FS57" s="20"/>
      <c r="FT57" s="20"/>
      <c r="FU57" s="20"/>
      <c r="FV57" s="20"/>
      <c r="FW57" s="20"/>
      <c r="FX57" s="20"/>
      <c r="FY57" s="20"/>
      <c r="FZ57" s="20"/>
      <c r="GA57" s="20"/>
      <c r="GB57" s="20"/>
      <c r="GC57" s="20"/>
      <c r="GD57" s="20"/>
      <c r="GE57" s="20"/>
      <c r="GF57" s="20"/>
      <c r="GG57" s="20"/>
      <c r="GH57" s="20"/>
      <c r="GI57" s="20"/>
      <c r="GJ57" s="20"/>
      <c r="GK57" s="20"/>
      <c r="GL57" s="20"/>
      <c r="GM57" s="20"/>
      <c r="GN57" s="20"/>
      <c r="GO57" s="20"/>
      <c r="GP57" s="20"/>
      <c r="GQ57" s="20"/>
      <c r="GR57" s="20"/>
      <c r="GS57" s="20"/>
      <c r="GT57" s="20"/>
      <c r="GU57" s="20"/>
      <c r="GV57" s="20"/>
      <c r="GW57" s="20"/>
      <c r="GX57" s="20"/>
      <c r="GY57" s="20"/>
      <c r="GZ57" s="20"/>
      <c r="HA57" s="20"/>
      <c r="HB57" s="20"/>
      <c r="HC57" s="20"/>
      <c r="HD57" s="20"/>
      <c r="HE57" s="20"/>
      <c r="HF57" s="20"/>
      <c r="HG57" s="20"/>
      <c r="HH57" s="20"/>
      <c r="HI57" s="20"/>
      <c r="HJ57" s="20"/>
      <c r="HK57" s="20"/>
      <c r="HL57" s="20"/>
      <c r="HM57" s="20"/>
      <c r="HN57" s="20"/>
      <c r="HO57" s="20"/>
      <c r="HP57" s="20"/>
      <c r="HQ57" s="20"/>
      <c r="HR57" s="20"/>
      <c r="HS57" s="20"/>
      <c r="HT57" s="20"/>
      <c r="HU57" s="20"/>
      <c r="HV57" s="20"/>
      <c r="HW57" s="20"/>
      <c r="HX57" s="20"/>
      <c r="HY57" s="20"/>
      <c r="HZ57" s="20"/>
      <c r="IA57" s="20"/>
      <c r="IB57" s="20"/>
      <c r="IC57" s="20"/>
      <c r="ID57" s="20"/>
      <c r="IE57" s="20"/>
      <c r="IF57" s="20"/>
      <c r="IG57" s="20"/>
      <c r="IH57" s="20"/>
      <c r="II57" s="20"/>
      <c r="IJ57" s="20"/>
      <c r="IK57" s="20"/>
      <c r="IL57" s="20"/>
      <c r="IM57" s="20"/>
      <c r="IN57" s="20"/>
      <c r="IO57" s="20"/>
      <c r="IP57" s="20"/>
      <c r="IQ57" s="20"/>
      <c r="IR57" s="20"/>
      <c r="IS57" s="20"/>
      <c r="IT57" s="20"/>
      <c r="IU57" s="20"/>
      <c r="IV57" s="20"/>
      <c r="IW57" s="20"/>
      <c r="IX57" s="20"/>
      <c r="IY57" s="20"/>
      <c r="IZ57" s="20"/>
      <c r="JA57" s="20"/>
      <c r="JB57" s="20"/>
      <c r="JC57" s="20"/>
      <c r="JD57" s="20"/>
      <c r="JE57" s="20"/>
      <c r="JF57" s="20"/>
      <c r="JG57" s="20"/>
      <c r="JH57" s="20"/>
      <c r="JI57" s="20"/>
    </row>
    <row r="58" spans="1:269" ht="17.25" customHeight="1">
      <c r="A58" s="101">
        <v>2020</v>
      </c>
      <c r="B58" s="20" t="s">
        <v>114</v>
      </c>
      <c r="C58" s="20" t="s">
        <v>135</v>
      </c>
      <c r="D58" s="83">
        <v>1477738</v>
      </c>
      <c r="E58" s="82">
        <v>7.0000000000000001E-3</v>
      </c>
      <c r="F58" s="82">
        <v>9.4E-2</v>
      </c>
      <c r="G58" s="29"/>
      <c r="H58" s="83">
        <v>3267</v>
      </c>
      <c r="I58" s="104">
        <v>4524</v>
      </c>
      <c r="J58" s="29"/>
      <c r="K58" s="83">
        <v>28364</v>
      </c>
      <c r="L58" s="104">
        <v>6490</v>
      </c>
      <c r="M58" s="29"/>
      <c r="N58" s="128">
        <v>0.02</v>
      </c>
      <c r="O58" s="128">
        <v>0.02</v>
      </c>
      <c r="P58" s="29"/>
      <c r="Q58" s="85">
        <v>0</v>
      </c>
      <c r="R58" s="14"/>
      <c r="S58" s="15"/>
      <c r="T58" s="104">
        <v>9152</v>
      </c>
      <c r="U58" s="82">
        <f>(T58-T56)/T56</f>
        <v>0.16274933299453689</v>
      </c>
      <c r="V58" s="29"/>
      <c r="W58" s="83">
        <v>23895</v>
      </c>
      <c r="X58" s="82">
        <v>9.8000000000000004E-2</v>
      </c>
      <c r="Y58" s="29"/>
      <c r="Z58" s="104">
        <v>5723</v>
      </c>
      <c r="AA58" s="82">
        <f>(Z58-Z56)/Z56</f>
        <v>0.11364078614516443</v>
      </c>
      <c r="AB58" s="29"/>
      <c r="AC58" s="83">
        <v>25203</v>
      </c>
      <c r="AD58" s="82">
        <v>-6.7000000000000004E-2</v>
      </c>
      <c r="AE58" s="29"/>
      <c r="AF58" s="104">
        <v>5710</v>
      </c>
      <c r="AG58" s="120">
        <f>(AF58-AF56)/AF56</f>
        <v>-7.4704261870037272E-2</v>
      </c>
      <c r="AH58" s="128">
        <v>4.41</v>
      </c>
      <c r="AI58" s="84">
        <v>52.5</v>
      </c>
      <c r="AJ58" s="128">
        <v>324</v>
      </c>
      <c r="AK58" s="83">
        <v>552</v>
      </c>
      <c r="AL58" s="102">
        <v>98</v>
      </c>
      <c r="AM58" s="29"/>
      <c r="AN58" s="83">
        <v>4628</v>
      </c>
      <c r="AO58" s="83">
        <v>14668</v>
      </c>
      <c r="AP58" s="83">
        <v>5908</v>
      </c>
      <c r="AQ58" s="29"/>
      <c r="AR58" s="104">
        <v>918</v>
      </c>
      <c r="AS58" s="104">
        <v>3112</v>
      </c>
      <c r="AT58" s="104">
        <v>1680</v>
      </c>
      <c r="AU58" s="29"/>
      <c r="AV58" s="83">
        <v>21516</v>
      </c>
      <c r="AW58" s="104">
        <v>4738</v>
      </c>
      <c r="AX58" s="29"/>
      <c r="AY58" s="120">
        <v>0.80400000000000005</v>
      </c>
      <c r="AZ58" s="120">
        <v>0.16500000000000001</v>
      </c>
      <c r="BA58" s="121">
        <v>0</v>
      </c>
      <c r="BB58" s="82">
        <v>3.1E-2</v>
      </c>
      <c r="BC58" s="29"/>
      <c r="BD58" s="129">
        <v>0</v>
      </c>
      <c r="BE58" s="89"/>
      <c r="BF58" s="94"/>
      <c r="BG58" s="129">
        <v>0</v>
      </c>
      <c r="BH58" s="129" t="s">
        <v>231</v>
      </c>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0"/>
      <c r="EA58" s="20"/>
      <c r="EB58" s="20"/>
      <c r="EC58" s="20"/>
      <c r="ED58" s="20"/>
      <c r="EE58" s="20"/>
      <c r="EF58" s="20"/>
      <c r="EG58" s="20"/>
      <c r="EH58" s="20"/>
      <c r="EI58" s="20"/>
      <c r="EJ58" s="20"/>
      <c r="EK58" s="20"/>
      <c r="EL58" s="20"/>
      <c r="EM58" s="20"/>
      <c r="EN58" s="20"/>
      <c r="EO58" s="20"/>
      <c r="EP58" s="20"/>
      <c r="EQ58" s="20"/>
      <c r="ER58" s="20"/>
      <c r="ES58" s="20"/>
      <c r="ET58" s="20"/>
      <c r="EU58" s="20"/>
      <c r="EV58" s="20"/>
      <c r="EW58" s="20"/>
      <c r="EX58" s="20"/>
      <c r="EY58" s="20"/>
      <c r="EZ58" s="20"/>
      <c r="FA58" s="20"/>
      <c r="FB58" s="20"/>
      <c r="FC58" s="20"/>
      <c r="FD58" s="20"/>
      <c r="FE58" s="20"/>
      <c r="FF58" s="20"/>
      <c r="FG58" s="20"/>
      <c r="FH58" s="20"/>
      <c r="FI58" s="20"/>
      <c r="FJ58" s="20"/>
      <c r="FK58" s="20"/>
      <c r="FL58" s="20"/>
      <c r="FM58" s="20"/>
      <c r="FN58" s="20"/>
      <c r="FO58" s="20"/>
      <c r="FP58" s="20"/>
      <c r="FQ58" s="20"/>
      <c r="FR58" s="20"/>
      <c r="FS58" s="20"/>
      <c r="FT58" s="20"/>
      <c r="FU58" s="20"/>
      <c r="FV58" s="20"/>
      <c r="FW58" s="20"/>
      <c r="FX58" s="20"/>
      <c r="FY58" s="20"/>
      <c r="FZ58" s="20"/>
      <c r="GA58" s="20"/>
      <c r="GB58" s="20"/>
      <c r="GC58" s="20"/>
      <c r="GD58" s="20"/>
      <c r="GE58" s="20"/>
      <c r="GF58" s="20"/>
      <c r="GG58" s="20"/>
      <c r="GH58" s="20"/>
      <c r="GI58" s="20"/>
      <c r="GJ58" s="20"/>
      <c r="GK58" s="20"/>
      <c r="GL58" s="20"/>
      <c r="GM58" s="20"/>
      <c r="GN58" s="20"/>
      <c r="GO58" s="20"/>
      <c r="GP58" s="20"/>
      <c r="GQ58" s="20"/>
      <c r="GR58" s="20"/>
      <c r="GS58" s="20"/>
      <c r="GT58" s="20"/>
      <c r="GU58" s="20"/>
      <c r="GV58" s="20"/>
      <c r="GW58" s="20"/>
      <c r="GX58" s="20"/>
      <c r="GY58" s="20"/>
      <c r="GZ58" s="20"/>
      <c r="HA58" s="20"/>
      <c r="HB58" s="20"/>
      <c r="HC58" s="20"/>
      <c r="HD58" s="20"/>
      <c r="HE58" s="20"/>
      <c r="HF58" s="20"/>
      <c r="HG58" s="20"/>
      <c r="HH58" s="20"/>
      <c r="HI58" s="20"/>
      <c r="HJ58" s="20"/>
      <c r="HK58" s="20"/>
      <c r="HL58" s="20"/>
      <c r="HM58" s="20"/>
      <c r="HN58" s="20"/>
      <c r="HO58" s="20"/>
      <c r="HP58" s="20"/>
      <c r="HQ58" s="20"/>
      <c r="HR58" s="20"/>
      <c r="HS58" s="20"/>
      <c r="HT58" s="20"/>
      <c r="HU58" s="20"/>
      <c r="HV58" s="20"/>
      <c r="HW58" s="20"/>
      <c r="HX58" s="20"/>
      <c r="HY58" s="20"/>
      <c r="HZ58" s="20"/>
      <c r="IA58" s="20"/>
      <c r="IB58" s="20"/>
      <c r="IC58" s="20"/>
      <c r="ID58" s="20"/>
      <c r="IE58" s="20"/>
      <c r="IF58" s="20"/>
      <c r="IG58" s="20"/>
      <c r="IH58" s="20"/>
      <c r="II58" s="20"/>
      <c r="IJ58" s="20"/>
      <c r="IK58" s="20"/>
      <c r="IL58" s="20"/>
      <c r="IM58" s="20"/>
      <c r="IN58" s="20"/>
      <c r="IO58" s="20"/>
      <c r="IP58" s="20"/>
      <c r="IQ58" s="20"/>
      <c r="IR58" s="20"/>
      <c r="IS58" s="20"/>
      <c r="IT58" s="20"/>
      <c r="IU58" s="20"/>
      <c r="IV58" s="20"/>
      <c r="IW58" s="20"/>
      <c r="IX58" s="20"/>
      <c r="IY58" s="20"/>
      <c r="IZ58" s="20"/>
      <c r="JA58" s="20"/>
      <c r="JB58" s="20"/>
      <c r="JC58" s="20"/>
      <c r="JD58" s="20"/>
      <c r="JE58" s="20"/>
      <c r="JF58" s="20"/>
      <c r="JG58" s="20"/>
      <c r="JH58" s="20"/>
      <c r="JI58" s="20"/>
    </row>
    <row r="59" spans="1:269" ht="17.25" customHeight="1">
      <c r="A59" s="101"/>
      <c r="B59" s="20" t="s">
        <v>113</v>
      </c>
      <c r="C59" s="20" t="s">
        <v>134</v>
      </c>
      <c r="D59" s="83">
        <v>1484034</v>
      </c>
      <c r="E59" s="82">
        <v>4.0000000000000001E-3</v>
      </c>
      <c r="F59" s="82">
        <v>9.6000000000000002E-2</v>
      </c>
      <c r="G59" s="29"/>
      <c r="H59" s="83">
        <v>3249</v>
      </c>
      <c r="I59" s="104">
        <v>4474</v>
      </c>
      <c r="J59" s="29"/>
      <c r="K59" s="83">
        <v>28225</v>
      </c>
      <c r="L59" s="104">
        <v>6460</v>
      </c>
      <c r="M59" s="29"/>
      <c r="N59" s="128">
        <v>0.03</v>
      </c>
      <c r="O59" s="128">
        <v>0.01</v>
      </c>
      <c r="P59" s="29"/>
      <c r="Q59" s="85">
        <v>0</v>
      </c>
      <c r="R59" s="14"/>
      <c r="S59" s="15"/>
      <c r="T59" s="104">
        <v>8542</v>
      </c>
      <c r="U59" s="82">
        <f t="shared" ref="U59:U64" si="9">(T59-T58)/T58</f>
        <v>-6.6652097902097904E-2</v>
      </c>
      <c r="V59" s="29"/>
      <c r="W59" s="83">
        <v>18903</v>
      </c>
      <c r="X59" s="82">
        <v>-0.20899999999999999</v>
      </c>
      <c r="Y59" s="29"/>
      <c r="Z59" s="104">
        <v>4515</v>
      </c>
      <c r="AA59" s="82">
        <f t="shared" ref="AA59:AA64" si="10">(Z59-Z58)/Z58</f>
        <v>-0.21107810588852</v>
      </c>
      <c r="AB59" s="29"/>
      <c r="AC59" s="83">
        <v>23863</v>
      </c>
      <c r="AD59" s="82">
        <v>-5.2999999999999999E-2</v>
      </c>
      <c r="AE59" s="29"/>
      <c r="AF59" s="104">
        <v>5632</v>
      </c>
      <c r="AG59" s="120">
        <f t="shared" ref="AG59:AG64" si="11">(AF59-AF58)/AF58</f>
        <v>-1.3660245183887917E-2</v>
      </c>
      <c r="AH59" s="128">
        <v>4.24</v>
      </c>
      <c r="AI59" s="84">
        <v>54.6</v>
      </c>
      <c r="AJ59" s="128">
        <v>326</v>
      </c>
      <c r="AK59" s="83">
        <v>384</v>
      </c>
      <c r="AL59" s="102">
        <v>76</v>
      </c>
      <c r="AM59" s="29"/>
      <c r="AN59" s="83">
        <v>4529</v>
      </c>
      <c r="AO59" s="83">
        <v>14384</v>
      </c>
      <c r="AP59" s="83">
        <v>4949</v>
      </c>
      <c r="AQ59" s="29"/>
      <c r="AR59" s="104">
        <v>1066</v>
      </c>
      <c r="AS59" s="104">
        <v>3092</v>
      </c>
      <c r="AT59" s="104">
        <v>1474</v>
      </c>
      <c r="AU59" s="29"/>
      <c r="AV59" s="83">
        <v>20181</v>
      </c>
      <c r="AW59" s="104">
        <v>4665</v>
      </c>
      <c r="AX59" s="29"/>
      <c r="AY59" s="120">
        <v>0.871</v>
      </c>
      <c r="AZ59" s="120">
        <v>0.10199999999999999</v>
      </c>
      <c r="BA59" s="121">
        <v>0</v>
      </c>
      <c r="BB59" s="82">
        <v>2.7E-2</v>
      </c>
      <c r="BC59" s="29"/>
      <c r="BD59" s="129">
        <v>0</v>
      </c>
      <c r="BE59" s="89"/>
      <c r="BF59" s="94"/>
      <c r="BG59" s="129">
        <v>0</v>
      </c>
      <c r="BH59" s="129" t="s">
        <v>231</v>
      </c>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c r="FF59" s="20"/>
      <c r="FG59" s="20"/>
      <c r="FH59" s="20"/>
      <c r="FI59" s="20"/>
      <c r="FJ59" s="20"/>
      <c r="FK59" s="20"/>
      <c r="FL59" s="20"/>
      <c r="FM59" s="20"/>
      <c r="FN59" s="20"/>
      <c r="FO59" s="20"/>
      <c r="FP59" s="20"/>
      <c r="FQ59" s="20"/>
      <c r="FR59" s="20"/>
      <c r="FS59" s="20"/>
      <c r="FT59" s="20"/>
      <c r="FU59" s="20"/>
      <c r="FV59" s="20"/>
      <c r="FW59" s="20"/>
      <c r="FX59" s="20"/>
      <c r="FY59" s="20"/>
      <c r="FZ59" s="20"/>
      <c r="GA59" s="20"/>
      <c r="GB59" s="20"/>
      <c r="GC59" s="20"/>
      <c r="GD59" s="20"/>
      <c r="GE59" s="20"/>
      <c r="GF59" s="20"/>
      <c r="GG59" s="20"/>
      <c r="GH59" s="20"/>
      <c r="GI59" s="20"/>
      <c r="GJ59" s="20"/>
      <c r="GK59" s="20"/>
      <c r="GL59" s="20"/>
      <c r="GM59" s="20"/>
      <c r="GN59" s="20"/>
      <c r="GO59" s="20"/>
      <c r="GP59" s="20"/>
      <c r="GQ59" s="20"/>
      <c r="GR59" s="20"/>
      <c r="GS59" s="20"/>
      <c r="GT59" s="20"/>
      <c r="GU59" s="20"/>
      <c r="GV59" s="20"/>
      <c r="GW59" s="20"/>
      <c r="GX59" s="20"/>
      <c r="GY59" s="20"/>
      <c r="GZ59" s="20"/>
      <c r="HA59" s="20"/>
      <c r="HB59" s="20"/>
      <c r="HC59" s="20"/>
      <c r="HD59" s="20"/>
      <c r="HE59" s="20"/>
      <c r="HF59" s="20"/>
      <c r="HG59" s="20"/>
      <c r="HH59" s="20"/>
      <c r="HI59" s="20"/>
      <c r="HJ59" s="20"/>
      <c r="HK59" s="20"/>
      <c r="HL59" s="20"/>
      <c r="HM59" s="20"/>
      <c r="HN59" s="20"/>
      <c r="HO59" s="20"/>
      <c r="HP59" s="20"/>
      <c r="HQ59" s="20"/>
      <c r="HR59" s="20"/>
      <c r="HS59" s="20"/>
      <c r="HT59" s="20"/>
      <c r="HU59" s="20"/>
      <c r="HV59" s="20"/>
      <c r="HW59" s="20"/>
      <c r="HX59" s="20"/>
      <c r="HY59" s="20"/>
      <c r="HZ59" s="20"/>
      <c r="IA59" s="20"/>
      <c r="IB59" s="20"/>
      <c r="IC59" s="20"/>
      <c r="ID59" s="20"/>
      <c r="IE59" s="20"/>
      <c r="IF59" s="20"/>
      <c r="IG59" s="20"/>
      <c r="IH59" s="20"/>
      <c r="II59" s="20"/>
      <c r="IJ59" s="20"/>
      <c r="IK59" s="20"/>
      <c r="IL59" s="20"/>
      <c r="IM59" s="20"/>
      <c r="IN59" s="20"/>
      <c r="IO59" s="20"/>
      <c r="IP59" s="20"/>
      <c r="IQ59" s="20"/>
      <c r="IR59" s="20"/>
      <c r="IS59" s="20"/>
      <c r="IT59" s="20"/>
      <c r="IU59" s="20"/>
      <c r="IV59" s="20"/>
      <c r="IW59" s="20"/>
      <c r="IX59" s="20"/>
      <c r="IY59" s="20"/>
      <c r="IZ59" s="20"/>
      <c r="JA59" s="20"/>
      <c r="JB59" s="20"/>
      <c r="JC59" s="20"/>
      <c r="JD59" s="20"/>
      <c r="JE59" s="20"/>
      <c r="JF59" s="20"/>
      <c r="JG59" s="20"/>
      <c r="JH59" s="20"/>
      <c r="JI59" s="20"/>
    </row>
    <row r="60" spans="1:269" ht="17.25" customHeight="1">
      <c r="A60" s="101"/>
      <c r="B60" s="20" t="s">
        <v>112</v>
      </c>
      <c r="C60" s="20" t="s">
        <v>157</v>
      </c>
      <c r="D60" s="83">
        <v>1491368</v>
      </c>
      <c r="E60" s="82">
        <v>5.0000000000000001E-3</v>
      </c>
      <c r="F60" s="82">
        <v>9.7000000000000003E-2</v>
      </c>
      <c r="G60" s="29"/>
      <c r="H60" s="83">
        <v>3232</v>
      </c>
      <c r="I60" s="104">
        <v>4407</v>
      </c>
      <c r="J60" s="29"/>
      <c r="K60" s="83">
        <v>28297</v>
      </c>
      <c r="L60" s="104">
        <v>6471</v>
      </c>
      <c r="M60" s="29"/>
      <c r="N60" s="129">
        <v>0.03</v>
      </c>
      <c r="O60" s="129">
        <v>0.02</v>
      </c>
      <c r="P60" s="29"/>
      <c r="Q60" s="85">
        <v>0</v>
      </c>
      <c r="R60" s="14"/>
      <c r="S60" s="15"/>
      <c r="T60" s="104">
        <v>13053</v>
      </c>
      <c r="U60" s="82">
        <f t="shared" si="9"/>
        <v>0.52809646452821357</v>
      </c>
      <c r="V60" s="29"/>
      <c r="W60" s="83">
        <v>20869</v>
      </c>
      <c r="X60" s="82">
        <v>0.104</v>
      </c>
      <c r="Y60" s="29"/>
      <c r="Z60" s="104">
        <v>4923</v>
      </c>
      <c r="AA60" s="82">
        <f t="shared" si="10"/>
        <v>9.0365448504983389E-2</v>
      </c>
      <c r="AB60" s="29"/>
      <c r="AC60" s="83">
        <v>33269</v>
      </c>
      <c r="AD60" s="82">
        <v>0.39400000000000002</v>
      </c>
      <c r="AE60" s="29"/>
      <c r="AF60" s="104">
        <v>7571</v>
      </c>
      <c r="AG60" s="120">
        <f t="shared" si="11"/>
        <v>0.34428267045454547</v>
      </c>
      <c r="AH60" s="85">
        <v>4.3899999999999997</v>
      </c>
      <c r="AI60" s="84">
        <v>56.1</v>
      </c>
      <c r="AJ60" s="129">
        <v>327</v>
      </c>
      <c r="AK60" s="83">
        <v>563</v>
      </c>
      <c r="AL60" s="102">
        <v>104</v>
      </c>
      <c r="AM60" s="29"/>
      <c r="AN60" s="83">
        <v>7700</v>
      </c>
      <c r="AO60" s="83">
        <v>18988</v>
      </c>
      <c r="AP60" s="83">
        <v>6580</v>
      </c>
      <c r="AQ60" s="29"/>
      <c r="AR60" s="104">
        <v>1733</v>
      </c>
      <c r="AS60" s="104">
        <v>4009</v>
      </c>
      <c r="AT60" s="104">
        <v>1829</v>
      </c>
      <c r="AU60" s="29"/>
      <c r="AV60" s="83">
        <v>28565</v>
      </c>
      <c r="AW60" s="104">
        <v>6436</v>
      </c>
      <c r="AX60" s="29"/>
      <c r="AY60" s="120">
        <v>0.88600000000000001</v>
      </c>
      <c r="AZ60" s="120">
        <v>8.2000000000000003E-2</v>
      </c>
      <c r="BA60" s="121">
        <v>0</v>
      </c>
      <c r="BB60" s="82">
        <v>3.1E-2</v>
      </c>
      <c r="BC60" s="29"/>
      <c r="BD60" s="129">
        <v>0</v>
      </c>
      <c r="BE60" s="89"/>
      <c r="BF60" s="94"/>
      <c r="BG60" s="129">
        <v>0</v>
      </c>
      <c r="BH60" s="129" t="s">
        <v>231</v>
      </c>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c r="DB60" s="20"/>
      <c r="DC60" s="20"/>
      <c r="DD60" s="20"/>
      <c r="DE60" s="20"/>
      <c r="DF60" s="20"/>
      <c r="DG60" s="20"/>
      <c r="DH60" s="20"/>
      <c r="DI60" s="20"/>
      <c r="DJ60" s="20"/>
      <c r="DK60" s="20"/>
      <c r="DL60" s="20"/>
      <c r="DM60" s="20"/>
      <c r="DN60" s="20"/>
      <c r="DO60" s="20"/>
      <c r="DP60" s="20"/>
      <c r="DQ60" s="20"/>
      <c r="DR60" s="20"/>
      <c r="DS60" s="20"/>
      <c r="DT60" s="20"/>
      <c r="DU60" s="20"/>
      <c r="DV60" s="20"/>
      <c r="DW60" s="20"/>
      <c r="DX60" s="20"/>
      <c r="DY60" s="20"/>
      <c r="DZ60" s="20"/>
      <c r="EA60" s="20"/>
      <c r="EB60" s="20"/>
      <c r="EC60" s="20"/>
      <c r="ED60" s="20"/>
      <c r="EE60" s="20"/>
      <c r="EF60" s="20"/>
      <c r="EG60" s="20"/>
      <c r="EH60" s="20"/>
      <c r="EI60" s="20"/>
      <c r="EJ60" s="20"/>
      <c r="EK60" s="20"/>
      <c r="EL60" s="20"/>
      <c r="EM60" s="20"/>
      <c r="EN60" s="20"/>
      <c r="EO60" s="20"/>
      <c r="EP60" s="20"/>
      <c r="EQ60" s="20"/>
      <c r="ER60" s="20"/>
      <c r="ES60" s="20"/>
      <c r="ET60" s="20"/>
      <c r="EU60" s="20"/>
      <c r="EV60" s="20"/>
      <c r="EW60" s="20"/>
      <c r="EX60" s="20"/>
      <c r="EY60" s="20"/>
      <c r="EZ60" s="20"/>
      <c r="FA60" s="20"/>
      <c r="FB60" s="20"/>
      <c r="FC60" s="20"/>
      <c r="FD60" s="20"/>
      <c r="FE60" s="20"/>
      <c r="FF60" s="20"/>
      <c r="FG60" s="20"/>
      <c r="FH60" s="20"/>
      <c r="FI60" s="20"/>
      <c r="FJ60" s="20"/>
      <c r="FK60" s="20"/>
      <c r="FL60" s="20"/>
      <c r="FM60" s="20"/>
      <c r="FN60" s="20"/>
      <c r="FO60" s="20"/>
      <c r="FP60" s="20"/>
      <c r="FQ60" s="20"/>
      <c r="FR60" s="20"/>
      <c r="FS60" s="20"/>
      <c r="FT60" s="20"/>
      <c r="FU60" s="20"/>
      <c r="FV60" s="20"/>
      <c r="FW60" s="20"/>
      <c r="FX60" s="20"/>
      <c r="FY60" s="20"/>
      <c r="FZ60" s="20"/>
      <c r="GA60" s="20"/>
      <c r="GB60" s="20"/>
      <c r="GC60" s="20"/>
      <c r="GD60" s="20"/>
      <c r="GE60" s="20"/>
      <c r="GF60" s="20"/>
      <c r="GG60" s="20"/>
      <c r="GH60" s="20"/>
      <c r="GI60" s="20"/>
      <c r="GJ60" s="20"/>
      <c r="GK60" s="20"/>
      <c r="GL60" s="20"/>
      <c r="GM60" s="20"/>
      <c r="GN60" s="20"/>
      <c r="GO60" s="20"/>
      <c r="GP60" s="20"/>
      <c r="GQ60" s="20"/>
      <c r="GR60" s="20"/>
      <c r="GS60" s="20"/>
      <c r="GT60" s="20"/>
      <c r="GU60" s="20"/>
      <c r="GV60" s="20"/>
      <c r="GW60" s="20"/>
      <c r="GX60" s="20"/>
      <c r="GY60" s="20"/>
      <c r="GZ60" s="20"/>
      <c r="HA60" s="20"/>
      <c r="HB60" s="20"/>
      <c r="HC60" s="20"/>
      <c r="HD60" s="20"/>
      <c r="HE60" s="20"/>
      <c r="HF60" s="20"/>
      <c r="HG60" s="20"/>
      <c r="HH60" s="20"/>
      <c r="HI60" s="20"/>
      <c r="HJ60" s="20"/>
      <c r="HK60" s="20"/>
      <c r="HL60" s="20"/>
      <c r="HM60" s="20"/>
      <c r="HN60" s="20"/>
      <c r="HO60" s="20"/>
      <c r="HP60" s="20"/>
      <c r="HQ60" s="20"/>
      <c r="HR60" s="20"/>
      <c r="HS60" s="20"/>
      <c r="HT60" s="20"/>
      <c r="HU60" s="20"/>
      <c r="HV60" s="20"/>
      <c r="HW60" s="20"/>
      <c r="HX60" s="20"/>
      <c r="HY60" s="20"/>
      <c r="HZ60" s="20"/>
      <c r="IA60" s="20"/>
      <c r="IB60" s="20"/>
      <c r="IC60" s="20"/>
      <c r="ID60" s="20"/>
      <c r="IE60" s="20"/>
      <c r="IF60" s="20"/>
      <c r="IG60" s="20"/>
      <c r="IH60" s="20"/>
      <c r="II60" s="20"/>
      <c r="IJ60" s="20"/>
      <c r="IK60" s="20"/>
      <c r="IL60" s="20"/>
      <c r="IM60" s="20"/>
      <c r="IN60" s="20"/>
      <c r="IO60" s="20"/>
      <c r="IP60" s="20"/>
      <c r="IQ60" s="20"/>
      <c r="IR60" s="20"/>
      <c r="IS60" s="20"/>
      <c r="IT60" s="20"/>
      <c r="IU60" s="20"/>
      <c r="IV60" s="20"/>
      <c r="IW60" s="20"/>
      <c r="IX60" s="20"/>
      <c r="IY60" s="20"/>
      <c r="IZ60" s="20"/>
      <c r="JA60" s="20"/>
      <c r="JB60" s="20"/>
      <c r="JC60" s="20"/>
      <c r="JD60" s="20"/>
      <c r="JE60" s="20"/>
      <c r="JF60" s="20"/>
      <c r="JG60" s="20"/>
      <c r="JH60" s="20"/>
      <c r="JI60" s="20"/>
    </row>
    <row r="61" spans="1:269" ht="17.25" customHeight="1">
      <c r="A61" s="101"/>
      <c r="B61" s="20" t="s">
        <v>111</v>
      </c>
      <c r="C61" s="20" t="s">
        <v>153</v>
      </c>
      <c r="D61" s="83">
        <v>1495715</v>
      </c>
      <c r="E61" s="82">
        <v>3.0000000000000001E-3</v>
      </c>
      <c r="F61" s="82">
        <v>9.7000000000000003E-2</v>
      </c>
      <c r="G61" s="29"/>
      <c r="H61" s="83">
        <v>3197</v>
      </c>
      <c r="I61" s="104">
        <v>4326</v>
      </c>
      <c r="J61" s="29"/>
      <c r="K61" s="83">
        <v>28260</v>
      </c>
      <c r="L61" s="104">
        <v>6455</v>
      </c>
      <c r="M61" s="29"/>
      <c r="N61" s="129">
        <v>0.03</v>
      </c>
      <c r="O61" s="129">
        <v>0.02</v>
      </c>
      <c r="P61" s="29"/>
      <c r="Q61" s="85">
        <v>0</v>
      </c>
      <c r="R61" s="14"/>
      <c r="S61" s="15"/>
      <c r="T61" s="104">
        <v>10848</v>
      </c>
      <c r="U61" s="82">
        <f t="shared" si="9"/>
        <v>-0.16892668352102966</v>
      </c>
      <c r="V61" s="29"/>
      <c r="W61" s="83">
        <v>17328</v>
      </c>
      <c r="X61" s="86">
        <v>-0.17</v>
      </c>
      <c r="Y61" s="29"/>
      <c r="Z61" s="104">
        <v>4104</v>
      </c>
      <c r="AA61" s="82">
        <f t="shared" si="10"/>
        <v>-0.1663619744058501</v>
      </c>
      <c r="AB61" s="29"/>
      <c r="AC61" s="83">
        <v>32510</v>
      </c>
      <c r="AD61" s="82">
        <v>-2.3E-2</v>
      </c>
      <c r="AE61" s="29"/>
      <c r="AF61" s="104">
        <v>7367</v>
      </c>
      <c r="AG61" s="120">
        <f t="shared" si="11"/>
        <v>-2.6944921410645886E-2</v>
      </c>
      <c r="AH61" s="85">
        <v>4.41</v>
      </c>
      <c r="AI61" s="84">
        <v>58.2</v>
      </c>
      <c r="AJ61" s="129">
        <v>328</v>
      </c>
      <c r="AK61" s="83">
        <v>402</v>
      </c>
      <c r="AL61" s="102">
        <v>78</v>
      </c>
      <c r="AM61" s="29"/>
      <c r="AN61" s="83">
        <v>5861</v>
      </c>
      <c r="AO61" s="83">
        <v>20712</v>
      </c>
      <c r="AP61" s="83">
        <v>5937</v>
      </c>
      <c r="AQ61" s="29"/>
      <c r="AR61" s="104">
        <v>1395</v>
      </c>
      <c r="AS61" s="104">
        <v>4321</v>
      </c>
      <c r="AT61" s="104">
        <v>1651</v>
      </c>
      <c r="AU61" s="29"/>
      <c r="AV61" s="83">
        <v>28906</v>
      </c>
      <c r="AW61" s="104">
        <v>6432</v>
      </c>
      <c r="AX61" s="29"/>
      <c r="AY61" s="120">
        <v>0.90500000000000003</v>
      </c>
      <c r="AZ61" s="120">
        <v>6.4000000000000001E-2</v>
      </c>
      <c r="BA61" s="121">
        <v>0</v>
      </c>
      <c r="BB61" s="82">
        <v>3.1E-2</v>
      </c>
      <c r="BC61" s="29"/>
      <c r="BD61" s="129">
        <v>0</v>
      </c>
      <c r="BE61" s="89"/>
      <c r="BF61" s="94"/>
      <c r="BG61" s="129">
        <v>0</v>
      </c>
      <c r="BH61" s="129" t="s">
        <v>231</v>
      </c>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c r="DB61" s="20"/>
      <c r="DC61" s="20"/>
      <c r="DD61" s="20"/>
      <c r="DE61" s="20"/>
      <c r="DF61" s="20"/>
      <c r="DG61" s="20"/>
      <c r="DH61" s="20"/>
      <c r="DI61" s="20"/>
      <c r="DJ61" s="20"/>
      <c r="DK61" s="20"/>
      <c r="DL61" s="20"/>
      <c r="DM61" s="20"/>
      <c r="DN61" s="20"/>
      <c r="DO61" s="20"/>
      <c r="DP61" s="20"/>
      <c r="DQ61" s="20"/>
      <c r="DR61" s="20"/>
      <c r="DS61" s="20"/>
      <c r="DT61" s="20"/>
      <c r="DU61" s="20"/>
      <c r="DV61" s="20"/>
      <c r="DW61" s="20"/>
      <c r="DX61" s="20"/>
      <c r="DY61" s="20"/>
      <c r="DZ61" s="20"/>
      <c r="EA61" s="20"/>
      <c r="EB61" s="20"/>
      <c r="EC61" s="20"/>
      <c r="ED61" s="20"/>
      <c r="EE61" s="20"/>
      <c r="EF61" s="20"/>
      <c r="EG61" s="20"/>
      <c r="EH61" s="20"/>
      <c r="EI61" s="20"/>
      <c r="EJ61" s="20"/>
      <c r="EK61" s="20"/>
      <c r="EL61" s="20"/>
      <c r="EM61" s="20"/>
      <c r="EN61" s="20"/>
      <c r="EO61" s="20"/>
      <c r="EP61" s="20"/>
      <c r="EQ61" s="20"/>
      <c r="ER61" s="20"/>
      <c r="ES61" s="20"/>
      <c r="ET61" s="20"/>
      <c r="EU61" s="20"/>
      <c r="EV61" s="20"/>
      <c r="EW61" s="20"/>
      <c r="EX61" s="20"/>
      <c r="EY61" s="20"/>
      <c r="EZ61" s="20"/>
      <c r="FA61" s="20"/>
      <c r="FB61" s="20"/>
      <c r="FC61" s="20"/>
      <c r="FD61" s="20"/>
      <c r="FE61" s="20"/>
      <c r="FF61" s="20"/>
      <c r="FG61" s="20"/>
      <c r="FH61" s="20"/>
      <c r="FI61" s="20"/>
      <c r="FJ61" s="20"/>
      <c r="FK61" s="20"/>
      <c r="FL61" s="20"/>
      <c r="FM61" s="20"/>
      <c r="FN61" s="20"/>
      <c r="FO61" s="20"/>
      <c r="FP61" s="20"/>
      <c r="FQ61" s="20"/>
      <c r="FR61" s="20"/>
      <c r="FS61" s="20"/>
      <c r="FT61" s="20"/>
      <c r="FU61" s="20"/>
      <c r="FV61" s="20"/>
      <c r="FW61" s="20"/>
      <c r="FX61" s="20"/>
      <c r="FY61" s="20"/>
      <c r="FZ61" s="20"/>
      <c r="GA61" s="20"/>
      <c r="GB61" s="20"/>
      <c r="GC61" s="20"/>
      <c r="GD61" s="20"/>
      <c r="GE61" s="20"/>
      <c r="GF61" s="20"/>
      <c r="GG61" s="20"/>
      <c r="GH61" s="20"/>
      <c r="GI61" s="20"/>
      <c r="GJ61" s="20"/>
      <c r="GK61" s="20"/>
      <c r="GL61" s="20"/>
      <c r="GM61" s="20"/>
      <c r="GN61" s="20"/>
      <c r="GO61" s="20"/>
      <c r="GP61" s="20"/>
      <c r="GQ61" s="20"/>
      <c r="GR61" s="20"/>
      <c r="GS61" s="20"/>
      <c r="GT61" s="20"/>
      <c r="GU61" s="20"/>
      <c r="GV61" s="20"/>
      <c r="GW61" s="20"/>
      <c r="GX61" s="20"/>
      <c r="GY61" s="20"/>
      <c r="GZ61" s="20"/>
      <c r="HA61" s="20"/>
      <c r="HB61" s="20"/>
      <c r="HC61" s="20"/>
      <c r="HD61" s="20"/>
      <c r="HE61" s="20"/>
      <c r="HF61" s="20"/>
      <c r="HG61" s="20"/>
      <c r="HH61" s="20"/>
      <c r="HI61" s="20"/>
      <c r="HJ61" s="20"/>
      <c r="HK61" s="20"/>
      <c r="HL61" s="20"/>
      <c r="HM61" s="20"/>
      <c r="HN61" s="20"/>
      <c r="HO61" s="20"/>
      <c r="HP61" s="20"/>
      <c r="HQ61" s="20"/>
      <c r="HR61" s="20"/>
      <c r="HS61" s="20"/>
      <c r="HT61" s="20"/>
      <c r="HU61" s="20"/>
      <c r="HV61" s="20"/>
      <c r="HW61" s="20"/>
      <c r="HX61" s="20"/>
      <c r="HY61" s="20"/>
      <c r="HZ61" s="20"/>
      <c r="IA61" s="20"/>
      <c r="IB61" s="20"/>
      <c r="IC61" s="20"/>
      <c r="ID61" s="20"/>
      <c r="IE61" s="20"/>
      <c r="IF61" s="20"/>
      <c r="IG61" s="20"/>
      <c r="IH61" s="20"/>
      <c r="II61" s="20"/>
      <c r="IJ61" s="20"/>
      <c r="IK61" s="20"/>
      <c r="IL61" s="20"/>
      <c r="IM61" s="20"/>
      <c r="IN61" s="20"/>
      <c r="IO61" s="20"/>
      <c r="IP61" s="20"/>
      <c r="IQ61" s="20"/>
      <c r="IR61" s="20"/>
      <c r="IS61" s="20"/>
      <c r="IT61" s="20"/>
      <c r="IU61" s="20"/>
      <c r="IV61" s="20"/>
      <c r="IW61" s="20"/>
      <c r="IX61" s="20"/>
      <c r="IY61" s="20"/>
      <c r="IZ61" s="20"/>
      <c r="JA61" s="20"/>
      <c r="JB61" s="20"/>
      <c r="JC61" s="20"/>
      <c r="JD61" s="20"/>
      <c r="JE61" s="20"/>
      <c r="JF61" s="20"/>
      <c r="JG61" s="20"/>
      <c r="JH61" s="20"/>
      <c r="JI61" s="20"/>
    </row>
    <row r="62" spans="1:269" ht="17.25" customHeight="1">
      <c r="A62" s="101"/>
      <c r="B62" s="20" t="s">
        <v>110</v>
      </c>
      <c r="C62" s="20" t="s">
        <v>133</v>
      </c>
      <c r="D62" s="83">
        <v>1505237</v>
      </c>
      <c r="E62" s="82">
        <v>6.0000000000000001E-3</v>
      </c>
      <c r="F62" s="82">
        <v>9.1999999999999998E-2</v>
      </c>
      <c r="G62" s="29"/>
      <c r="H62" s="83">
        <v>3227</v>
      </c>
      <c r="I62" s="104">
        <v>4244</v>
      </c>
      <c r="J62" s="29"/>
      <c r="K62" s="83">
        <v>28095</v>
      </c>
      <c r="L62" s="104">
        <v>6426</v>
      </c>
      <c r="M62" s="29"/>
      <c r="N62" s="129">
        <v>0.04</v>
      </c>
      <c r="O62" s="129">
        <v>0.02</v>
      </c>
      <c r="P62" s="29"/>
      <c r="Q62" s="85">
        <v>0</v>
      </c>
      <c r="R62" s="14"/>
      <c r="S62" s="15"/>
      <c r="T62" s="104">
        <v>15019</v>
      </c>
      <c r="U62" s="82">
        <f t="shared" si="9"/>
        <v>0.38449483775811211</v>
      </c>
      <c r="V62" s="29"/>
      <c r="W62" s="83">
        <v>23640</v>
      </c>
      <c r="X62" s="82">
        <v>0.36399999999999999</v>
      </c>
      <c r="Y62" s="29"/>
      <c r="Z62" s="104">
        <v>5622</v>
      </c>
      <c r="AA62" s="82">
        <f t="shared" si="10"/>
        <v>0.36988304093567254</v>
      </c>
      <c r="AB62" s="29"/>
      <c r="AC62" s="83">
        <v>40950</v>
      </c>
      <c r="AD62" s="86">
        <v>0.26</v>
      </c>
      <c r="AE62" s="29"/>
      <c r="AF62" s="104">
        <v>8749</v>
      </c>
      <c r="AG62" s="120">
        <f t="shared" si="11"/>
        <v>0.18759332156915975</v>
      </c>
      <c r="AH62" s="85">
        <v>4.68</v>
      </c>
      <c r="AI62" s="84">
        <v>58.2</v>
      </c>
      <c r="AJ62" s="129">
        <v>330</v>
      </c>
      <c r="AK62" s="83">
        <v>470</v>
      </c>
      <c r="AL62" s="102">
        <v>86</v>
      </c>
      <c r="AM62" s="29"/>
      <c r="AN62" s="83">
        <v>6517</v>
      </c>
      <c r="AO62" s="83">
        <v>28501</v>
      </c>
      <c r="AP62" s="83">
        <v>5932</v>
      </c>
      <c r="AQ62" s="29"/>
      <c r="AR62" s="104">
        <v>1392</v>
      </c>
      <c r="AS62" s="104">
        <v>5768</v>
      </c>
      <c r="AT62" s="104">
        <v>1589</v>
      </c>
      <c r="AU62" s="29"/>
      <c r="AV62" s="83">
        <v>36598</v>
      </c>
      <c r="AW62" s="104">
        <v>7665</v>
      </c>
      <c r="AX62" s="29"/>
      <c r="AY62" s="121">
        <v>0.91</v>
      </c>
      <c r="AZ62" s="120">
        <v>5.7000000000000002E-2</v>
      </c>
      <c r="BA62" s="121">
        <v>0</v>
      </c>
      <c r="BB62" s="82">
        <v>3.3000000000000002E-2</v>
      </c>
      <c r="BC62" s="29"/>
      <c r="BD62" s="129">
        <v>0</v>
      </c>
      <c r="BE62" s="89"/>
      <c r="BF62" s="94"/>
      <c r="BG62" s="129">
        <v>0</v>
      </c>
      <c r="BH62" s="129" t="s">
        <v>208</v>
      </c>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c r="DV62" s="20"/>
      <c r="DW62" s="20"/>
      <c r="DX62" s="20"/>
      <c r="DY62" s="20"/>
      <c r="DZ62" s="20"/>
      <c r="EA62" s="20"/>
      <c r="EB62" s="20"/>
      <c r="EC62" s="20"/>
      <c r="ED62" s="20"/>
      <c r="EE62" s="20"/>
      <c r="EF62" s="20"/>
      <c r="EG62" s="20"/>
      <c r="EH62" s="20"/>
      <c r="EI62" s="20"/>
      <c r="EJ62" s="20"/>
      <c r="EK62" s="20"/>
      <c r="EL62" s="20"/>
      <c r="EM62" s="20"/>
      <c r="EN62" s="20"/>
      <c r="EO62" s="20"/>
      <c r="EP62" s="20"/>
      <c r="EQ62" s="20"/>
      <c r="ER62" s="20"/>
      <c r="ES62" s="20"/>
      <c r="ET62" s="20"/>
      <c r="EU62" s="20"/>
      <c r="EV62" s="20"/>
      <c r="EW62" s="20"/>
      <c r="EX62" s="20"/>
      <c r="EY62" s="20"/>
      <c r="EZ62" s="20"/>
      <c r="FA62" s="20"/>
      <c r="FB62" s="20"/>
      <c r="FC62" s="20"/>
      <c r="FD62" s="20"/>
      <c r="FE62" s="20"/>
      <c r="FF62" s="20"/>
      <c r="FG62" s="20"/>
      <c r="FH62" s="20"/>
      <c r="FI62" s="20"/>
      <c r="FJ62" s="20"/>
      <c r="FK62" s="20"/>
      <c r="FL62" s="20"/>
      <c r="FM62" s="20"/>
      <c r="FN62" s="20"/>
      <c r="FO62" s="20"/>
      <c r="FP62" s="20"/>
      <c r="FQ62" s="20"/>
      <c r="FR62" s="20"/>
      <c r="FS62" s="20"/>
      <c r="FT62" s="20"/>
      <c r="FU62" s="20"/>
      <c r="FV62" s="20"/>
      <c r="FW62" s="20"/>
      <c r="FX62" s="20"/>
      <c r="FY62" s="20"/>
      <c r="FZ62" s="20"/>
      <c r="GA62" s="20"/>
      <c r="GB62" s="20"/>
      <c r="GC62" s="20"/>
      <c r="GD62" s="20"/>
      <c r="GE62" s="20"/>
      <c r="GF62" s="20"/>
      <c r="GG62" s="20"/>
      <c r="GH62" s="20"/>
      <c r="GI62" s="20"/>
      <c r="GJ62" s="20"/>
      <c r="GK62" s="20"/>
      <c r="GL62" s="20"/>
      <c r="GM62" s="20"/>
      <c r="GN62" s="20"/>
      <c r="GO62" s="20"/>
      <c r="GP62" s="20"/>
      <c r="GQ62" s="20"/>
      <c r="GR62" s="20"/>
      <c r="GS62" s="20"/>
      <c r="GT62" s="20"/>
      <c r="GU62" s="20"/>
      <c r="GV62" s="20"/>
      <c r="GW62" s="20"/>
      <c r="GX62" s="20"/>
      <c r="GY62" s="20"/>
      <c r="GZ62" s="20"/>
      <c r="HA62" s="20"/>
      <c r="HB62" s="20"/>
      <c r="HC62" s="20"/>
      <c r="HD62" s="20"/>
      <c r="HE62" s="20"/>
      <c r="HF62" s="20"/>
      <c r="HG62" s="20"/>
      <c r="HH62" s="20"/>
      <c r="HI62" s="20"/>
      <c r="HJ62" s="20"/>
      <c r="HK62" s="20"/>
      <c r="HL62" s="20"/>
      <c r="HM62" s="20"/>
      <c r="HN62" s="20"/>
      <c r="HO62" s="20"/>
      <c r="HP62" s="20"/>
      <c r="HQ62" s="20"/>
      <c r="HR62" s="20"/>
      <c r="HS62" s="20"/>
      <c r="HT62" s="20"/>
      <c r="HU62" s="20"/>
      <c r="HV62" s="20"/>
      <c r="HW62" s="20"/>
      <c r="HX62" s="20"/>
      <c r="HY62" s="20"/>
      <c r="HZ62" s="20"/>
      <c r="IA62" s="20"/>
      <c r="IB62" s="20"/>
      <c r="IC62" s="20"/>
      <c r="ID62" s="20"/>
      <c r="IE62" s="20"/>
      <c r="IF62" s="20"/>
      <c r="IG62" s="20"/>
      <c r="IH62" s="20"/>
      <c r="II62" s="20"/>
      <c r="IJ62" s="20"/>
      <c r="IK62" s="20"/>
      <c r="IL62" s="20"/>
      <c r="IM62" s="20"/>
      <c r="IN62" s="20"/>
      <c r="IO62" s="20"/>
      <c r="IP62" s="20"/>
      <c r="IQ62" s="20"/>
      <c r="IR62" s="20"/>
      <c r="IS62" s="20"/>
      <c r="IT62" s="20"/>
      <c r="IU62" s="20"/>
      <c r="IV62" s="20"/>
      <c r="IW62" s="20"/>
      <c r="IX62" s="20"/>
      <c r="IY62" s="20"/>
      <c r="IZ62" s="20"/>
      <c r="JA62" s="20"/>
      <c r="JB62" s="20"/>
      <c r="JC62" s="20"/>
      <c r="JD62" s="20"/>
      <c r="JE62" s="20"/>
      <c r="JF62" s="20"/>
      <c r="JG62" s="20"/>
      <c r="JH62" s="20"/>
      <c r="JI62" s="20"/>
    </row>
    <row r="63" spans="1:269" ht="17.25" customHeight="1">
      <c r="A63" s="101"/>
      <c r="B63" s="20" t="s">
        <v>233</v>
      </c>
      <c r="C63" s="20" t="s">
        <v>149</v>
      </c>
      <c r="D63" s="83">
        <v>1517997</v>
      </c>
      <c r="E63" s="82">
        <v>8.0000000000000002E-3</v>
      </c>
      <c r="F63" s="82">
        <v>8.5999999999999993E-2</v>
      </c>
      <c r="G63" s="29"/>
      <c r="H63" s="83">
        <v>3200</v>
      </c>
      <c r="I63" s="104">
        <v>4184</v>
      </c>
      <c r="J63" s="29"/>
      <c r="K63" s="83">
        <v>28006</v>
      </c>
      <c r="L63" s="104">
        <v>6395</v>
      </c>
      <c r="M63" s="29"/>
      <c r="N63" s="129">
        <v>0.04</v>
      </c>
      <c r="O63" s="129">
        <v>0.02</v>
      </c>
      <c r="P63" s="29"/>
      <c r="Q63" s="85">
        <v>0</v>
      </c>
      <c r="R63" s="14"/>
      <c r="S63" s="15"/>
      <c r="T63" s="104">
        <v>13829</v>
      </c>
      <c r="U63" s="82">
        <f t="shared" si="9"/>
        <v>-7.9232971569345501E-2</v>
      </c>
      <c r="V63" s="29"/>
      <c r="W63" s="83">
        <v>29268</v>
      </c>
      <c r="X63" s="82">
        <v>0.23799999999999999</v>
      </c>
      <c r="Y63" s="29"/>
      <c r="Z63" s="104">
        <v>6902</v>
      </c>
      <c r="AA63" s="82">
        <f t="shared" si="10"/>
        <v>0.22767698327997155</v>
      </c>
      <c r="AB63" s="29"/>
      <c r="AC63" s="83">
        <v>47626</v>
      </c>
      <c r="AD63" s="82">
        <v>0.16300000000000001</v>
      </c>
      <c r="AE63" s="29"/>
      <c r="AF63" s="104">
        <v>10032</v>
      </c>
      <c r="AG63" s="120">
        <f t="shared" si="11"/>
        <v>0.14664533089495943</v>
      </c>
      <c r="AH63" s="85">
        <v>4.75</v>
      </c>
      <c r="AI63" s="84">
        <v>58.3</v>
      </c>
      <c r="AJ63" s="129">
        <v>331</v>
      </c>
      <c r="AK63" s="83">
        <v>704</v>
      </c>
      <c r="AL63" s="102">
        <v>118</v>
      </c>
      <c r="AM63" s="29"/>
      <c r="AN63" s="83">
        <v>8379</v>
      </c>
      <c r="AO63" s="83">
        <v>33909</v>
      </c>
      <c r="AP63" s="83">
        <v>5339</v>
      </c>
      <c r="AQ63" s="29"/>
      <c r="AR63" s="104">
        <v>1760</v>
      </c>
      <c r="AS63" s="104">
        <v>6808</v>
      </c>
      <c r="AT63" s="104">
        <v>1464</v>
      </c>
      <c r="AU63" s="29"/>
      <c r="AV63" s="83">
        <v>42212</v>
      </c>
      <c r="AW63" s="104">
        <v>8709</v>
      </c>
      <c r="AX63" s="29"/>
      <c r="AY63" s="120">
        <v>0.92200000000000004</v>
      </c>
      <c r="AZ63" s="120">
        <v>4.7E-2</v>
      </c>
      <c r="BA63" s="121">
        <v>0</v>
      </c>
      <c r="BB63" s="86">
        <v>0.03</v>
      </c>
      <c r="BC63" s="29"/>
      <c r="BD63" s="129">
        <v>0</v>
      </c>
      <c r="BE63" s="89"/>
      <c r="BF63" s="94"/>
      <c r="BG63" s="129">
        <v>0</v>
      </c>
      <c r="BH63" s="129" t="s">
        <v>208</v>
      </c>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c r="DB63" s="20"/>
      <c r="DC63" s="20"/>
      <c r="DD63" s="20"/>
      <c r="DE63" s="20"/>
      <c r="DF63" s="20"/>
      <c r="DG63" s="20"/>
      <c r="DH63" s="20"/>
      <c r="DI63" s="20"/>
      <c r="DJ63" s="20"/>
      <c r="DK63" s="20"/>
      <c r="DL63" s="20"/>
      <c r="DM63" s="20"/>
      <c r="DN63" s="20"/>
      <c r="DO63" s="20"/>
      <c r="DP63" s="20"/>
      <c r="DQ63" s="20"/>
      <c r="DR63" s="20"/>
      <c r="DS63" s="20"/>
      <c r="DT63" s="20"/>
      <c r="DU63" s="20"/>
      <c r="DV63" s="20"/>
      <c r="DW63" s="20"/>
      <c r="DX63" s="20"/>
      <c r="DY63" s="20"/>
      <c r="DZ63" s="20"/>
      <c r="EA63" s="20"/>
      <c r="EB63" s="20"/>
      <c r="EC63" s="20"/>
      <c r="ED63" s="20"/>
      <c r="EE63" s="20"/>
      <c r="EF63" s="20"/>
      <c r="EG63" s="20"/>
      <c r="EH63" s="20"/>
      <c r="EI63" s="20"/>
      <c r="EJ63" s="20"/>
      <c r="EK63" s="20"/>
      <c r="EL63" s="20"/>
      <c r="EM63" s="20"/>
      <c r="EN63" s="20"/>
      <c r="EO63" s="20"/>
      <c r="EP63" s="20"/>
      <c r="EQ63" s="20"/>
      <c r="ER63" s="20"/>
      <c r="ES63" s="20"/>
      <c r="ET63" s="20"/>
      <c r="EU63" s="20"/>
      <c r="EV63" s="20"/>
      <c r="EW63" s="20"/>
      <c r="EX63" s="20"/>
      <c r="EY63" s="20"/>
      <c r="EZ63" s="20"/>
      <c r="FA63" s="20"/>
      <c r="FB63" s="20"/>
      <c r="FC63" s="20"/>
      <c r="FD63" s="20"/>
      <c r="FE63" s="20"/>
      <c r="FF63" s="20"/>
      <c r="FG63" s="20"/>
      <c r="FH63" s="20"/>
      <c r="FI63" s="20"/>
      <c r="FJ63" s="20"/>
      <c r="FK63" s="20"/>
      <c r="FL63" s="20"/>
      <c r="FM63" s="20"/>
      <c r="FN63" s="20"/>
      <c r="FO63" s="20"/>
      <c r="FP63" s="20"/>
      <c r="FQ63" s="20"/>
      <c r="FR63" s="20"/>
      <c r="FS63" s="20"/>
      <c r="FT63" s="20"/>
      <c r="FU63" s="20"/>
      <c r="FV63" s="20"/>
      <c r="FW63" s="20"/>
      <c r="FX63" s="20"/>
      <c r="FY63" s="20"/>
      <c r="FZ63" s="20"/>
      <c r="GA63" s="20"/>
      <c r="GB63" s="20"/>
      <c r="GC63" s="20"/>
      <c r="GD63" s="20"/>
      <c r="GE63" s="20"/>
      <c r="GF63" s="20"/>
      <c r="GG63" s="20"/>
      <c r="GH63" s="20"/>
      <c r="GI63" s="20"/>
      <c r="GJ63" s="20"/>
      <c r="GK63" s="20"/>
      <c r="GL63" s="20"/>
      <c r="GM63" s="20"/>
      <c r="GN63" s="20"/>
      <c r="GO63" s="20"/>
      <c r="GP63" s="20"/>
      <c r="GQ63" s="20"/>
      <c r="GR63" s="20"/>
      <c r="GS63" s="20"/>
      <c r="GT63" s="20"/>
      <c r="GU63" s="20"/>
      <c r="GV63" s="20"/>
      <c r="GW63" s="20"/>
      <c r="GX63" s="20"/>
      <c r="GY63" s="20"/>
      <c r="GZ63" s="20"/>
      <c r="HA63" s="20"/>
      <c r="HB63" s="20"/>
      <c r="HC63" s="20"/>
      <c r="HD63" s="20"/>
      <c r="HE63" s="20"/>
      <c r="HF63" s="20"/>
      <c r="HG63" s="20"/>
      <c r="HH63" s="20"/>
      <c r="HI63" s="20"/>
      <c r="HJ63" s="20"/>
      <c r="HK63" s="20"/>
      <c r="HL63" s="20"/>
      <c r="HM63" s="20"/>
      <c r="HN63" s="20"/>
      <c r="HO63" s="20"/>
      <c r="HP63" s="20"/>
      <c r="HQ63" s="20"/>
      <c r="HR63" s="20"/>
      <c r="HS63" s="20"/>
      <c r="HT63" s="20"/>
      <c r="HU63" s="20"/>
      <c r="HV63" s="20"/>
      <c r="HW63" s="20"/>
      <c r="HX63" s="20"/>
      <c r="HY63" s="20"/>
      <c r="HZ63" s="20"/>
      <c r="IA63" s="20"/>
      <c r="IB63" s="20"/>
      <c r="IC63" s="20"/>
      <c r="ID63" s="20"/>
      <c r="IE63" s="20"/>
      <c r="IF63" s="20"/>
      <c r="IG63" s="20"/>
      <c r="IH63" s="20"/>
      <c r="II63" s="20"/>
      <c r="IJ63" s="20"/>
      <c r="IK63" s="20"/>
      <c r="IL63" s="20"/>
      <c r="IM63" s="20"/>
      <c r="IN63" s="20"/>
      <c r="IO63" s="20"/>
      <c r="IP63" s="20"/>
      <c r="IQ63" s="20"/>
      <c r="IR63" s="20"/>
      <c r="IS63" s="20"/>
      <c r="IT63" s="20"/>
      <c r="IU63" s="20"/>
      <c r="IV63" s="20"/>
      <c r="IW63" s="20"/>
      <c r="IX63" s="20"/>
      <c r="IY63" s="20"/>
      <c r="IZ63" s="20"/>
      <c r="JA63" s="20"/>
      <c r="JB63" s="20"/>
      <c r="JC63" s="20"/>
      <c r="JD63" s="20"/>
      <c r="JE63" s="20"/>
      <c r="JF63" s="20"/>
      <c r="JG63" s="20"/>
      <c r="JH63" s="20"/>
      <c r="JI63" s="20"/>
    </row>
    <row r="64" spans="1:269" ht="17.25" customHeight="1">
      <c r="A64" s="101"/>
      <c r="B64" s="20" t="s">
        <v>120</v>
      </c>
      <c r="C64" s="20" t="s">
        <v>147</v>
      </c>
      <c r="D64" s="83">
        <v>1531044</v>
      </c>
      <c r="E64" s="82">
        <v>8.9999999999999993E-3</v>
      </c>
      <c r="F64" s="82">
        <v>8.1000000000000003E-2</v>
      </c>
      <c r="G64" s="29"/>
      <c r="H64" s="83">
        <v>3183</v>
      </c>
      <c r="I64" s="104">
        <v>4127</v>
      </c>
      <c r="J64" s="29"/>
      <c r="K64" s="83">
        <v>27929</v>
      </c>
      <c r="L64" s="104">
        <v>6365</v>
      </c>
      <c r="M64" s="29"/>
      <c r="N64" s="129">
        <v>0.04</v>
      </c>
      <c r="O64" s="129">
        <v>0.02</v>
      </c>
      <c r="P64" s="29"/>
      <c r="Q64" s="85">
        <v>0</v>
      </c>
      <c r="R64" s="14"/>
      <c r="S64" s="15"/>
      <c r="T64" s="104">
        <v>13246</v>
      </c>
      <c r="U64" s="82">
        <f t="shared" si="9"/>
        <v>-4.2157784366187001E-2</v>
      </c>
      <c r="V64" s="29"/>
      <c r="W64" s="83">
        <v>31410</v>
      </c>
      <c r="X64" s="82">
        <v>7.2999999999999995E-2</v>
      </c>
      <c r="Y64" s="29"/>
      <c r="Z64" s="104">
        <v>6806</v>
      </c>
      <c r="AA64" s="82">
        <f t="shared" si="10"/>
        <v>-1.3909011880614315E-2</v>
      </c>
      <c r="AB64" s="29"/>
      <c r="AC64" s="83">
        <v>42959</v>
      </c>
      <c r="AD64" s="82">
        <v>-9.8000000000000004E-2</v>
      </c>
      <c r="AE64" s="29"/>
      <c r="AF64" s="104">
        <v>9019</v>
      </c>
      <c r="AG64" s="120">
        <f t="shared" si="11"/>
        <v>-0.10097687400318979</v>
      </c>
      <c r="AH64" s="85">
        <v>4.76</v>
      </c>
      <c r="AI64" s="84">
        <v>58.3</v>
      </c>
      <c r="AJ64" s="129">
        <v>330</v>
      </c>
      <c r="AK64" s="83">
        <v>670</v>
      </c>
      <c r="AL64" s="102">
        <v>110</v>
      </c>
      <c r="AM64" s="29"/>
      <c r="AN64" s="83">
        <v>8209</v>
      </c>
      <c r="AO64" s="83">
        <v>29748</v>
      </c>
      <c r="AP64" s="83">
        <v>5002</v>
      </c>
      <c r="AQ64" s="29"/>
      <c r="AR64" s="104">
        <v>1628</v>
      </c>
      <c r="AS64" s="104">
        <v>5976</v>
      </c>
      <c r="AT64" s="104">
        <v>1415</v>
      </c>
      <c r="AU64" s="29"/>
      <c r="AV64" s="83">
        <v>37793</v>
      </c>
      <c r="AW64" s="104">
        <v>7766</v>
      </c>
      <c r="AX64" s="29"/>
      <c r="AY64" s="120">
        <v>0.91600000000000004</v>
      </c>
      <c r="AZ64" s="120">
        <v>5.0999999999999997E-2</v>
      </c>
      <c r="BA64" s="121">
        <v>0</v>
      </c>
      <c r="BB64" s="82">
        <v>3.2000000000000001E-2</v>
      </c>
      <c r="BC64" s="29"/>
      <c r="BD64" s="130">
        <v>0</v>
      </c>
      <c r="BE64" s="89"/>
      <c r="BF64" s="94"/>
      <c r="BG64" s="130">
        <v>0</v>
      </c>
      <c r="BH64" s="130" t="s">
        <v>208</v>
      </c>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c r="DV64" s="20"/>
      <c r="DW64" s="20"/>
      <c r="DX64" s="20"/>
      <c r="DY64" s="20"/>
      <c r="DZ64" s="20"/>
      <c r="EA64" s="20"/>
      <c r="EB64" s="20"/>
      <c r="EC64" s="20"/>
      <c r="ED64" s="20"/>
      <c r="EE64" s="20"/>
      <c r="EF64" s="20"/>
      <c r="EG64" s="20"/>
      <c r="EH64" s="20"/>
      <c r="EI64" s="20"/>
      <c r="EJ64" s="20"/>
      <c r="EK64" s="20"/>
      <c r="EL64" s="20"/>
      <c r="EM64" s="20"/>
      <c r="EN64" s="20"/>
      <c r="EO64" s="20"/>
      <c r="EP64" s="20"/>
      <c r="EQ64" s="20"/>
      <c r="ER64" s="20"/>
      <c r="ES64" s="20"/>
      <c r="ET64" s="20"/>
      <c r="EU64" s="20"/>
      <c r="EV64" s="20"/>
      <c r="EW64" s="20"/>
      <c r="EX64" s="20"/>
      <c r="EY64" s="20"/>
      <c r="EZ64" s="20"/>
      <c r="FA64" s="20"/>
      <c r="FB64" s="20"/>
      <c r="FC64" s="20"/>
      <c r="FD64" s="20"/>
      <c r="FE64" s="20"/>
      <c r="FF64" s="20"/>
      <c r="FG64" s="20"/>
      <c r="FH64" s="20"/>
      <c r="FI64" s="20"/>
      <c r="FJ64" s="20"/>
      <c r="FK64" s="20"/>
      <c r="FL64" s="20"/>
      <c r="FM64" s="20"/>
      <c r="FN64" s="20"/>
      <c r="FO64" s="20"/>
      <c r="FP64" s="20"/>
      <c r="FQ64" s="20"/>
      <c r="FR64" s="20"/>
      <c r="FS64" s="20"/>
      <c r="FT64" s="20"/>
      <c r="FU64" s="20"/>
      <c r="FV64" s="20"/>
      <c r="FW64" s="20"/>
      <c r="FX64" s="20"/>
      <c r="FY64" s="20"/>
      <c r="FZ64" s="20"/>
      <c r="GA64" s="20"/>
      <c r="GB64" s="20"/>
      <c r="GC64" s="20"/>
      <c r="GD64" s="20"/>
      <c r="GE64" s="20"/>
      <c r="GF64" s="20"/>
      <c r="GG64" s="20"/>
      <c r="GH64" s="20"/>
      <c r="GI64" s="20"/>
      <c r="GJ64" s="20"/>
      <c r="GK64" s="20"/>
      <c r="GL64" s="20"/>
      <c r="GM64" s="20"/>
      <c r="GN64" s="20"/>
      <c r="GO64" s="20"/>
      <c r="GP64" s="20"/>
      <c r="GQ64" s="20"/>
      <c r="GR64" s="20"/>
      <c r="GS64" s="20"/>
      <c r="GT64" s="20"/>
      <c r="GU64" s="20"/>
      <c r="GV64" s="20"/>
      <c r="GW64" s="20"/>
      <c r="GX64" s="20"/>
      <c r="GY64" s="20"/>
      <c r="GZ64" s="20"/>
      <c r="HA64" s="20"/>
      <c r="HB64" s="20"/>
      <c r="HC64" s="20"/>
      <c r="HD64" s="20"/>
      <c r="HE64" s="20"/>
      <c r="HF64" s="20"/>
      <c r="HG64" s="20"/>
      <c r="HH64" s="20"/>
      <c r="HI64" s="20"/>
      <c r="HJ64" s="20"/>
      <c r="HK64" s="20"/>
      <c r="HL64" s="20"/>
      <c r="HM64" s="20"/>
      <c r="HN64" s="20"/>
      <c r="HO64" s="20"/>
      <c r="HP64" s="20"/>
      <c r="HQ64" s="20"/>
      <c r="HR64" s="20"/>
      <c r="HS64" s="20"/>
      <c r="HT64" s="20"/>
      <c r="HU64" s="20"/>
      <c r="HV64" s="20"/>
      <c r="HW64" s="20"/>
      <c r="HX64" s="20"/>
      <c r="HY64" s="20"/>
      <c r="HZ64" s="20"/>
      <c r="IA64" s="20"/>
      <c r="IB64" s="20"/>
      <c r="IC64" s="20"/>
      <c r="ID64" s="20"/>
      <c r="IE64" s="20"/>
      <c r="IF64" s="20"/>
      <c r="IG64" s="20"/>
      <c r="IH64" s="20"/>
      <c r="II64" s="20"/>
      <c r="IJ64" s="20"/>
      <c r="IK64" s="20"/>
      <c r="IL64" s="20"/>
      <c r="IM64" s="20"/>
      <c r="IN64" s="20"/>
      <c r="IO64" s="20"/>
      <c r="IP64" s="20"/>
      <c r="IQ64" s="20"/>
      <c r="IR64" s="20"/>
      <c r="IS64" s="20"/>
      <c r="IT64" s="20"/>
      <c r="IU64" s="20"/>
      <c r="IV64" s="20"/>
      <c r="IW64" s="20"/>
      <c r="IX64" s="20"/>
      <c r="IY64" s="20"/>
      <c r="IZ64" s="20"/>
      <c r="JA64" s="20"/>
      <c r="JB64" s="20"/>
      <c r="JC64" s="20"/>
      <c r="JD64" s="20"/>
      <c r="JE64" s="20"/>
      <c r="JF64" s="20"/>
      <c r="JG64" s="20"/>
      <c r="JH64" s="20"/>
      <c r="JI64" s="20"/>
    </row>
    <row r="65" spans="1:269" ht="17.25" customHeight="1">
      <c r="A65" s="101"/>
      <c r="B65" s="20" t="s">
        <v>119</v>
      </c>
      <c r="C65" s="20" t="s">
        <v>145</v>
      </c>
      <c r="D65" s="83">
        <v>1544172</v>
      </c>
      <c r="E65" s="82">
        <v>8.9999999999999993E-3</v>
      </c>
      <c r="F65" s="82">
        <v>7.9000000000000001E-2</v>
      </c>
      <c r="G65" s="29"/>
      <c r="H65" s="83">
        <v>3210</v>
      </c>
      <c r="I65" s="104">
        <v>4066</v>
      </c>
      <c r="J65" s="29"/>
      <c r="K65" s="83">
        <v>27959</v>
      </c>
      <c r="L65" s="104">
        <v>6360</v>
      </c>
      <c r="M65" s="29"/>
      <c r="N65" s="127">
        <v>0.04</v>
      </c>
      <c r="O65" s="127">
        <v>0.03</v>
      </c>
      <c r="P65" s="29"/>
      <c r="Q65" s="85">
        <v>0</v>
      </c>
      <c r="R65" s="14"/>
      <c r="S65" s="15"/>
      <c r="T65" s="104">
        <v>10846</v>
      </c>
      <c r="U65" s="82">
        <v>-0.18099999999999999</v>
      </c>
      <c r="V65" s="29"/>
      <c r="W65" s="83">
        <v>30300</v>
      </c>
      <c r="X65" s="82">
        <v>-3.5000000000000003E-2</v>
      </c>
      <c r="Y65" s="29"/>
      <c r="Z65" s="104">
        <v>6459</v>
      </c>
      <c r="AA65" s="82">
        <v>-5.0999999999999997E-2</v>
      </c>
      <c r="AB65" s="29"/>
      <c r="AC65" s="83">
        <v>37738</v>
      </c>
      <c r="AD65" s="82">
        <v>-0.122</v>
      </c>
      <c r="AE65" s="29"/>
      <c r="AF65" s="104">
        <v>7918</v>
      </c>
      <c r="AG65" s="120">
        <v>-0.122</v>
      </c>
      <c r="AH65" s="85">
        <v>4.7699999999999996</v>
      </c>
      <c r="AI65" s="84">
        <v>56.7</v>
      </c>
      <c r="AJ65" s="127">
        <v>329</v>
      </c>
      <c r="AK65" s="83">
        <v>724</v>
      </c>
      <c r="AL65" s="102">
        <v>121</v>
      </c>
      <c r="AM65" s="29"/>
      <c r="AN65" s="83">
        <v>6465</v>
      </c>
      <c r="AO65" s="83">
        <v>26223</v>
      </c>
      <c r="AP65" s="83">
        <v>5050</v>
      </c>
      <c r="AQ65" s="29"/>
      <c r="AR65" s="104">
        <v>1299</v>
      </c>
      <c r="AS65" s="104">
        <v>5220</v>
      </c>
      <c r="AT65" s="104">
        <v>1399</v>
      </c>
      <c r="AU65" s="29"/>
      <c r="AV65" s="83">
        <v>33893</v>
      </c>
      <c r="AW65" s="104">
        <v>6990</v>
      </c>
      <c r="AX65" s="29"/>
      <c r="AY65" s="120">
        <v>0.92900000000000005</v>
      </c>
      <c r="AZ65" s="120">
        <v>4.2000000000000003E-2</v>
      </c>
      <c r="BA65" s="121">
        <v>0</v>
      </c>
      <c r="BB65" s="82">
        <v>2.9000000000000001E-2</v>
      </c>
      <c r="BC65" s="29"/>
      <c r="BD65" s="127">
        <v>0</v>
      </c>
      <c r="BE65" s="89"/>
      <c r="BF65" s="94"/>
      <c r="BG65" s="127">
        <v>0</v>
      </c>
      <c r="BH65" s="131" t="s">
        <v>208</v>
      </c>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c r="HJ65" s="20"/>
      <c r="HK65" s="20"/>
      <c r="HL65" s="20"/>
      <c r="HM65" s="20"/>
      <c r="HN65" s="20"/>
      <c r="HO65" s="20"/>
      <c r="HP65" s="20"/>
      <c r="HQ65" s="20"/>
      <c r="HR65" s="20"/>
      <c r="HS65" s="20"/>
      <c r="HT65" s="20"/>
      <c r="HU65" s="20"/>
      <c r="HV65" s="20"/>
      <c r="HW65" s="20"/>
      <c r="HX65" s="20"/>
      <c r="HY65" s="20"/>
      <c r="HZ65" s="20"/>
      <c r="IA65" s="20"/>
      <c r="IB65" s="20"/>
      <c r="IC65" s="20"/>
      <c r="ID65" s="20"/>
      <c r="IE65" s="20"/>
      <c r="IF65" s="20"/>
      <c r="IG65" s="20"/>
      <c r="IH65" s="20"/>
      <c r="II65" s="20"/>
      <c r="IJ65" s="20"/>
      <c r="IK65" s="20"/>
      <c r="IL65" s="20"/>
      <c r="IM65" s="20"/>
      <c r="IN65" s="20"/>
      <c r="IO65" s="20"/>
      <c r="IP65" s="20"/>
      <c r="IQ65" s="20"/>
      <c r="IR65" s="20"/>
      <c r="IS65" s="20"/>
      <c r="IT65" s="20"/>
      <c r="IU65" s="20"/>
      <c r="IV65" s="20"/>
      <c r="IW65" s="20"/>
      <c r="IX65" s="20"/>
      <c r="IY65" s="20"/>
      <c r="IZ65" s="20"/>
      <c r="JA65" s="20"/>
      <c r="JB65" s="20"/>
      <c r="JC65" s="20"/>
      <c r="JD65" s="20"/>
      <c r="JE65" s="20"/>
      <c r="JF65" s="20"/>
      <c r="JG65" s="20"/>
      <c r="JH65" s="20"/>
      <c r="JI65" s="20"/>
    </row>
    <row r="66" spans="1:269" ht="17.25" customHeight="1">
      <c r="A66" s="101"/>
      <c r="B66" s="20" t="s">
        <v>118</v>
      </c>
      <c r="C66" s="20" t="s">
        <v>143</v>
      </c>
      <c r="D66" s="83">
        <v>1555988</v>
      </c>
      <c r="E66" s="82">
        <v>8.0000000000000002E-3</v>
      </c>
      <c r="F66" s="82">
        <v>7.8E-2</v>
      </c>
      <c r="G66" s="29"/>
      <c r="H66" s="83">
        <v>3220</v>
      </c>
      <c r="I66" s="104">
        <v>3989</v>
      </c>
      <c r="J66" s="29"/>
      <c r="K66" s="83">
        <v>28011</v>
      </c>
      <c r="L66" s="104">
        <v>6361</v>
      </c>
      <c r="M66" s="29"/>
      <c r="N66" s="133">
        <v>0.04</v>
      </c>
      <c r="O66" s="133">
        <v>0.03</v>
      </c>
      <c r="P66" s="29"/>
      <c r="Q66" s="85">
        <v>0</v>
      </c>
      <c r="R66" s="14"/>
      <c r="S66" s="15"/>
      <c r="T66" s="104">
        <v>12288</v>
      </c>
      <c r="U66" s="82">
        <v>0.13300000000000001</v>
      </c>
      <c r="V66" s="29"/>
      <c r="W66" s="83">
        <v>27756</v>
      </c>
      <c r="X66" s="82">
        <v>-8.4000000000000005E-2</v>
      </c>
      <c r="Y66" s="29"/>
      <c r="Z66" s="104">
        <v>6053</v>
      </c>
      <c r="AA66" s="82">
        <v>-6.3E-2</v>
      </c>
      <c r="AB66" s="29"/>
      <c r="AC66" s="83">
        <v>37116</v>
      </c>
      <c r="AD66" s="82">
        <v>-1.6E-2</v>
      </c>
      <c r="AE66" s="29"/>
      <c r="AF66" s="104">
        <v>7826</v>
      </c>
      <c r="AG66" s="120">
        <v>-1.2E-2</v>
      </c>
      <c r="AH66" s="85">
        <v>4.74</v>
      </c>
      <c r="AI66" s="84">
        <v>57</v>
      </c>
      <c r="AJ66" s="133">
        <v>328</v>
      </c>
      <c r="AK66" s="83">
        <v>543</v>
      </c>
      <c r="AL66" s="102">
        <v>115</v>
      </c>
      <c r="AM66" s="29"/>
      <c r="AN66" s="83">
        <v>5623</v>
      </c>
      <c r="AO66" s="83">
        <v>26540</v>
      </c>
      <c r="AP66" s="83">
        <v>4953</v>
      </c>
      <c r="AQ66" s="29"/>
      <c r="AR66" s="104">
        <v>1150</v>
      </c>
      <c r="AS66" s="104">
        <v>5331</v>
      </c>
      <c r="AT66" s="104">
        <v>1345</v>
      </c>
      <c r="AU66" s="29"/>
      <c r="AV66" s="83">
        <v>33302</v>
      </c>
      <c r="AW66" s="104">
        <v>6886</v>
      </c>
      <c r="AX66" s="29"/>
      <c r="AY66" s="120">
        <v>0.93500000000000005</v>
      </c>
      <c r="AZ66" s="120">
        <v>3.7999999999999999E-2</v>
      </c>
      <c r="BA66" s="121">
        <v>0</v>
      </c>
      <c r="BB66" s="82">
        <v>2.5999999999999999E-2</v>
      </c>
      <c r="BC66" s="29"/>
      <c r="BD66" s="133">
        <v>0</v>
      </c>
      <c r="BE66" s="89"/>
      <c r="BF66" s="94"/>
      <c r="BG66" s="133">
        <v>0</v>
      </c>
      <c r="BH66" s="133" t="s">
        <v>208</v>
      </c>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20"/>
      <c r="DM66" s="20"/>
      <c r="DN66" s="20"/>
      <c r="DO66" s="20"/>
      <c r="DP66" s="20"/>
      <c r="DQ66" s="20"/>
      <c r="DR66" s="20"/>
      <c r="DS66" s="20"/>
      <c r="DT66" s="20"/>
      <c r="DU66" s="20"/>
      <c r="DV66" s="20"/>
      <c r="DW66" s="20"/>
      <c r="DX66" s="20"/>
      <c r="DY66" s="20"/>
      <c r="DZ66" s="20"/>
      <c r="EA66" s="20"/>
      <c r="EB66" s="20"/>
      <c r="EC66" s="20"/>
      <c r="ED66" s="20"/>
      <c r="EE66" s="20"/>
      <c r="EF66" s="20"/>
      <c r="EG66" s="20"/>
      <c r="EH66" s="20"/>
      <c r="EI66" s="20"/>
      <c r="EJ66" s="20"/>
      <c r="EK66" s="20"/>
      <c r="EL66" s="20"/>
      <c r="EM66" s="20"/>
      <c r="EN66" s="20"/>
      <c r="EO66" s="20"/>
      <c r="EP66" s="20"/>
      <c r="EQ66" s="20"/>
      <c r="ER66" s="20"/>
      <c r="ES66" s="20"/>
      <c r="ET66" s="20"/>
      <c r="EU66" s="20"/>
      <c r="EV66" s="20"/>
      <c r="EW66" s="20"/>
      <c r="EX66" s="20"/>
      <c r="EY66" s="20"/>
      <c r="EZ66" s="20"/>
      <c r="FA66" s="20"/>
      <c r="FB66" s="20"/>
      <c r="FC66" s="20"/>
      <c r="FD66" s="20"/>
      <c r="FE66" s="20"/>
      <c r="FF66" s="20"/>
      <c r="FG66" s="20"/>
      <c r="FH66" s="20"/>
      <c r="FI66" s="20"/>
      <c r="FJ66" s="20"/>
      <c r="FK66" s="20"/>
      <c r="FL66" s="20"/>
      <c r="FM66" s="20"/>
      <c r="FN66" s="20"/>
      <c r="FO66" s="20"/>
      <c r="FP66" s="20"/>
      <c r="FQ66" s="20"/>
      <c r="FR66" s="20"/>
      <c r="FS66" s="20"/>
      <c r="FT66" s="20"/>
      <c r="FU66" s="20"/>
      <c r="FV66" s="20"/>
      <c r="FW66" s="20"/>
      <c r="FX66" s="20"/>
      <c r="FY66" s="20"/>
      <c r="FZ66" s="20"/>
      <c r="GA66" s="20"/>
      <c r="GB66" s="20"/>
      <c r="GC66" s="20"/>
      <c r="GD66" s="20"/>
      <c r="GE66" s="20"/>
      <c r="GF66" s="20"/>
      <c r="GG66" s="20"/>
      <c r="GH66" s="20"/>
      <c r="GI66" s="20"/>
      <c r="GJ66" s="20"/>
      <c r="GK66" s="20"/>
      <c r="GL66" s="20"/>
      <c r="GM66" s="20"/>
      <c r="GN66" s="20"/>
      <c r="GO66" s="20"/>
      <c r="GP66" s="20"/>
      <c r="GQ66" s="20"/>
      <c r="GR66" s="20"/>
      <c r="GS66" s="20"/>
      <c r="GT66" s="20"/>
      <c r="GU66" s="20"/>
      <c r="GV66" s="20"/>
      <c r="GW66" s="20"/>
      <c r="GX66" s="20"/>
      <c r="GY66" s="20"/>
      <c r="GZ66" s="20"/>
      <c r="HA66" s="20"/>
      <c r="HB66" s="20"/>
      <c r="HC66" s="20"/>
      <c r="HD66" s="20"/>
      <c r="HE66" s="20"/>
      <c r="HF66" s="20"/>
      <c r="HG66" s="20"/>
      <c r="HH66" s="20"/>
      <c r="HI66" s="20"/>
      <c r="HJ66" s="20"/>
      <c r="HK66" s="20"/>
      <c r="HL66" s="20"/>
      <c r="HM66" s="20"/>
      <c r="HN66" s="20"/>
      <c r="HO66" s="20"/>
      <c r="HP66" s="20"/>
      <c r="HQ66" s="20"/>
      <c r="HR66" s="20"/>
      <c r="HS66" s="20"/>
      <c r="HT66" s="20"/>
      <c r="HU66" s="20"/>
      <c r="HV66" s="20"/>
      <c r="HW66" s="20"/>
      <c r="HX66" s="20"/>
      <c r="HY66" s="20"/>
      <c r="HZ66" s="20"/>
      <c r="IA66" s="20"/>
      <c r="IB66" s="20"/>
      <c r="IC66" s="20"/>
      <c r="ID66" s="20"/>
      <c r="IE66" s="20"/>
      <c r="IF66" s="20"/>
      <c r="IG66" s="20"/>
      <c r="IH66" s="20"/>
      <c r="II66" s="20"/>
      <c r="IJ66" s="20"/>
      <c r="IK66" s="20"/>
      <c r="IL66" s="20"/>
      <c r="IM66" s="20"/>
      <c r="IN66" s="20"/>
      <c r="IO66" s="20"/>
      <c r="IP66" s="20"/>
      <c r="IQ66" s="20"/>
      <c r="IR66" s="20"/>
      <c r="IS66" s="20"/>
      <c r="IT66" s="20"/>
      <c r="IU66" s="20"/>
      <c r="IV66" s="20"/>
      <c r="IW66" s="20"/>
      <c r="IX66" s="20"/>
      <c r="IY66" s="20"/>
      <c r="IZ66" s="20"/>
      <c r="JA66" s="20"/>
      <c r="JB66" s="20"/>
      <c r="JC66" s="20"/>
      <c r="JD66" s="20"/>
      <c r="JE66" s="20"/>
      <c r="JF66" s="20"/>
      <c r="JG66" s="20"/>
      <c r="JH66" s="20"/>
      <c r="JI66" s="20"/>
    </row>
    <row r="67" spans="1:269" ht="17.25" customHeight="1">
      <c r="A67" s="101"/>
      <c r="B67" s="20" t="s">
        <v>117</v>
      </c>
      <c r="C67" s="20" t="s">
        <v>141</v>
      </c>
      <c r="D67" s="83">
        <v>1562556</v>
      </c>
      <c r="E67" s="82">
        <v>4.0000000000000001E-3</v>
      </c>
      <c r="F67" s="82">
        <v>7.4999999999999997E-2</v>
      </c>
      <c r="G67" s="29"/>
      <c r="H67" s="83">
        <v>3200</v>
      </c>
      <c r="I67" s="104">
        <v>3909</v>
      </c>
      <c r="J67" s="29"/>
      <c r="K67" s="83">
        <v>28078</v>
      </c>
      <c r="L67" s="104">
        <v>6383</v>
      </c>
      <c r="M67" s="29"/>
      <c r="N67" s="134">
        <v>0.04</v>
      </c>
      <c r="O67" s="134">
        <v>0.03</v>
      </c>
      <c r="P67" s="29"/>
      <c r="Q67" s="85">
        <v>0</v>
      </c>
      <c r="R67" s="14"/>
      <c r="S67" s="15"/>
      <c r="T67" s="104">
        <v>10908</v>
      </c>
      <c r="U67" s="82">
        <v>-0.112</v>
      </c>
      <c r="V67" s="29"/>
      <c r="W67" s="83">
        <v>22278</v>
      </c>
      <c r="X67" s="82">
        <v>-0.19700000000000001</v>
      </c>
      <c r="Y67" s="29"/>
      <c r="Z67" s="104">
        <v>4863</v>
      </c>
      <c r="AA67" s="82">
        <v>-0.19700000000000001</v>
      </c>
      <c r="AB67" s="29"/>
      <c r="AC67" s="83">
        <v>34626</v>
      </c>
      <c r="AD67" s="82">
        <v>-6.7000000000000004E-2</v>
      </c>
      <c r="AE67" s="29"/>
      <c r="AF67" s="104">
        <v>7311</v>
      </c>
      <c r="AG67" s="120">
        <v>-6.6000000000000003E-2</v>
      </c>
      <c r="AH67" s="85">
        <v>4.74</v>
      </c>
      <c r="AI67" s="84">
        <v>57.3</v>
      </c>
      <c r="AJ67" s="134">
        <v>331</v>
      </c>
      <c r="AK67" s="83">
        <v>457</v>
      </c>
      <c r="AL67" s="102">
        <v>93</v>
      </c>
      <c r="AM67" s="29"/>
      <c r="AN67" s="83">
        <v>5442</v>
      </c>
      <c r="AO67" s="83">
        <v>24616</v>
      </c>
      <c r="AP67" s="83">
        <v>4568</v>
      </c>
      <c r="AQ67" s="29"/>
      <c r="AR67" s="104">
        <v>1133</v>
      </c>
      <c r="AS67" s="104">
        <v>5049</v>
      </c>
      <c r="AT67" s="104">
        <v>1129</v>
      </c>
      <c r="AU67" s="29"/>
      <c r="AV67" s="83">
        <v>31535</v>
      </c>
      <c r="AW67" s="104">
        <v>6559</v>
      </c>
      <c r="AX67" s="29"/>
      <c r="AY67" s="120">
        <v>0.94399999999999995</v>
      </c>
      <c r="AZ67" s="120">
        <v>2.9000000000000001E-2</v>
      </c>
      <c r="BA67" s="121">
        <v>0</v>
      </c>
      <c r="BB67" s="82">
        <v>2.7E-2</v>
      </c>
      <c r="BC67" s="29"/>
      <c r="BD67" s="134">
        <v>0</v>
      </c>
      <c r="BE67" s="89"/>
      <c r="BF67" s="94"/>
      <c r="BG67" s="134">
        <v>0</v>
      </c>
      <c r="BH67" s="134" t="s">
        <v>208</v>
      </c>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L67" s="20"/>
      <c r="DM67" s="20"/>
      <c r="DN67" s="20"/>
      <c r="DO67" s="20"/>
      <c r="DP67" s="20"/>
      <c r="DQ67" s="20"/>
      <c r="DR67" s="20"/>
      <c r="DS67" s="20"/>
      <c r="DT67" s="20"/>
      <c r="DU67" s="20"/>
      <c r="DV67" s="20"/>
      <c r="DW67" s="20"/>
      <c r="DX67" s="20"/>
      <c r="DY67" s="20"/>
      <c r="DZ67" s="20"/>
      <c r="EA67" s="20"/>
      <c r="EB67" s="20"/>
      <c r="EC67" s="20"/>
      <c r="ED67" s="20"/>
      <c r="EE67" s="20"/>
      <c r="EF67" s="20"/>
      <c r="EG67" s="20"/>
      <c r="EH67" s="20"/>
      <c r="EI67" s="20"/>
      <c r="EJ67" s="20"/>
      <c r="EK67" s="20"/>
      <c r="EL67" s="20"/>
      <c r="EM67" s="20"/>
      <c r="EN67" s="20"/>
      <c r="EO67" s="20"/>
      <c r="EP67" s="20"/>
      <c r="EQ67" s="20"/>
      <c r="ER67" s="20"/>
      <c r="ES67" s="20"/>
      <c r="ET67" s="20"/>
      <c r="EU67" s="20"/>
      <c r="EV67" s="20"/>
      <c r="EW67" s="20"/>
      <c r="EX67" s="20"/>
      <c r="EY67" s="20"/>
      <c r="EZ67" s="20"/>
      <c r="FA67" s="20"/>
      <c r="FB67" s="20"/>
      <c r="FC67" s="20"/>
      <c r="FD67" s="20"/>
      <c r="FE67" s="20"/>
      <c r="FF67" s="20"/>
      <c r="FG67" s="20"/>
      <c r="FH67" s="20"/>
      <c r="FI67" s="20"/>
      <c r="FJ67" s="20"/>
      <c r="FK67" s="20"/>
      <c r="FL67" s="20"/>
      <c r="FM67" s="20"/>
      <c r="FN67" s="20"/>
      <c r="FO67" s="20"/>
      <c r="FP67" s="20"/>
      <c r="FQ67" s="20"/>
      <c r="FR67" s="20"/>
      <c r="FS67" s="20"/>
      <c r="FT67" s="20"/>
      <c r="FU67" s="20"/>
      <c r="FV67" s="20"/>
      <c r="FW67" s="20"/>
      <c r="FX67" s="20"/>
      <c r="FY67" s="20"/>
      <c r="FZ67" s="20"/>
      <c r="GA67" s="20"/>
      <c r="GB67" s="20"/>
      <c r="GC67" s="20"/>
      <c r="GD67" s="20"/>
      <c r="GE67" s="20"/>
      <c r="GF67" s="20"/>
      <c r="GG67" s="20"/>
      <c r="GH67" s="20"/>
      <c r="GI67" s="20"/>
      <c r="GJ67" s="20"/>
      <c r="GK67" s="20"/>
      <c r="GL67" s="20"/>
      <c r="GM67" s="20"/>
      <c r="GN67" s="20"/>
      <c r="GO67" s="20"/>
      <c r="GP67" s="20"/>
      <c r="GQ67" s="20"/>
      <c r="GR67" s="20"/>
      <c r="GS67" s="20"/>
      <c r="GT67" s="20"/>
      <c r="GU67" s="20"/>
      <c r="GV67" s="20"/>
      <c r="GW67" s="20"/>
      <c r="GX67" s="20"/>
      <c r="GY67" s="20"/>
      <c r="GZ67" s="20"/>
      <c r="HA67" s="20"/>
      <c r="HB67" s="20"/>
      <c r="HC67" s="20"/>
      <c r="HD67" s="20"/>
      <c r="HE67" s="20"/>
      <c r="HF67" s="20"/>
      <c r="HG67" s="20"/>
      <c r="HH67" s="20"/>
      <c r="HI67" s="20"/>
      <c r="HJ67" s="20"/>
      <c r="HK67" s="20"/>
      <c r="HL67" s="20"/>
      <c r="HM67" s="20"/>
      <c r="HN67" s="20"/>
      <c r="HO67" s="20"/>
      <c r="HP67" s="20"/>
      <c r="HQ67" s="20"/>
      <c r="HR67" s="20"/>
      <c r="HS67" s="20"/>
      <c r="HT67" s="20"/>
      <c r="HU67" s="20"/>
      <c r="HV67" s="20"/>
      <c r="HW67" s="20"/>
      <c r="HX67" s="20"/>
      <c r="HY67" s="20"/>
      <c r="HZ67" s="20"/>
      <c r="IA67" s="20"/>
      <c r="IB67" s="20"/>
      <c r="IC67" s="20"/>
      <c r="ID67" s="20"/>
      <c r="IE67" s="20"/>
      <c r="IF67" s="20"/>
      <c r="IG67" s="20"/>
      <c r="IH67" s="20"/>
      <c r="II67" s="20"/>
      <c r="IJ67" s="20"/>
      <c r="IK67" s="20"/>
      <c r="IL67" s="20"/>
      <c r="IM67" s="20"/>
      <c r="IN67" s="20"/>
      <c r="IO67" s="20"/>
      <c r="IP67" s="20"/>
      <c r="IQ67" s="20"/>
      <c r="IR67" s="20"/>
      <c r="IS67" s="20"/>
      <c r="IT67" s="20"/>
      <c r="IU67" s="20"/>
      <c r="IV67" s="20"/>
      <c r="IW67" s="20"/>
      <c r="IX67" s="20"/>
      <c r="IY67" s="20"/>
      <c r="IZ67" s="20"/>
      <c r="JA67" s="20"/>
      <c r="JB67" s="20"/>
      <c r="JC67" s="20"/>
      <c r="JD67" s="20"/>
      <c r="JE67" s="20"/>
      <c r="JF67" s="20"/>
      <c r="JG67" s="20"/>
      <c r="JH67" s="20"/>
      <c r="JI67" s="20"/>
    </row>
    <row r="68" spans="1:269" ht="17.25" customHeight="1">
      <c r="A68" s="101"/>
      <c r="B68" s="20" t="s">
        <v>116</v>
      </c>
      <c r="C68" s="20" t="s">
        <v>139</v>
      </c>
      <c r="D68" s="83">
        <v>1572470</v>
      </c>
      <c r="E68" s="82">
        <v>6.0000000000000001E-3</v>
      </c>
      <c r="F68" s="82">
        <v>7.6999999999999999E-2</v>
      </c>
      <c r="G68" s="29"/>
      <c r="H68" s="83">
        <v>3157</v>
      </c>
      <c r="I68" s="104">
        <v>3823</v>
      </c>
      <c r="J68" s="29"/>
      <c r="K68" s="83">
        <v>27963</v>
      </c>
      <c r="L68" s="104">
        <v>6360</v>
      </c>
      <c r="M68" s="29"/>
      <c r="N68" s="135">
        <v>0.04</v>
      </c>
      <c r="O68" s="135">
        <v>0.03</v>
      </c>
      <c r="P68" s="29"/>
      <c r="Q68" s="85">
        <v>0</v>
      </c>
      <c r="R68" s="14"/>
      <c r="S68" s="15"/>
      <c r="T68" s="104">
        <v>11375</v>
      </c>
      <c r="U68" s="82">
        <v>4.2999999999999997E-2</v>
      </c>
      <c r="V68" s="29"/>
      <c r="W68" s="83">
        <v>25542</v>
      </c>
      <c r="X68" s="82">
        <v>0.14699999999999999</v>
      </c>
      <c r="Y68" s="29"/>
      <c r="Z68" s="104">
        <v>5710</v>
      </c>
      <c r="AA68" s="82">
        <v>0.17399999999999999</v>
      </c>
      <c r="AB68" s="29"/>
      <c r="AC68" s="83">
        <v>37189</v>
      </c>
      <c r="AD68" s="82">
        <v>7.3999999999999996E-2</v>
      </c>
      <c r="AE68" s="29"/>
      <c r="AF68" s="104">
        <v>7986</v>
      </c>
      <c r="AG68" s="120">
        <v>9.1999999999999998E-2</v>
      </c>
      <c r="AH68" s="85">
        <v>4.66</v>
      </c>
      <c r="AI68" s="84">
        <v>57.3</v>
      </c>
      <c r="AJ68" s="135">
        <v>331</v>
      </c>
      <c r="AK68" s="83">
        <v>584</v>
      </c>
      <c r="AL68" s="102">
        <v>106</v>
      </c>
      <c r="AM68" s="29"/>
      <c r="AN68" s="83">
        <v>6077</v>
      </c>
      <c r="AO68" s="83">
        <v>26453</v>
      </c>
      <c r="AP68" s="83">
        <v>4659</v>
      </c>
      <c r="AQ68" s="29"/>
      <c r="AR68" s="104">
        <v>1257</v>
      </c>
      <c r="AS68" s="104">
        <v>5433</v>
      </c>
      <c r="AT68" s="104">
        <v>1296</v>
      </c>
      <c r="AU68" s="29"/>
      <c r="AV68" s="83">
        <v>32796</v>
      </c>
      <c r="AW68" s="104">
        <v>6871</v>
      </c>
      <c r="AX68" s="29"/>
      <c r="AY68" s="120">
        <v>0.94599999999999995</v>
      </c>
      <c r="AZ68" s="120">
        <v>2.5000000000000001E-2</v>
      </c>
      <c r="BA68" s="121">
        <v>0</v>
      </c>
      <c r="BB68" s="82">
        <v>2.8000000000000001E-2</v>
      </c>
      <c r="BC68" s="29"/>
      <c r="BD68" s="135">
        <v>0</v>
      </c>
      <c r="BE68" s="89"/>
      <c r="BF68" s="94"/>
      <c r="BG68" s="135">
        <v>0</v>
      </c>
      <c r="BH68" s="135" t="s">
        <v>208</v>
      </c>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20"/>
      <c r="DM68" s="20"/>
      <c r="DN68" s="20"/>
      <c r="DO68" s="20"/>
      <c r="DP68" s="20"/>
      <c r="DQ68" s="20"/>
      <c r="DR68" s="20"/>
      <c r="DS68" s="20"/>
      <c r="DT68" s="20"/>
      <c r="DU68" s="20"/>
      <c r="DV68" s="20"/>
      <c r="DW68" s="20"/>
      <c r="DX68" s="20"/>
      <c r="DY68" s="20"/>
      <c r="DZ68" s="20"/>
      <c r="EA68" s="20"/>
      <c r="EB68" s="20"/>
      <c r="EC68" s="20"/>
      <c r="ED68" s="20"/>
      <c r="EE68" s="20"/>
      <c r="EF68" s="20"/>
      <c r="EG68" s="20"/>
      <c r="EH68" s="20"/>
      <c r="EI68" s="20"/>
      <c r="EJ68" s="20"/>
      <c r="EK68" s="20"/>
      <c r="EL68" s="20"/>
      <c r="EM68" s="20"/>
      <c r="EN68" s="20"/>
      <c r="EO68" s="20"/>
      <c r="EP68" s="20"/>
      <c r="EQ68" s="20"/>
      <c r="ER68" s="20"/>
      <c r="ES68" s="20"/>
      <c r="ET68" s="20"/>
      <c r="EU68" s="20"/>
      <c r="EV68" s="20"/>
      <c r="EW68" s="20"/>
      <c r="EX68" s="20"/>
      <c r="EY68" s="20"/>
      <c r="EZ68" s="20"/>
      <c r="FA68" s="20"/>
      <c r="FB68" s="20"/>
      <c r="FC68" s="20"/>
      <c r="FD68" s="20"/>
      <c r="FE68" s="20"/>
      <c r="FF68" s="20"/>
      <c r="FG68" s="20"/>
      <c r="FH68" s="20"/>
      <c r="FI68" s="20"/>
      <c r="FJ68" s="20"/>
      <c r="FK68" s="20"/>
      <c r="FL68" s="20"/>
      <c r="FM68" s="20"/>
      <c r="FN68" s="20"/>
      <c r="FO68" s="20"/>
      <c r="FP68" s="20"/>
      <c r="FQ68" s="20"/>
      <c r="FR68" s="20"/>
      <c r="FS68" s="20"/>
      <c r="FT68" s="20"/>
      <c r="FU68" s="20"/>
      <c r="FV68" s="20"/>
      <c r="FW68" s="20"/>
      <c r="FX68" s="20"/>
      <c r="FY68" s="20"/>
      <c r="FZ68" s="20"/>
      <c r="GA68" s="20"/>
      <c r="GB68" s="20"/>
      <c r="GC68" s="20"/>
      <c r="GD68" s="20"/>
      <c r="GE68" s="20"/>
      <c r="GF68" s="20"/>
      <c r="GG68" s="20"/>
      <c r="GH68" s="20"/>
      <c r="GI68" s="20"/>
      <c r="GJ68" s="20"/>
      <c r="GK68" s="20"/>
      <c r="GL68" s="20"/>
      <c r="GM68" s="20"/>
      <c r="GN68" s="20"/>
      <c r="GO68" s="20"/>
      <c r="GP68" s="20"/>
      <c r="GQ68" s="20"/>
      <c r="GR68" s="20"/>
      <c r="GS68" s="20"/>
      <c r="GT68" s="20"/>
      <c r="GU68" s="20"/>
      <c r="GV68" s="20"/>
      <c r="GW68" s="20"/>
      <c r="GX68" s="20"/>
      <c r="GY68" s="20"/>
      <c r="GZ68" s="20"/>
      <c r="HA68" s="20"/>
      <c r="HB68" s="20"/>
      <c r="HC68" s="20"/>
      <c r="HD68" s="20"/>
      <c r="HE68" s="20"/>
      <c r="HF68" s="20"/>
      <c r="HG68" s="20"/>
      <c r="HH68" s="20"/>
      <c r="HI68" s="20"/>
      <c r="HJ68" s="20"/>
      <c r="HK68" s="20"/>
      <c r="HL68" s="20"/>
      <c r="HM68" s="20"/>
      <c r="HN68" s="20"/>
      <c r="HO68" s="20"/>
      <c r="HP68" s="20"/>
      <c r="HQ68" s="20"/>
      <c r="HR68" s="20"/>
      <c r="HS68" s="20"/>
      <c r="HT68" s="20"/>
      <c r="HU68" s="20"/>
      <c r="HV68" s="20"/>
      <c r="HW68" s="20"/>
      <c r="HX68" s="20"/>
      <c r="HY68" s="20"/>
      <c r="HZ68" s="20"/>
      <c r="IA68" s="20"/>
      <c r="IB68" s="20"/>
      <c r="IC68" s="20"/>
      <c r="ID68" s="20"/>
      <c r="IE68" s="20"/>
      <c r="IF68" s="20"/>
      <c r="IG68" s="20"/>
      <c r="IH68" s="20"/>
      <c r="II68" s="20"/>
      <c r="IJ68" s="20"/>
      <c r="IK68" s="20"/>
      <c r="IL68" s="20"/>
      <c r="IM68" s="20"/>
      <c r="IN68" s="20"/>
      <c r="IO68" s="20"/>
      <c r="IP68" s="20"/>
      <c r="IQ68" s="20"/>
      <c r="IR68" s="20"/>
      <c r="IS68" s="20"/>
      <c r="IT68" s="20"/>
      <c r="IU68" s="20"/>
      <c r="IV68" s="20"/>
      <c r="IW68" s="20"/>
      <c r="IX68" s="20"/>
      <c r="IY68" s="20"/>
      <c r="IZ68" s="20"/>
      <c r="JA68" s="20"/>
      <c r="JB68" s="20"/>
      <c r="JC68" s="20"/>
      <c r="JD68" s="20"/>
      <c r="JE68" s="20"/>
      <c r="JF68" s="20"/>
      <c r="JG68" s="20"/>
      <c r="JH68" s="20"/>
      <c r="JI68" s="20"/>
    </row>
    <row r="69" spans="1:269" ht="17.25" customHeight="1">
      <c r="A69" s="101"/>
      <c r="B69" s="20" t="s">
        <v>115</v>
      </c>
      <c r="C69" s="20" t="s">
        <v>123</v>
      </c>
      <c r="D69" s="83">
        <v>1582128</v>
      </c>
      <c r="E69" s="82">
        <v>6.0000000000000001E-3</v>
      </c>
      <c r="F69" s="82">
        <v>7.8E-2</v>
      </c>
      <c r="G69" s="29"/>
      <c r="H69" s="83">
        <v>3142</v>
      </c>
      <c r="I69" s="104">
        <v>3749</v>
      </c>
      <c r="J69" s="29"/>
      <c r="K69" s="83">
        <v>27964</v>
      </c>
      <c r="L69" s="104">
        <v>6345</v>
      </c>
      <c r="M69" s="29"/>
      <c r="N69" s="135">
        <v>0.04</v>
      </c>
      <c r="O69" s="136">
        <v>0.03</v>
      </c>
      <c r="P69" s="29"/>
      <c r="Q69" s="85">
        <v>0</v>
      </c>
      <c r="R69" s="14"/>
      <c r="S69" s="15"/>
      <c r="T69" s="104">
        <v>11396</v>
      </c>
      <c r="U69" s="82">
        <v>2E-3</v>
      </c>
      <c r="V69" s="29"/>
      <c r="W69" s="83">
        <v>26476</v>
      </c>
      <c r="X69" s="82">
        <v>3.6999999999999998E-2</v>
      </c>
      <c r="Y69" s="29"/>
      <c r="Z69" s="104">
        <v>5660</v>
      </c>
      <c r="AA69" s="82">
        <v>-8.9999999999999993E-3</v>
      </c>
      <c r="AB69" s="29"/>
      <c r="AC69" s="83">
        <v>38447</v>
      </c>
      <c r="AD69" s="82">
        <v>3.4000000000000002E-2</v>
      </c>
      <c r="AE69" s="29"/>
      <c r="AF69" s="104">
        <v>8039</v>
      </c>
      <c r="AG69" s="120">
        <v>7.0000000000000001E-3</v>
      </c>
      <c r="AH69" s="85">
        <v>4.78</v>
      </c>
      <c r="AI69" s="84">
        <v>56.9</v>
      </c>
      <c r="AJ69" s="135">
        <v>330</v>
      </c>
      <c r="AK69" s="83">
        <v>642</v>
      </c>
      <c r="AL69" s="102">
        <v>110</v>
      </c>
      <c r="AM69" s="29"/>
      <c r="AN69" s="83">
        <v>6403</v>
      </c>
      <c r="AO69" s="83">
        <v>26647</v>
      </c>
      <c r="AP69" s="83">
        <v>5397</v>
      </c>
      <c r="AQ69" s="29"/>
      <c r="AR69" s="104">
        <v>1240</v>
      </c>
      <c r="AS69" s="104">
        <v>5378</v>
      </c>
      <c r="AT69" s="104">
        <v>1421</v>
      </c>
      <c r="AU69" s="29"/>
      <c r="AV69" s="83">
        <v>33256</v>
      </c>
      <c r="AW69" s="104">
        <v>6924</v>
      </c>
      <c r="AX69" s="29"/>
      <c r="AY69" s="120">
        <v>0.95199999999999996</v>
      </c>
      <c r="AZ69" s="120">
        <v>2.5999999999999999E-2</v>
      </c>
      <c r="BA69" s="121">
        <v>0</v>
      </c>
      <c r="BB69" s="82">
        <v>2.1999999999999999E-2</v>
      </c>
      <c r="BC69" s="29"/>
      <c r="BD69" s="136">
        <v>0</v>
      </c>
      <c r="BE69" s="89"/>
      <c r="BF69" s="94"/>
      <c r="BG69" s="136">
        <v>0</v>
      </c>
      <c r="BH69" s="136" t="s">
        <v>208</v>
      </c>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c r="DB69" s="20"/>
      <c r="DC69" s="20"/>
      <c r="DD69" s="20"/>
      <c r="DE69" s="20"/>
      <c r="DF69" s="20"/>
      <c r="DG69" s="20"/>
      <c r="DH69" s="20"/>
      <c r="DI69" s="20"/>
      <c r="DJ69" s="20"/>
      <c r="DK69" s="20"/>
      <c r="DL69" s="20"/>
      <c r="DM69" s="20"/>
      <c r="DN69" s="20"/>
      <c r="DO69" s="20"/>
      <c r="DP69" s="20"/>
      <c r="DQ69" s="20"/>
      <c r="DR69" s="20"/>
      <c r="DS69" s="20"/>
      <c r="DT69" s="20"/>
      <c r="DU69" s="20"/>
      <c r="DV69" s="20"/>
      <c r="DW69" s="20"/>
      <c r="DX69" s="20"/>
      <c r="DY69" s="20"/>
      <c r="DZ69" s="20"/>
      <c r="EA69" s="20"/>
      <c r="EB69" s="20"/>
      <c r="EC69" s="20"/>
      <c r="ED69" s="20"/>
      <c r="EE69" s="20"/>
      <c r="EF69" s="20"/>
      <c r="EG69" s="20"/>
      <c r="EH69" s="20"/>
      <c r="EI69" s="20"/>
      <c r="EJ69" s="20"/>
      <c r="EK69" s="20"/>
      <c r="EL69" s="20"/>
      <c r="EM69" s="20"/>
      <c r="EN69" s="20"/>
      <c r="EO69" s="20"/>
      <c r="EP69" s="20"/>
      <c r="EQ69" s="20"/>
      <c r="ER69" s="20"/>
      <c r="ES69" s="20"/>
      <c r="ET69" s="20"/>
      <c r="EU69" s="20"/>
      <c r="EV69" s="20"/>
      <c r="EW69" s="20"/>
      <c r="EX69" s="20"/>
      <c r="EY69" s="20"/>
      <c r="EZ69" s="20"/>
      <c r="FA69" s="20"/>
      <c r="FB69" s="20"/>
      <c r="FC69" s="20"/>
      <c r="FD69" s="20"/>
      <c r="FE69" s="20"/>
      <c r="FF69" s="20"/>
      <c r="FG69" s="20"/>
      <c r="FH69" s="20"/>
      <c r="FI69" s="20"/>
      <c r="FJ69" s="20"/>
      <c r="FK69" s="20"/>
      <c r="FL69" s="20"/>
      <c r="FM69" s="20"/>
      <c r="FN69" s="20"/>
      <c r="FO69" s="20"/>
      <c r="FP69" s="20"/>
      <c r="FQ69" s="20"/>
      <c r="FR69" s="20"/>
      <c r="FS69" s="20"/>
      <c r="FT69" s="20"/>
      <c r="FU69" s="20"/>
      <c r="FV69" s="20"/>
      <c r="FW69" s="20"/>
      <c r="FX69" s="20"/>
      <c r="FY69" s="20"/>
      <c r="FZ69" s="20"/>
      <c r="GA69" s="20"/>
      <c r="GB69" s="20"/>
      <c r="GC69" s="20"/>
      <c r="GD69" s="20"/>
      <c r="GE69" s="20"/>
      <c r="GF69" s="20"/>
      <c r="GG69" s="20"/>
      <c r="GH69" s="20"/>
      <c r="GI69" s="20"/>
      <c r="GJ69" s="20"/>
      <c r="GK69" s="20"/>
      <c r="GL69" s="20"/>
      <c r="GM69" s="20"/>
      <c r="GN69" s="20"/>
      <c r="GO69" s="20"/>
      <c r="GP69" s="20"/>
      <c r="GQ69" s="20"/>
      <c r="GR69" s="20"/>
      <c r="GS69" s="20"/>
      <c r="GT69" s="20"/>
      <c r="GU69" s="20"/>
      <c r="GV69" s="20"/>
      <c r="GW69" s="20"/>
      <c r="GX69" s="20"/>
      <c r="GY69" s="20"/>
      <c r="GZ69" s="20"/>
      <c r="HA69" s="20"/>
      <c r="HB69" s="20"/>
      <c r="HC69" s="20"/>
      <c r="HD69" s="20"/>
      <c r="HE69" s="20"/>
      <c r="HF69" s="20"/>
      <c r="HG69" s="20"/>
      <c r="HH69" s="20"/>
      <c r="HI69" s="20"/>
      <c r="HJ69" s="20"/>
      <c r="HK69" s="20"/>
      <c r="HL69" s="20"/>
      <c r="HM69" s="20"/>
      <c r="HN69" s="20"/>
      <c r="HO69" s="20"/>
      <c r="HP69" s="20"/>
      <c r="HQ69" s="20"/>
      <c r="HR69" s="20"/>
      <c r="HS69" s="20"/>
      <c r="HT69" s="20"/>
      <c r="HU69" s="20"/>
      <c r="HV69" s="20"/>
      <c r="HW69" s="20"/>
      <c r="HX69" s="20"/>
      <c r="HY69" s="20"/>
      <c r="HZ69" s="20"/>
      <c r="IA69" s="20"/>
      <c r="IB69" s="20"/>
      <c r="IC69" s="20"/>
      <c r="ID69" s="20"/>
      <c r="IE69" s="20"/>
      <c r="IF69" s="20"/>
      <c r="IG69" s="20"/>
      <c r="IH69" s="20"/>
      <c r="II69" s="20"/>
      <c r="IJ69" s="20"/>
      <c r="IK69" s="20"/>
      <c r="IL69" s="20"/>
      <c r="IM69" s="20"/>
      <c r="IN69" s="20"/>
      <c r="IO69" s="20"/>
      <c r="IP69" s="20"/>
      <c r="IQ69" s="20"/>
      <c r="IR69" s="20"/>
      <c r="IS69" s="20"/>
      <c r="IT69" s="20"/>
      <c r="IU69" s="20"/>
      <c r="IV69" s="20"/>
      <c r="IW69" s="20"/>
      <c r="IX69" s="20"/>
      <c r="IY69" s="20"/>
      <c r="IZ69" s="20"/>
      <c r="JA69" s="20"/>
      <c r="JB69" s="20"/>
      <c r="JC69" s="20"/>
      <c r="JD69" s="20"/>
      <c r="JE69" s="20"/>
      <c r="JF69" s="20"/>
      <c r="JG69" s="20"/>
      <c r="JH69" s="20"/>
      <c r="JI69" s="20"/>
    </row>
    <row r="70" spans="1:269" ht="17.25" customHeight="1">
      <c r="A70" s="101"/>
      <c r="B70" s="20"/>
      <c r="C70" s="20"/>
      <c r="D70" s="83"/>
      <c r="E70" s="82"/>
      <c r="F70" s="82"/>
      <c r="G70" s="29"/>
      <c r="H70" s="83"/>
      <c r="I70" s="104"/>
      <c r="J70" s="29"/>
      <c r="K70" s="83"/>
      <c r="L70" s="104"/>
      <c r="M70" s="29"/>
      <c r="N70" s="137"/>
      <c r="O70" s="137"/>
      <c r="P70" s="29"/>
      <c r="Q70" s="85"/>
      <c r="R70" s="14"/>
      <c r="S70" s="15"/>
      <c r="T70" s="104"/>
      <c r="U70" s="82"/>
      <c r="V70" s="29"/>
      <c r="W70" s="83"/>
      <c r="X70" s="82"/>
      <c r="Y70" s="29"/>
      <c r="Z70" s="104"/>
      <c r="AA70" s="82"/>
      <c r="AB70" s="29"/>
      <c r="AC70" s="83"/>
      <c r="AD70" s="82"/>
      <c r="AE70" s="29"/>
      <c r="AF70" s="104"/>
      <c r="AG70" s="120"/>
      <c r="AH70" s="85"/>
      <c r="AI70" s="84"/>
      <c r="AJ70" s="137"/>
      <c r="AK70" s="83"/>
      <c r="AL70" s="102"/>
      <c r="AM70" s="29"/>
      <c r="AN70" s="83"/>
      <c r="AO70" s="83"/>
      <c r="AP70" s="83"/>
      <c r="AQ70" s="29"/>
      <c r="AR70" s="104"/>
      <c r="AS70" s="104"/>
      <c r="AT70" s="104"/>
      <c r="AU70" s="29"/>
      <c r="AV70" s="83"/>
      <c r="AW70" s="104"/>
      <c r="AX70" s="29"/>
      <c r="AY70" s="120"/>
      <c r="AZ70" s="120"/>
      <c r="BA70" s="121"/>
      <c r="BB70" s="82"/>
      <c r="BC70" s="29"/>
      <c r="BD70" s="137"/>
      <c r="BE70" s="89"/>
      <c r="BF70" s="94"/>
      <c r="BG70" s="137"/>
      <c r="BH70" s="137"/>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c r="DB70" s="20"/>
      <c r="DC70" s="20"/>
      <c r="DD70" s="20"/>
      <c r="DE70" s="20"/>
      <c r="DF70" s="20"/>
      <c r="DG70" s="20"/>
      <c r="DH70" s="20"/>
      <c r="DI70" s="20"/>
      <c r="DJ70" s="20"/>
      <c r="DK70" s="20"/>
      <c r="DL70" s="20"/>
      <c r="DM70" s="20"/>
      <c r="DN70" s="20"/>
      <c r="DO70" s="20"/>
      <c r="DP70" s="20"/>
      <c r="DQ70" s="20"/>
      <c r="DR70" s="20"/>
      <c r="DS70" s="20"/>
      <c r="DT70" s="20"/>
      <c r="DU70" s="20"/>
      <c r="DV70" s="20"/>
      <c r="DW70" s="20"/>
      <c r="DX70" s="20"/>
      <c r="DY70" s="20"/>
      <c r="DZ70" s="20"/>
      <c r="EA70" s="20"/>
      <c r="EB70" s="20"/>
      <c r="EC70" s="20"/>
      <c r="ED70" s="20"/>
      <c r="EE70" s="20"/>
      <c r="EF70" s="20"/>
      <c r="EG70" s="20"/>
      <c r="EH70" s="20"/>
      <c r="EI70" s="20"/>
      <c r="EJ70" s="20"/>
      <c r="EK70" s="20"/>
      <c r="EL70" s="20"/>
      <c r="EM70" s="20"/>
      <c r="EN70" s="20"/>
      <c r="EO70" s="20"/>
      <c r="EP70" s="20"/>
      <c r="EQ70" s="20"/>
      <c r="ER70" s="20"/>
      <c r="ES70" s="20"/>
      <c r="ET70" s="20"/>
      <c r="EU70" s="20"/>
      <c r="EV70" s="20"/>
      <c r="EW70" s="20"/>
      <c r="EX70" s="20"/>
      <c r="EY70" s="20"/>
      <c r="EZ70" s="20"/>
      <c r="FA70" s="20"/>
      <c r="FB70" s="20"/>
      <c r="FC70" s="20"/>
      <c r="FD70" s="20"/>
      <c r="FE70" s="20"/>
      <c r="FF70" s="20"/>
      <c r="FG70" s="20"/>
      <c r="FH70" s="20"/>
      <c r="FI70" s="20"/>
      <c r="FJ70" s="20"/>
      <c r="FK70" s="20"/>
      <c r="FL70" s="20"/>
      <c r="FM70" s="20"/>
      <c r="FN70" s="20"/>
      <c r="FO70" s="20"/>
      <c r="FP70" s="20"/>
      <c r="FQ70" s="20"/>
      <c r="FR70" s="20"/>
      <c r="FS70" s="20"/>
      <c r="FT70" s="20"/>
      <c r="FU70" s="20"/>
      <c r="FV70" s="20"/>
      <c r="FW70" s="20"/>
      <c r="FX70" s="20"/>
      <c r="FY70" s="20"/>
      <c r="FZ70" s="20"/>
      <c r="GA70" s="20"/>
      <c r="GB70" s="20"/>
      <c r="GC70" s="20"/>
      <c r="GD70" s="20"/>
      <c r="GE70" s="20"/>
      <c r="GF70" s="20"/>
      <c r="GG70" s="20"/>
      <c r="GH70" s="20"/>
      <c r="GI70" s="20"/>
      <c r="GJ70" s="20"/>
      <c r="GK70" s="20"/>
      <c r="GL70" s="20"/>
      <c r="GM70" s="20"/>
      <c r="GN70" s="20"/>
      <c r="GO70" s="20"/>
      <c r="GP70" s="20"/>
      <c r="GQ70" s="20"/>
      <c r="GR70" s="20"/>
      <c r="GS70" s="20"/>
      <c r="GT70" s="20"/>
      <c r="GU70" s="20"/>
      <c r="GV70" s="20"/>
      <c r="GW70" s="20"/>
      <c r="GX70" s="20"/>
      <c r="GY70" s="20"/>
      <c r="GZ70" s="20"/>
      <c r="HA70" s="20"/>
      <c r="HB70" s="20"/>
      <c r="HC70" s="20"/>
      <c r="HD70" s="20"/>
      <c r="HE70" s="20"/>
      <c r="HF70" s="20"/>
      <c r="HG70" s="20"/>
      <c r="HH70" s="20"/>
      <c r="HI70" s="20"/>
      <c r="HJ70" s="20"/>
      <c r="HK70" s="20"/>
      <c r="HL70" s="20"/>
      <c r="HM70" s="20"/>
      <c r="HN70" s="20"/>
      <c r="HO70" s="20"/>
      <c r="HP70" s="20"/>
      <c r="HQ70" s="20"/>
      <c r="HR70" s="20"/>
      <c r="HS70" s="20"/>
      <c r="HT70" s="20"/>
      <c r="HU70" s="20"/>
      <c r="HV70" s="20"/>
      <c r="HW70" s="20"/>
      <c r="HX70" s="20"/>
      <c r="HY70" s="20"/>
      <c r="HZ70" s="20"/>
      <c r="IA70" s="20"/>
      <c r="IB70" s="20"/>
      <c r="IC70" s="20"/>
      <c r="ID70" s="20"/>
      <c r="IE70" s="20"/>
      <c r="IF70" s="20"/>
      <c r="IG70" s="20"/>
      <c r="IH70" s="20"/>
      <c r="II70" s="20"/>
      <c r="IJ70" s="20"/>
      <c r="IK70" s="20"/>
      <c r="IL70" s="20"/>
      <c r="IM70" s="20"/>
      <c r="IN70" s="20"/>
      <c r="IO70" s="20"/>
      <c r="IP70" s="20"/>
      <c r="IQ70" s="20"/>
      <c r="IR70" s="20"/>
      <c r="IS70" s="20"/>
      <c r="IT70" s="20"/>
      <c r="IU70" s="20"/>
      <c r="IV70" s="20"/>
      <c r="IW70" s="20"/>
      <c r="IX70" s="20"/>
      <c r="IY70" s="20"/>
      <c r="IZ70" s="20"/>
      <c r="JA70" s="20"/>
      <c r="JB70" s="20"/>
      <c r="JC70" s="20"/>
      <c r="JD70" s="20"/>
      <c r="JE70" s="20"/>
      <c r="JF70" s="20"/>
      <c r="JG70" s="20"/>
      <c r="JH70" s="20"/>
      <c r="JI70" s="20"/>
    </row>
    <row r="71" spans="1:269" ht="17.25" customHeight="1">
      <c r="A71" s="101">
        <v>2021</v>
      </c>
      <c r="B71" s="20" t="s">
        <v>114</v>
      </c>
      <c r="C71" s="20" t="s">
        <v>135</v>
      </c>
      <c r="D71" s="83">
        <v>1590926</v>
      </c>
      <c r="E71" s="82">
        <v>6.0000000000000001E-3</v>
      </c>
      <c r="F71" s="82">
        <v>7.6999999999999999E-2</v>
      </c>
      <c r="G71" s="29"/>
      <c r="H71" s="83">
        <v>3144</v>
      </c>
      <c r="I71" s="104">
        <v>3705</v>
      </c>
      <c r="J71" s="29"/>
      <c r="K71" s="83">
        <v>27955</v>
      </c>
      <c r="L71" s="104">
        <v>6340</v>
      </c>
      <c r="M71" s="29"/>
      <c r="N71" s="137">
        <v>0.04</v>
      </c>
      <c r="O71" s="137">
        <v>0.03</v>
      </c>
      <c r="P71" s="29"/>
      <c r="Q71" s="85">
        <v>0</v>
      </c>
      <c r="R71" s="14"/>
      <c r="S71" s="15"/>
      <c r="T71" s="104">
        <v>13112</v>
      </c>
      <c r="U71" s="82">
        <v>0.151</v>
      </c>
      <c r="V71" s="29"/>
      <c r="W71" s="83">
        <v>24923</v>
      </c>
      <c r="X71" s="82">
        <v>-5.8999999999999997E-2</v>
      </c>
      <c r="Y71" s="29"/>
      <c r="Z71" s="104">
        <v>5362</v>
      </c>
      <c r="AA71" s="82">
        <v>-5.2999999999999999E-2</v>
      </c>
      <c r="AB71" s="29"/>
      <c r="AC71" s="83">
        <v>37780</v>
      </c>
      <c r="AD71" s="82">
        <v>-1.7000000000000001E-2</v>
      </c>
      <c r="AE71" s="29"/>
      <c r="AF71" s="104">
        <v>8073</v>
      </c>
      <c r="AG71" s="120">
        <v>4.0000000000000001E-3</v>
      </c>
      <c r="AH71" s="85">
        <v>4.68</v>
      </c>
      <c r="AI71" s="84">
        <v>58</v>
      </c>
      <c r="AJ71" s="137">
        <v>330</v>
      </c>
      <c r="AK71" s="83">
        <v>472</v>
      </c>
      <c r="AL71" s="102">
        <v>91</v>
      </c>
      <c r="AM71" s="29"/>
      <c r="AN71" s="83">
        <v>4963</v>
      </c>
      <c r="AO71" s="83">
        <v>27051</v>
      </c>
      <c r="AP71" s="83">
        <v>5766</v>
      </c>
      <c r="AQ71" s="29"/>
      <c r="AR71" s="104">
        <v>1017</v>
      </c>
      <c r="AS71" s="104">
        <v>5549</v>
      </c>
      <c r="AT71" s="104">
        <v>1507</v>
      </c>
      <c r="AU71" s="29"/>
      <c r="AV71" s="83">
        <v>34152</v>
      </c>
      <c r="AW71" s="104">
        <v>7193</v>
      </c>
      <c r="AX71" s="29"/>
      <c r="AY71" s="120">
        <v>0.95499999999999996</v>
      </c>
      <c r="AZ71" s="120">
        <v>2.1999999999999999E-2</v>
      </c>
      <c r="BA71" s="121">
        <v>0</v>
      </c>
      <c r="BB71" s="82">
        <v>2.3E-2</v>
      </c>
      <c r="BC71" s="29"/>
      <c r="BD71" s="137">
        <v>0</v>
      </c>
      <c r="BE71" s="89"/>
      <c r="BF71" s="94"/>
      <c r="BG71" s="137">
        <v>0</v>
      </c>
      <c r="BH71" s="137" t="s">
        <v>208</v>
      </c>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c r="DB71" s="20"/>
      <c r="DC71" s="20"/>
      <c r="DD71" s="20"/>
      <c r="DE71" s="20"/>
      <c r="DF71" s="20"/>
      <c r="DG71" s="20"/>
      <c r="DH71" s="20"/>
      <c r="DI71" s="20"/>
      <c r="DJ71" s="20"/>
      <c r="DK71" s="20"/>
      <c r="DL71" s="20"/>
      <c r="DM71" s="20"/>
      <c r="DN71" s="20"/>
      <c r="DO71" s="20"/>
      <c r="DP71" s="20"/>
      <c r="DQ71" s="20"/>
      <c r="DR71" s="20"/>
      <c r="DS71" s="20"/>
      <c r="DT71" s="20"/>
      <c r="DU71" s="20"/>
      <c r="DV71" s="20"/>
      <c r="DW71" s="20"/>
      <c r="DX71" s="20"/>
      <c r="DY71" s="20"/>
      <c r="DZ71" s="20"/>
      <c r="EA71" s="20"/>
      <c r="EB71" s="20"/>
      <c r="EC71" s="20"/>
      <c r="ED71" s="20"/>
      <c r="EE71" s="20"/>
      <c r="EF71" s="20"/>
      <c r="EG71" s="20"/>
      <c r="EH71" s="20"/>
      <c r="EI71" s="20"/>
      <c r="EJ71" s="20"/>
      <c r="EK71" s="20"/>
      <c r="EL71" s="20"/>
      <c r="EM71" s="20"/>
      <c r="EN71" s="20"/>
      <c r="EO71" s="20"/>
      <c r="EP71" s="20"/>
      <c r="EQ71" s="20"/>
      <c r="ER71" s="20"/>
      <c r="ES71" s="20"/>
      <c r="ET71" s="20"/>
      <c r="EU71" s="20"/>
      <c r="EV71" s="20"/>
      <c r="EW71" s="20"/>
      <c r="EX71" s="20"/>
      <c r="EY71" s="20"/>
      <c r="EZ71" s="20"/>
      <c r="FA71" s="20"/>
      <c r="FB71" s="20"/>
      <c r="FC71" s="20"/>
      <c r="FD71" s="20"/>
      <c r="FE71" s="20"/>
      <c r="FF71" s="20"/>
      <c r="FG71" s="20"/>
      <c r="FH71" s="20"/>
      <c r="FI71" s="20"/>
      <c r="FJ71" s="20"/>
      <c r="FK71" s="20"/>
      <c r="FL71" s="20"/>
      <c r="FM71" s="20"/>
      <c r="FN71" s="20"/>
      <c r="FO71" s="20"/>
      <c r="FP71" s="20"/>
      <c r="FQ71" s="20"/>
      <c r="FR71" s="20"/>
      <c r="FS71" s="20"/>
      <c r="FT71" s="20"/>
      <c r="FU71" s="20"/>
      <c r="FV71" s="20"/>
      <c r="FW71" s="20"/>
      <c r="FX71" s="20"/>
      <c r="FY71" s="20"/>
      <c r="FZ71" s="20"/>
      <c r="GA71" s="20"/>
      <c r="GB71" s="20"/>
      <c r="GC71" s="20"/>
      <c r="GD71" s="20"/>
      <c r="GE71" s="20"/>
      <c r="GF71" s="20"/>
      <c r="GG71" s="20"/>
      <c r="GH71" s="20"/>
      <c r="GI71" s="20"/>
      <c r="GJ71" s="20"/>
      <c r="GK71" s="20"/>
      <c r="GL71" s="20"/>
      <c r="GM71" s="20"/>
      <c r="GN71" s="20"/>
      <c r="GO71" s="20"/>
      <c r="GP71" s="20"/>
      <c r="GQ71" s="20"/>
      <c r="GR71" s="20"/>
      <c r="GS71" s="20"/>
      <c r="GT71" s="20"/>
      <c r="GU71" s="20"/>
      <c r="GV71" s="20"/>
      <c r="GW71" s="20"/>
      <c r="GX71" s="20"/>
      <c r="GY71" s="20"/>
      <c r="GZ71" s="20"/>
      <c r="HA71" s="20"/>
      <c r="HB71" s="20"/>
      <c r="HC71" s="20"/>
      <c r="HD71" s="20"/>
      <c r="HE71" s="20"/>
      <c r="HF71" s="20"/>
      <c r="HG71" s="20"/>
      <c r="HH71" s="20"/>
      <c r="HI71" s="20"/>
      <c r="HJ71" s="20"/>
      <c r="HK71" s="20"/>
      <c r="HL71" s="20"/>
      <c r="HM71" s="20"/>
      <c r="HN71" s="20"/>
      <c r="HO71" s="20"/>
      <c r="HP71" s="20"/>
      <c r="HQ71" s="20"/>
      <c r="HR71" s="20"/>
      <c r="HS71" s="20"/>
      <c r="HT71" s="20"/>
      <c r="HU71" s="20"/>
      <c r="HV71" s="20"/>
      <c r="HW71" s="20"/>
      <c r="HX71" s="20"/>
      <c r="HY71" s="20"/>
      <c r="HZ71" s="20"/>
      <c r="IA71" s="20"/>
      <c r="IB71" s="20"/>
      <c r="IC71" s="20"/>
      <c r="ID71" s="20"/>
      <c r="IE71" s="20"/>
      <c r="IF71" s="20"/>
      <c r="IG71" s="20"/>
      <c r="IH71" s="20"/>
      <c r="II71" s="20"/>
      <c r="IJ71" s="20"/>
      <c r="IK71" s="20"/>
      <c r="IL71" s="20"/>
      <c r="IM71" s="20"/>
      <c r="IN71" s="20"/>
      <c r="IO71" s="20"/>
      <c r="IP71" s="20"/>
      <c r="IQ71" s="20"/>
      <c r="IR71" s="20"/>
      <c r="IS71" s="20"/>
      <c r="IT71" s="20"/>
      <c r="IU71" s="20"/>
      <c r="IV71" s="20"/>
      <c r="IW71" s="20"/>
      <c r="IX71" s="20"/>
      <c r="IY71" s="20"/>
      <c r="IZ71" s="20"/>
      <c r="JA71" s="20"/>
      <c r="JB71" s="20"/>
      <c r="JC71" s="20"/>
      <c r="JD71" s="20"/>
      <c r="JE71" s="20"/>
      <c r="JF71" s="20"/>
      <c r="JG71" s="20"/>
      <c r="JH71" s="20"/>
      <c r="JI71" s="20"/>
    </row>
    <row r="72" spans="1:269" ht="17.25" customHeight="1">
      <c r="A72" s="101"/>
      <c r="B72" s="20" t="s">
        <v>113</v>
      </c>
      <c r="C72" s="20" t="s">
        <v>134</v>
      </c>
      <c r="D72" s="83">
        <v>1595923</v>
      </c>
      <c r="E72" s="82">
        <v>3.0000000000000001E-3</v>
      </c>
      <c r="F72" s="82">
        <v>7.4999999999999997E-2</v>
      </c>
      <c r="G72" s="29"/>
      <c r="H72" s="83">
        <v>3114</v>
      </c>
      <c r="I72" s="104">
        <v>3649</v>
      </c>
      <c r="J72" s="29"/>
      <c r="K72" s="83">
        <v>28242</v>
      </c>
      <c r="L72" s="104">
        <v>6449</v>
      </c>
      <c r="M72" s="29"/>
      <c r="N72" s="138">
        <v>0.04</v>
      </c>
      <c r="O72" s="138">
        <v>0.03</v>
      </c>
      <c r="P72" s="29"/>
      <c r="Q72" s="85">
        <v>0</v>
      </c>
      <c r="R72" s="14"/>
      <c r="S72" s="15"/>
      <c r="T72" s="104">
        <v>12455</v>
      </c>
      <c r="U72" s="82">
        <v>-0.05</v>
      </c>
      <c r="V72" s="29"/>
      <c r="W72" s="83">
        <v>19323</v>
      </c>
      <c r="X72" s="82">
        <v>-0.22500000000000001</v>
      </c>
      <c r="Y72" s="29"/>
      <c r="Z72" s="104">
        <v>4344</v>
      </c>
      <c r="AA72" s="82">
        <v>-0.19</v>
      </c>
      <c r="AB72" s="29"/>
      <c r="AC72" s="83">
        <v>38145</v>
      </c>
      <c r="AD72" s="82">
        <v>0.01</v>
      </c>
      <c r="AE72" s="29"/>
      <c r="AF72" s="104">
        <v>7926</v>
      </c>
      <c r="AG72" s="120">
        <v>-1.7999999999999999E-2</v>
      </c>
      <c r="AH72" s="85">
        <v>4.8099999999999996</v>
      </c>
      <c r="AI72" s="84">
        <v>58.4</v>
      </c>
      <c r="AJ72" s="138">
        <v>328</v>
      </c>
      <c r="AK72" s="83">
        <v>493</v>
      </c>
      <c r="AL72" s="102">
        <v>85</v>
      </c>
      <c r="AM72" s="29"/>
      <c r="AN72" s="83">
        <v>5211</v>
      </c>
      <c r="AO72" s="83">
        <v>27535</v>
      </c>
      <c r="AP72" s="83">
        <v>5399</v>
      </c>
      <c r="AQ72" s="29"/>
      <c r="AR72" s="104">
        <v>1001</v>
      </c>
      <c r="AS72" s="104">
        <v>5609</v>
      </c>
      <c r="AT72" s="104">
        <v>1316</v>
      </c>
      <c r="AU72" s="29"/>
      <c r="AV72" s="83">
        <v>35076</v>
      </c>
      <c r="AW72" s="104">
        <v>7236</v>
      </c>
      <c r="AX72" s="29"/>
      <c r="AY72" s="120">
        <v>0.95899999999999996</v>
      </c>
      <c r="AZ72" s="120">
        <v>1.7000000000000001E-2</v>
      </c>
      <c r="BA72" s="120">
        <v>1E-3</v>
      </c>
      <c r="BB72" s="82">
        <v>2.3E-2</v>
      </c>
      <c r="BC72" s="29"/>
      <c r="BD72" s="138">
        <v>0</v>
      </c>
      <c r="BE72" s="89"/>
      <c r="BF72" s="94"/>
      <c r="BG72" s="138">
        <v>0</v>
      </c>
      <c r="BH72" s="138" t="s">
        <v>208</v>
      </c>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c r="DB72" s="20"/>
      <c r="DC72" s="20"/>
      <c r="DD72" s="20"/>
      <c r="DE72" s="20"/>
      <c r="DF72" s="20"/>
      <c r="DG72" s="20"/>
      <c r="DH72" s="20"/>
      <c r="DI72" s="20"/>
      <c r="DJ72" s="20"/>
      <c r="DK72" s="20"/>
      <c r="DL72" s="20"/>
      <c r="DM72" s="20"/>
      <c r="DN72" s="20"/>
      <c r="DO72" s="20"/>
      <c r="DP72" s="20"/>
      <c r="DQ72" s="20"/>
      <c r="DR72" s="20"/>
      <c r="DS72" s="20"/>
      <c r="DT72" s="20"/>
      <c r="DU72" s="20"/>
      <c r="DV72" s="20"/>
      <c r="DW72" s="20"/>
      <c r="DX72" s="20"/>
      <c r="DY72" s="20"/>
      <c r="DZ72" s="20"/>
      <c r="EA72" s="20"/>
      <c r="EB72" s="20"/>
      <c r="EC72" s="20"/>
      <c r="ED72" s="20"/>
      <c r="EE72" s="20"/>
      <c r="EF72" s="20"/>
      <c r="EG72" s="20"/>
      <c r="EH72" s="20"/>
      <c r="EI72" s="20"/>
      <c r="EJ72" s="20"/>
      <c r="EK72" s="20"/>
      <c r="EL72" s="20"/>
      <c r="EM72" s="20"/>
      <c r="EN72" s="20"/>
      <c r="EO72" s="20"/>
      <c r="EP72" s="20"/>
      <c r="EQ72" s="20"/>
      <c r="ER72" s="20"/>
      <c r="ES72" s="20"/>
      <c r="ET72" s="20"/>
      <c r="EU72" s="20"/>
      <c r="EV72" s="20"/>
      <c r="EW72" s="20"/>
      <c r="EX72" s="20"/>
      <c r="EY72" s="20"/>
      <c r="EZ72" s="20"/>
      <c r="FA72" s="20"/>
      <c r="FB72" s="20"/>
      <c r="FC72" s="20"/>
      <c r="FD72" s="20"/>
      <c r="FE72" s="20"/>
      <c r="FF72" s="20"/>
      <c r="FG72" s="20"/>
      <c r="FH72" s="20"/>
      <c r="FI72" s="20"/>
      <c r="FJ72" s="20"/>
      <c r="FK72" s="20"/>
      <c r="FL72" s="20"/>
      <c r="FM72" s="20"/>
      <c r="FN72" s="20"/>
      <c r="FO72" s="20"/>
      <c r="FP72" s="20"/>
      <c r="FQ72" s="20"/>
      <c r="FR72" s="20"/>
      <c r="FS72" s="20"/>
      <c r="FT72" s="20"/>
      <c r="FU72" s="20"/>
      <c r="FV72" s="20"/>
      <c r="FW72" s="20"/>
      <c r="FX72" s="20"/>
      <c r="FY72" s="20"/>
      <c r="FZ72" s="20"/>
      <c r="GA72" s="20"/>
      <c r="GB72" s="20"/>
      <c r="GC72" s="20"/>
      <c r="GD72" s="20"/>
      <c r="GE72" s="20"/>
      <c r="GF72" s="20"/>
      <c r="GG72" s="20"/>
      <c r="GH72" s="20"/>
      <c r="GI72" s="20"/>
      <c r="GJ72" s="20"/>
      <c r="GK72" s="20"/>
      <c r="GL72" s="20"/>
      <c r="GM72" s="20"/>
      <c r="GN72" s="20"/>
      <c r="GO72" s="20"/>
      <c r="GP72" s="20"/>
      <c r="GQ72" s="20"/>
      <c r="GR72" s="20"/>
      <c r="GS72" s="20"/>
      <c r="GT72" s="20"/>
      <c r="GU72" s="20"/>
      <c r="GV72" s="20"/>
      <c r="GW72" s="20"/>
      <c r="GX72" s="20"/>
      <c r="GY72" s="20"/>
      <c r="GZ72" s="20"/>
      <c r="HA72" s="20"/>
      <c r="HB72" s="20"/>
      <c r="HC72" s="20"/>
      <c r="HD72" s="20"/>
      <c r="HE72" s="20"/>
      <c r="HF72" s="20"/>
      <c r="HG72" s="20"/>
      <c r="HH72" s="20"/>
      <c r="HI72" s="20"/>
      <c r="HJ72" s="20"/>
      <c r="HK72" s="20"/>
      <c r="HL72" s="20"/>
      <c r="HM72" s="20"/>
      <c r="HN72" s="20"/>
      <c r="HO72" s="20"/>
      <c r="HP72" s="20"/>
      <c r="HQ72" s="20"/>
      <c r="HR72" s="20"/>
      <c r="HS72" s="20"/>
      <c r="HT72" s="20"/>
      <c r="HU72" s="20"/>
      <c r="HV72" s="20"/>
      <c r="HW72" s="20"/>
      <c r="HX72" s="20"/>
      <c r="HY72" s="20"/>
      <c r="HZ72" s="20"/>
      <c r="IA72" s="20"/>
      <c r="IB72" s="20"/>
      <c r="IC72" s="20"/>
      <c r="ID72" s="20"/>
      <c r="IE72" s="20"/>
      <c r="IF72" s="20"/>
      <c r="IG72" s="20"/>
      <c r="IH72" s="20"/>
      <c r="II72" s="20"/>
      <c r="IJ72" s="20"/>
      <c r="IK72" s="20"/>
      <c r="IL72" s="20"/>
      <c r="IM72" s="20"/>
      <c r="IN72" s="20"/>
      <c r="IO72" s="20"/>
      <c r="IP72" s="20"/>
      <c r="IQ72" s="20"/>
      <c r="IR72" s="20"/>
      <c r="IS72" s="20"/>
      <c r="IT72" s="20"/>
      <c r="IU72" s="20"/>
      <c r="IV72" s="20"/>
      <c r="IW72" s="20"/>
      <c r="IX72" s="20"/>
      <c r="IY72" s="20"/>
      <c r="IZ72" s="20"/>
      <c r="JA72" s="20"/>
      <c r="JB72" s="20"/>
      <c r="JC72" s="20"/>
      <c r="JD72" s="20"/>
      <c r="JE72" s="20"/>
      <c r="JF72" s="20"/>
      <c r="JG72" s="20"/>
      <c r="JH72" s="20"/>
      <c r="JI72" s="20"/>
    </row>
    <row r="73" spans="1:269" ht="17.25" customHeight="1">
      <c r="A73" s="101"/>
      <c r="B73" s="20" t="s">
        <v>112</v>
      </c>
      <c r="C73" s="20" t="s">
        <v>157</v>
      </c>
      <c r="D73" s="83">
        <v>1605305</v>
      </c>
      <c r="E73" s="82">
        <v>6.0000000000000001E-3</v>
      </c>
      <c r="F73" s="82">
        <v>7.5999999999999998E-2</v>
      </c>
      <c r="G73" s="29"/>
      <c r="H73" s="83">
        <v>3099</v>
      </c>
      <c r="I73" s="104">
        <v>3589</v>
      </c>
      <c r="J73" s="29"/>
      <c r="K73" s="83">
        <v>27980</v>
      </c>
      <c r="L73" s="104">
        <v>6382</v>
      </c>
      <c r="M73" s="29"/>
      <c r="N73" s="139">
        <v>0.04</v>
      </c>
      <c r="O73" s="139">
        <v>0.03</v>
      </c>
      <c r="P73" s="29"/>
      <c r="Q73" s="85">
        <v>0</v>
      </c>
      <c r="R73" s="14"/>
      <c r="S73" s="15"/>
      <c r="T73" s="104">
        <v>17946</v>
      </c>
      <c r="U73" s="82">
        <v>0.441</v>
      </c>
      <c r="V73" s="29"/>
      <c r="W73" s="83">
        <v>30209</v>
      </c>
      <c r="X73" s="82">
        <v>0.56299999999999994</v>
      </c>
      <c r="Y73" s="29"/>
      <c r="Z73" s="104">
        <v>6495</v>
      </c>
      <c r="AA73" s="82">
        <v>0.495</v>
      </c>
      <c r="AB73" s="29"/>
      <c r="AC73" s="83">
        <v>53026</v>
      </c>
      <c r="AD73" s="82">
        <v>0.39</v>
      </c>
      <c r="AE73" s="29"/>
      <c r="AF73" s="104">
        <v>11074</v>
      </c>
      <c r="AG73" s="120">
        <v>0.39700000000000002</v>
      </c>
      <c r="AH73" s="85">
        <v>4.79</v>
      </c>
      <c r="AI73" s="84">
        <v>57.7</v>
      </c>
      <c r="AJ73" s="139">
        <v>331</v>
      </c>
      <c r="AK73" s="83">
        <v>691</v>
      </c>
      <c r="AL73" s="102">
        <v>126</v>
      </c>
      <c r="AM73" s="29"/>
      <c r="AN73" s="83">
        <v>9720</v>
      </c>
      <c r="AO73" s="83">
        <v>36198</v>
      </c>
      <c r="AP73" s="83">
        <v>7108</v>
      </c>
      <c r="AQ73" s="29"/>
      <c r="AR73" s="104">
        <v>1888</v>
      </c>
      <c r="AS73" s="104">
        <v>7323</v>
      </c>
      <c r="AT73" s="104">
        <v>1863</v>
      </c>
      <c r="AU73" s="29"/>
      <c r="AV73" s="83">
        <v>47161</v>
      </c>
      <c r="AW73" s="104">
        <v>9736</v>
      </c>
      <c r="AX73" s="29"/>
      <c r="AY73" s="120">
        <v>0.95699999999999996</v>
      </c>
      <c r="AZ73" s="120">
        <v>1.7999999999999999E-2</v>
      </c>
      <c r="BA73" s="120">
        <v>1E-3</v>
      </c>
      <c r="BB73" s="82">
        <v>2.5000000000000001E-2</v>
      </c>
      <c r="BC73" s="29"/>
      <c r="BD73" s="139">
        <v>0</v>
      </c>
      <c r="BE73" s="89"/>
      <c r="BF73" s="94"/>
      <c r="BG73" s="139">
        <v>0</v>
      </c>
      <c r="BH73" s="139" t="s">
        <v>208</v>
      </c>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c r="DA73" s="20"/>
      <c r="DB73" s="20"/>
      <c r="DC73" s="20"/>
      <c r="DD73" s="20"/>
      <c r="DE73" s="20"/>
      <c r="DF73" s="20"/>
      <c r="DG73" s="20"/>
      <c r="DH73" s="20"/>
      <c r="DI73" s="20"/>
      <c r="DJ73" s="20"/>
      <c r="DK73" s="20"/>
      <c r="DL73" s="20"/>
      <c r="DM73" s="20"/>
      <c r="DN73" s="20"/>
      <c r="DO73" s="20"/>
      <c r="DP73" s="20"/>
      <c r="DQ73" s="20"/>
      <c r="DR73" s="20"/>
      <c r="DS73" s="20"/>
      <c r="DT73" s="20"/>
      <c r="DU73" s="20"/>
      <c r="DV73" s="20"/>
      <c r="DW73" s="20"/>
      <c r="DX73" s="20"/>
      <c r="DY73" s="20"/>
      <c r="DZ73" s="20"/>
      <c r="EA73" s="20"/>
      <c r="EB73" s="20"/>
      <c r="EC73" s="20"/>
      <c r="ED73" s="20"/>
      <c r="EE73" s="20"/>
      <c r="EF73" s="20"/>
      <c r="EG73" s="20"/>
      <c r="EH73" s="20"/>
      <c r="EI73" s="20"/>
      <c r="EJ73" s="20"/>
      <c r="EK73" s="20"/>
      <c r="EL73" s="20"/>
      <c r="EM73" s="20"/>
      <c r="EN73" s="20"/>
      <c r="EO73" s="20"/>
      <c r="EP73" s="20"/>
      <c r="EQ73" s="20"/>
      <c r="ER73" s="20"/>
      <c r="ES73" s="20"/>
      <c r="ET73" s="20"/>
      <c r="EU73" s="20"/>
      <c r="EV73" s="20"/>
      <c r="EW73" s="20"/>
      <c r="EX73" s="20"/>
      <c r="EY73" s="20"/>
      <c r="EZ73" s="20"/>
      <c r="FA73" s="20"/>
      <c r="FB73" s="20"/>
      <c r="FC73" s="20"/>
      <c r="FD73" s="20"/>
      <c r="FE73" s="20"/>
      <c r="FF73" s="20"/>
      <c r="FG73" s="20"/>
      <c r="FH73" s="20"/>
      <c r="FI73" s="20"/>
      <c r="FJ73" s="20"/>
      <c r="FK73" s="20"/>
      <c r="FL73" s="20"/>
      <c r="FM73" s="20"/>
      <c r="FN73" s="20"/>
      <c r="FO73" s="20"/>
      <c r="FP73" s="20"/>
      <c r="FQ73" s="20"/>
      <c r="FR73" s="20"/>
      <c r="FS73" s="20"/>
      <c r="FT73" s="20"/>
      <c r="FU73" s="20"/>
      <c r="FV73" s="20"/>
      <c r="FW73" s="20"/>
      <c r="FX73" s="20"/>
      <c r="FY73" s="20"/>
      <c r="FZ73" s="20"/>
      <c r="GA73" s="20"/>
      <c r="GB73" s="20"/>
      <c r="GC73" s="20"/>
      <c r="GD73" s="20"/>
      <c r="GE73" s="20"/>
      <c r="GF73" s="20"/>
      <c r="GG73" s="20"/>
      <c r="GH73" s="20"/>
      <c r="GI73" s="20"/>
      <c r="GJ73" s="20"/>
      <c r="GK73" s="20"/>
      <c r="GL73" s="20"/>
      <c r="GM73" s="20"/>
      <c r="GN73" s="20"/>
      <c r="GO73" s="20"/>
      <c r="GP73" s="20"/>
      <c r="GQ73" s="20"/>
      <c r="GR73" s="20"/>
      <c r="GS73" s="20"/>
      <c r="GT73" s="20"/>
      <c r="GU73" s="20"/>
      <c r="GV73" s="20"/>
      <c r="GW73" s="20"/>
      <c r="GX73" s="20"/>
      <c r="GY73" s="20"/>
      <c r="GZ73" s="20"/>
      <c r="HA73" s="20"/>
      <c r="HB73" s="20"/>
      <c r="HC73" s="20"/>
      <c r="HD73" s="20"/>
      <c r="HE73" s="20"/>
      <c r="HF73" s="20"/>
      <c r="HG73" s="20"/>
      <c r="HH73" s="20"/>
      <c r="HI73" s="20"/>
      <c r="HJ73" s="20"/>
      <c r="HK73" s="20"/>
      <c r="HL73" s="20"/>
      <c r="HM73" s="20"/>
      <c r="HN73" s="20"/>
      <c r="HO73" s="20"/>
      <c r="HP73" s="20"/>
      <c r="HQ73" s="20"/>
      <c r="HR73" s="20"/>
      <c r="HS73" s="20"/>
      <c r="HT73" s="20"/>
      <c r="HU73" s="20"/>
      <c r="HV73" s="20"/>
      <c r="HW73" s="20"/>
      <c r="HX73" s="20"/>
      <c r="HY73" s="20"/>
      <c r="HZ73" s="20"/>
      <c r="IA73" s="20"/>
      <c r="IB73" s="20"/>
      <c r="IC73" s="20"/>
      <c r="ID73" s="20"/>
      <c r="IE73" s="20"/>
      <c r="IF73" s="20"/>
      <c r="IG73" s="20"/>
      <c r="IH73" s="20"/>
      <c r="II73" s="20"/>
      <c r="IJ73" s="20"/>
      <c r="IK73" s="20"/>
      <c r="IL73" s="20"/>
      <c r="IM73" s="20"/>
      <c r="IN73" s="20"/>
      <c r="IO73" s="20"/>
      <c r="IP73" s="20"/>
      <c r="IQ73" s="20"/>
      <c r="IR73" s="20"/>
      <c r="IS73" s="20"/>
      <c r="IT73" s="20"/>
      <c r="IU73" s="20"/>
      <c r="IV73" s="20"/>
      <c r="IW73" s="20"/>
      <c r="IX73" s="20"/>
      <c r="IY73" s="20"/>
      <c r="IZ73" s="20"/>
      <c r="JA73" s="20"/>
      <c r="JB73" s="20"/>
      <c r="JC73" s="20"/>
      <c r="JD73" s="20"/>
      <c r="JE73" s="20"/>
      <c r="JF73" s="20"/>
      <c r="JG73" s="20"/>
      <c r="JH73" s="20"/>
      <c r="JI73" s="20"/>
    </row>
    <row r="74" spans="1:269" ht="17.25" customHeight="1">
      <c r="A74" s="101"/>
      <c r="B74" s="20" t="s">
        <v>111</v>
      </c>
      <c r="C74" s="20" t="s">
        <v>153</v>
      </c>
      <c r="D74" s="83">
        <v>1616436</v>
      </c>
      <c r="E74" s="82">
        <v>7.0000000000000001E-3</v>
      </c>
      <c r="F74" s="82">
        <v>8.1000000000000003E-2</v>
      </c>
      <c r="G74" s="29"/>
      <c r="H74" s="83">
        <v>3090</v>
      </c>
      <c r="I74" s="104">
        <v>3536</v>
      </c>
      <c r="J74" s="29"/>
      <c r="K74" s="83">
        <v>27908</v>
      </c>
      <c r="L74" s="104">
        <v>6364</v>
      </c>
      <c r="M74" s="29"/>
      <c r="N74" s="140">
        <v>0.04</v>
      </c>
      <c r="O74" s="140">
        <v>0.03</v>
      </c>
      <c r="P74" s="29"/>
      <c r="Q74" s="85">
        <v>0</v>
      </c>
      <c r="R74" s="14"/>
      <c r="S74" s="15"/>
      <c r="T74" s="104">
        <v>16568</v>
      </c>
      <c r="U74" s="82">
        <v>-7.6999999999999999E-2</v>
      </c>
      <c r="V74" s="29"/>
      <c r="W74" s="83">
        <v>29497</v>
      </c>
      <c r="X74" s="82">
        <v>-2.4E-2</v>
      </c>
      <c r="Y74" s="29"/>
      <c r="Z74" s="104">
        <v>6287</v>
      </c>
      <c r="AA74" s="82">
        <v>-3.2000000000000001E-2</v>
      </c>
      <c r="AB74" s="29"/>
      <c r="AC74" s="83">
        <v>50767</v>
      </c>
      <c r="AD74" s="82">
        <v>-4.2999999999999997E-2</v>
      </c>
      <c r="AE74" s="29"/>
      <c r="AF74" s="104">
        <v>10374</v>
      </c>
      <c r="AG74" s="120">
        <v>-6.3E-2</v>
      </c>
      <c r="AH74" s="85">
        <v>4.8899999999999997</v>
      </c>
      <c r="AI74" s="84">
        <v>57.3</v>
      </c>
      <c r="AJ74" s="140">
        <v>329</v>
      </c>
      <c r="AK74" s="83">
        <v>714</v>
      </c>
      <c r="AL74" s="102">
        <v>120</v>
      </c>
      <c r="AM74" s="29"/>
      <c r="AN74" s="83">
        <v>7611</v>
      </c>
      <c r="AO74" s="83">
        <v>36502</v>
      </c>
      <c r="AP74" s="83">
        <v>6654</v>
      </c>
      <c r="AQ74" s="29"/>
      <c r="AR74" s="104">
        <v>1457</v>
      </c>
      <c r="AS74" s="104">
        <v>7303</v>
      </c>
      <c r="AT74" s="104">
        <v>1614</v>
      </c>
      <c r="AU74" s="29"/>
      <c r="AV74" s="83">
        <v>46413</v>
      </c>
      <c r="AW74" s="104">
        <v>9367</v>
      </c>
      <c r="AX74" s="29"/>
      <c r="AY74" s="120">
        <v>0.96699999999999997</v>
      </c>
      <c r="AZ74" s="120">
        <v>1.0999999999999999E-2</v>
      </c>
      <c r="BA74" s="121">
        <v>0</v>
      </c>
      <c r="BB74" s="82">
        <v>2.1000000000000001E-2</v>
      </c>
      <c r="BC74" s="29"/>
      <c r="BD74" s="140">
        <v>0</v>
      </c>
      <c r="BE74" s="89"/>
      <c r="BF74" s="94"/>
      <c r="BG74" s="140">
        <v>0</v>
      </c>
      <c r="BH74" s="140" t="s">
        <v>208</v>
      </c>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c r="DA74" s="20"/>
      <c r="DB74" s="20"/>
      <c r="DC74" s="20"/>
      <c r="DD74" s="20"/>
      <c r="DE74" s="20"/>
      <c r="DF74" s="20"/>
      <c r="DG74" s="20"/>
      <c r="DH74" s="20"/>
      <c r="DI74" s="20"/>
      <c r="DJ74" s="20"/>
      <c r="DK74" s="20"/>
      <c r="DL74" s="20"/>
      <c r="DM74" s="20"/>
      <c r="DN74" s="20"/>
      <c r="DO74" s="20"/>
      <c r="DP74" s="20"/>
      <c r="DQ74" s="20"/>
      <c r="DR74" s="20"/>
      <c r="DS74" s="20"/>
      <c r="DT74" s="20"/>
      <c r="DU74" s="20"/>
      <c r="DV74" s="20"/>
      <c r="DW74" s="20"/>
      <c r="DX74" s="20"/>
      <c r="DY74" s="20"/>
      <c r="DZ74" s="20"/>
      <c r="EA74" s="20"/>
      <c r="EB74" s="20"/>
      <c r="EC74" s="20"/>
      <c r="ED74" s="20"/>
      <c r="EE74" s="20"/>
      <c r="EF74" s="20"/>
      <c r="EG74" s="20"/>
      <c r="EH74" s="20"/>
      <c r="EI74" s="20"/>
      <c r="EJ74" s="20"/>
      <c r="EK74" s="20"/>
      <c r="EL74" s="20"/>
      <c r="EM74" s="20"/>
      <c r="EN74" s="20"/>
      <c r="EO74" s="20"/>
      <c r="EP74" s="20"/>
      <c r="EQ74" s="20"/>
      <c r="ER74" s="20"/>
      <c r="ES74" s="20"/>
      <c r="ET74" s="20"/>
      <c r="EU74" s="20"/>
      <c r="EV74" s="20"/>
      <c r="EW74" s="20"/>
      <c r="EX74" s="20"/>
      <c r="EY74" s="20"/>
      <c r="EZ74" s="20"/>
      <c r="FA74" s="20"/>
      <c r="FB74" s="20"/>
      <c r="FC74" s="20"/>
      <c r="FD74" s="20"/>
      <c r="FE74" s="20"/>
      <c r="FF74" s="20"/>
      <c r="FG74" s="20"/>
      <c r="FH74" s="20"/>
      <c r="FI74" s="20"/>
      <c r="FJ74" s="20"/>
      <c r="FK74" s="20"/>
      <c r="FL74" s="20"/>
      <c r="FM74" s="20"/>
      <c r="FN74" s="20"/>
      <c r="FO74" s="20"/>
      <c r="FP74" s="20"/>
      <c r="FQ74" s="20"/>
      <c r="FR74" s="20"/>
      <c r="FS74" s="20"/>
      <c r="FT74" s="20"/>
      <c r="FU74" s="20"/>
      <c r="FV74" s="20"/>
      <c r="FW74" s="20"/>
      <c r="FX74" s="20"/>
      <c r="FY74" s="20"/>
      <c r="FZ74" s="20"/>
      <c r="GA74" s="20"/>
      <c r="GB74" s="20"/>
      <c r="GC74" s="20"/>
      <c r="GD74" s="20"/>
      <c r="GE74" s="20"/>
      <c r="GF74" s="20"/>
      <c r="GG74" s="20"/>
      <c r="GH74" s="20"/>
      <c r="GI74" s="20"/>
      <c r="GJ74" s="20"/>
      <c r="GK74" s="20"/>
      <c r="GL74" s="20"/>
      <c r="GM74" s="20"/>
      <c r="GN74" s="20"/>
      <c r="GO74" s="20"/>
      <c r="GP74" s="20"/>
      <c r="GQ74" s="20"/>
      <c r="GR74" s="20"/>
      <c r="GS74" s="20"/>
      <c r="GT74" s="20"/>
      <c r="GU74" s="20"/>
      <c r="GV74" s="20"/>
      <c r="GW74" s="20"/>
      <c r="GX74" s="20"/>
      <c r="GY74" s="20"/>
      <c r="GZ74" s="20"/>
      <c r="HA74" s="20"/>
      <c r="HB74" s="20"/>
      <c r="HC74" s="20"/>
      <c r="HD74" s="20"/>
      <c r="HE74" s="20"/>
      <c r="HF74" s="20"/>
      <c r="HG74" s="20"/>
      <c r="HH74" s="20"/>
      <c r="HI74" s="20"/>
      <c r="HJ74" s="20"/>
      <c r="HK74" s="20"/>
      <c r="HL74" s="20"/>
      <c r="HM74" s="20"/>
      <c r="HN74" s="20"/>
      <c r="HO74" s="20"/>
      <c r="HP74" s="20"/>
      <c r="HQ74" s="20"/>
      <c r="HR74" s="20"/>
      <c r="HS74" s="20"/>
      <c r="HT74" s="20"/>
      <c r="HU74" s="20"/>
      <c r="HV74" s="20"/>
      <c r="HW74" s="20"/>
      <c r="HX74" s="20"/>
      <c r="HY74" s="20"/>
      <c r="HZ74" s="20"/>
      <c r="IA74" s="20"/>
      <c r="IB74" s="20"/>
      <c r="IC74" s="20"/>
      <c r="ID74" s="20"/>
      <c r="IE74" s="20"/>
      <c r="IF74" s="20"/>
      <c r="IG74" s="20"/>
      <c r="IH74" s="20"/>
      <c r="II74" s="20"/>
      <c r="IJ74" s="20"/>
      <c r="IK74" s="20"/>
      <c r="IL74" s="20"/>
      <c r="IM74" s="20"/>
      <c r="IN74" s="20"/>
      <c r="IO74" s="20"/>
      <c r="IP74" s="20"/>
      <c r="IQ74" s="20"/>
      <c r="IR74" s="20"/>
      <c r="IS74" s="20"/>
      <c r="IT74" s="20"/>
      <c r="IU74" s="20"/>
      <c r="IV74" s="20"/>
      <c r="IW74" s="20"/>
      <c r="IX74" s="20"/>
      <c r="IY74" s="20"/>
      <c r="IZ74" s="20"/>
      <c r="JA74" s="20"/>
      <c r="JB74" s="20"/>
      <c r="JC74" s="20"/>
      <c r="JD74" s="20"/>
      <c r="JE74" s="20"/>
      <c r="JF74" s="20"/>
      <c r="JG74" s="20"/>
      <c r="JH74" s="20"/>
      <c r="JI74" s="20"/>
    </row>
    <row r="75" spans="1:269" ht="17.25" customHeight="1">
      <c r="A75" s="101"/>
      <c r="B75" s="20" t="s">
        <v>110</v>
      </c>
      <c r="C75" s="20" t="s">
        <v>133</v>
      </c>
      <c r="D75" s="83">
        <v>1631910</v>
      </c>
      <c r="E75" s="86">
        <v>0.01</v>
      </c>
      <c r="F75" s="82">
        <v>8.4000000000000005E-2</v>
      </c>
      <c r="G75" s="29"/>
      <c r="H75" s="83">
        <v>3098</v>
      </c>
      <c r="I75" s="104">
        <v>3486</v>
      </c>
      <c r="J75" s="29"/>
      <c r="K75" s="83">
        <v>27919</v>
      </c>
      <c r="L75" s="104">
        <v>6354</v>
      </c>
      <c r="M75" s="29"/>
      <c r="N75" s="141">
        <v>0.04</v>
      </c>
      <c r="O75" s="141">
        <v>0.03</v>
      </c>
      <c r="P75" s="29"/>
      <c r="Q75" s="85">
        <v>0</v>
      </c>
      <c r="R75" s="14"/>
      <c r="S75" s="15"/>
      <c r="T75" s="104">
        <v>15904</v>
      </c>
      <c r="U75" s="86">
        <v>-0.04</v>
      </c>
      <c r="V75" s="29"/>
      <c r="W75" s="83">
        <v>35710</v>
      </c>
      <c r="X75" s="82">
        <v>0.21099999999999999</v>
      </c>
      <c r="Y75" s="29"/>
      <c r="Z75" s="104">
        <v>7555</v>
      </c>
      <c r="AA75" s="82">
        <v>0.20200000000000001</v>
      </c>
      <c r="AB75" s="29"/>
      <c r="AC75" s="83">
        <v>56665</v>
      </c>
      <c r="AD75" s="82">
        <v>0.11600000000000001</v>
      </c>
      <c r="AE75" s="29"/>
      <c r="AF75" s="104">
        <v>11584</v>
      </c>
      <c r="AG75" s="120">
        <v>0.11700000000000001</v>
      </c>
      <c r="AH75" s="85">
        <v>4.8899999999999997</v>
      </c>
      <c r="AI75" s="84">
        <v>56.6</v>
      </c>
      <c r="AJ75" s="141">
        <v>329</v>
      </c>
      <c r="AK75" s="83">
        <v>560</v>
      </c>
      <c r="AL75" s="102">
        <v>110</v>
      </c>
      <c r="AM75" s="29"/>
      <c r="AN75" s="83">
        <v>7237</v>
      </c>
      <c r="AO75" s="83">
        <v>40581</v>
      </c>
      <c r="AP75" s="83">
        <v>8846</v>
      </c>
      <c r="AQ75" s="29"/>
      <c r="AR75" s="104">
        <v>1322</v>
      </c>
      <c r="AS75" s="104">
        <v>8154</v>
      </c>
      <c r="AT75" s="104">
        <v>2108</v>
      </c>
      <c r="AU75" s="29"/>
      <c r="AV75" s="83">
        <v>50967</v>
      </c>
      <c r="AW75" s="104">
        <v>10323</v>
      </c>
      <c r="AX75" s="29"/>
      <c r="AY75" s="120">
        <v>0.96799999999999997</v>
      </c>
      <c r="AZ75" s="121">
        <v>0.01</v>
      </c>
      <c r="BA75" s="120">
        <v>1E-3</v>
      </c>
      <c r="BB75" s="82">
        <v>2.1000000000000001E-2</v>
      </c>
      <c r="BC75" s="29"/>
      <c r="BD75" s="141">
        <v>0</v>
      </c>
      <c r="BE75" s="89"/>
      <c r="BF75" s="94"/>
      <c r="BG75" s="141">
        <v>0</v>
      </c>
      <c r="BH75" s="141" t="s">
        <v>208</v>
      </c>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c r="DC75" s="20"/>
      <c r="DD75" s="20"/>
      <c r="DE75" s="20"/>
      <c r="DF75" s="20"/>
      <c r="DG75" s="20"/>
      <c r="DH75" s="20"/>
      <c r="DI75" s="20"/>
      <c r="DJ75" s="20"/>
      <c r="DK75" s="20"/>
      <c r="DL75" s="20"/>
      <c r="DM75" s="20"/>
      <c r="DN75" s="20"/>
      <c r="DO75" s="20"/>
      <c r="DP75" s="20"/>
      <c r="DQ75" s="20"/>
      <c r="DR75" s="20"/>
      <c r="DS75" s="20"/>
      <c r="DT75" s="20"/>
      <c r="DU75" s="20"/>
      <c r="DV75" s="20"/>
      <c r="DW75" s="20"/>
      <c r="DX75" s="20"/>
      <c r="DY75" s="20"/>
      <c r="DZ75" s="20"/>
      <c r="EA75" s="20"/>
      <c r="EB75" s="20"/>
      <c r="EC75" s="20"/>
      <c r="ED75" s="20"/>
      <c r="EE75" s="20"/>
      <c r="EF75" s="20"/>
      <c r="EG75" s="20"/>
      <c r="EH75" s="20"/>
      <c r="EI75" s="20"/>
      <c r="EJ75" s="20"/>
      <c r="EK75" s="20"/>
      <c r="EL75" s="20"/>
      <c r="EM75" s="20"/>
      <c r="EN75" s="20"/>
      <c r="EO75" s="20"/>
      <c r="EP75" s="20"/>
      <c r="EQ75" s="20"/>
      <c r="ER75" s="20"/>
      <c r="ES75" s="20"/>
      <c r="ET75" s="20"/>
      <c r="EU75" s="20"/>
      <c r="EV75" s="20"/>
      <c r="EW75" s="20"/>
      <c r="EX75" s="20"/>
      <c r="EY75" s="20"/>
      <c r="EZ75" s="20"/>
      <c r="FA75" s="20"/>
      <c r="FB75" s="20"/>
      <c r="FC75" s="20"/>
      <c r="FD75" s="20"/>
      <c r="FE75" s="20"/>
      <c r="FF75" s="20"/>
      <c r="FG75" s="20"/>
      <c r="FH75" s="20"/>
      <c r="FI75" s="20"/>
      <c r="FJ75" s="20"/>
      <c r="FK75" s="20"/>
      <c r="FL75" s="20"/>
      <c r="FM75" s="20"/>
      <c r="FN75" s="20"/>
      <c r="FO75" s="20"/>
      <c r="FP75" s="20"/>
      <c r="FQ75" s="20"/>
      <c r="FR75" s="20"/>
      <c r="FS75" s="20"/>
      <c r="FT75" s="20"/>
      <c r="FU75" s="20"/>
      <c r="FV75" s="20"/>
      <c r="FW75" s="20"/>
      <c r="FX75" s="20"/>
      <c r="FY75" s="20"/>
      <c r="FZ75" s="20"/>
      <c r="GA75" s="20"/>
      <c r="GB75" s="20"/>
      <c r="GC75" s="20"/>
      <c r="GD75" s="20"/>
      <c r="GE75" s="20"/>
      <c r="GF75" s="20"/>
      <c r="GG75" s="20"/>
      <c r="GH75" s="20"/>
      <c r="GI75" s="20"/>
      <c r="GJ75" s="20"/>
      <c r="GK75" s="20"/>
      <c r="GL75" s="20"/>
      <c r="GM75" s="20"/>
      <c r="GN75" s="20"/>
      <c r="GO75" s="20"/>
      <c r="GP75" s="20"/>
      <c r="GQ75" s="20"/>
      <c r="GR75" s="20"/>
      <c r="GS75" s="20"/>
      <c r="GT75" s="20"/>
      <c r="GU75" s="20"/>
      <c r="GV75" s="20"/>
      <c r="GW75" s="20"/>
      <c r="GX75" s="20"/>
      <c r="GY75" s="20"/>
      <c r="GZ75" s="20"/>
      <c r="HA75" s="20"/>
      <c r="HB75" s="20"/>
      <c r="HC75" s="20"/>
      <c r="HD75" s="20"/>
      <c r="HE75" s="20"/>
      <c r="HF75" s="20"/>
      <c r="HG75" s="20"/>
      <c r="HH75" s="20"/>
      <c r="HI75" s="20"/>
      <c r="HJ75" s="20"/>
      <c r="HK75" s="20"/>
      <c r="HL75" s="20"/>
      <c r="HM75" s="20"/>
      <c r="HN75" s="20"/>
      <c r="HO75" s="20"/>
      <c r="HP75" s="20"/>
      <c r="HQ75" s="20"/>
      <c r="HR75" s="20"/>
      <c r="HS75" s="20"/>
      <c r="HT75" s="20"/>
      <c r="HU75" s="20"/>
      <c r="HV75" s="20"/>
      <c r="HW75" s="20"/>
      <c r="HX75" s="20"/>
      <c r="HY75" s="20"/>
      <c r="HZ75" s="20"/>
      <c r="IA75" s="20"/>
      <c r="IB75" s="20"/>
      <c r="IC75" s="20"/>
      <c r="ID75" s="20"/>
      <c r="IE75" s="20"/>
      <c r="IF75" s="20"/>
      <c r="IG75" s="20"/>
      <c r="IH75" s="20"/>
      <c r="II75" s="20"/>
      <c r="IJ75" s="20"/>
      <c r="IK75" s="20"/>
      <c r="IL75" s="20"/>
      <c r="IM75" s="20"/>
      <c r="IN75" s="20"/>
      <c r="IO75" s="20"/>
      <c r="IP75" s="20"/>
      <c r="IQ75" s="20"/>
      <c r="IR75" s="20"/>
      <c r="IS75" s="20"/>
      <c r="IT75" s="20"/>
      <c r="IU75" s="20"/>
      <c r="IV75" s="20"/>
      <c r="IW75" s="20"/>
      <c r="IX75" s="20"/>
      <c r="IY75" s="20"/>
      <c r="IZ75" s="20"/>
      <c r="JA75" s="20"/>
      <c r="JB75" s="20"/>
      <c r="JC75" s="20"/>
      <c r="JD75" s="20"/>
      <c r="JE75" s="20"/>
      <c r="JF75" s="20"/>
      <c r="JG75" s="20"/>
      <c r="JH75" s="20"/>
      <c r="JI75" s="20"/>
    </row>
    <row r="76" spans="1:269" ht="17.25" customHeight="1">
      <c r="A76" s="101"/>
      <c r="B76" s="20" t="s">
        <v>233</v>
      </c>
      <c r="C76" s="20" t="s">
        <v>149</v>
      </c>
      <c r="D76" s="83">
        <v>1648588</v>
      </c>
      <c r="E76" s="86">
        <v>0.01</v>
      </c>
      <c r="F76" s="82">
        <v>8.5999999999999993E-2</v>
      </c>
      <c r="G76" s="29"/>
      <c r="H76" s="83">
        <v>3108</v>
      </c>
      <c r="I76" s="104">
        <v>3404</v>
      </c>
      <c r="J76" s="29"/>
      <c r="K76" s="83">
        <v>27820</v>
      </c>
      <c r="L76" s="104">
        <v>6325</v>
      </c>
      <c r="M76" s="29"/>
      <c r="N76" s="143">
        <v>0.04</v>
      </c>
      <c r="O76" s="143">
        <v>0.03</v>
      </c>
      <c r="P76" s="29"/>
      <c r="Q76" s="85">
        <v>0</v>
      </c>
      <c r="R76" s="14"/>
      <c r="S76" s="15"/>
      <c r="T76" s="104">
        <v>15326</v>
      </c>
      <c r="U76" s="82">
        <v>-3.5999999999999997E-2</v>
      </c>
      <c r="V76" s="29"/>
      <c r="W76" s="83">
        <v>39090</v>
      </c>
      <c r="X76" s="82">
        <v>9.5000000000000001E-2</v>
      </c>
      <c r="Y76" s="29"/>
      <c r="Z76" s="104">
        <v>8226</v>
      </c>
      <c r="AA76" s="82">
        <v>8.8999999999999996E-2</v>
      </c>
      <c r="AB76" s="29"/>
      <c r="AC76" s="83">
        <v>58381</v>
      </c>
      <c r="AD76" s="86">
        <v>0.03</v>
      </c>
      <c r="AE76" s="29"/>
      <c r="AF76" s="104">
        <v>11477</v>
      </c>
      <c r="AG76" s="120">
        <v>-8.9999999999999993E-3</v>
      </c>
      <c r="AH76" s="85">
        <v>5.09</v>
      </c>
      <c r="AI76" s="84">
        <v>56.2</v>
      </c>
      <c r="AJ76" s="142">
        <v>329</v>
      </c>
      <c r="AK76" s="83">
        <v>838</v>
      </c>
      <c r="AL76" s="102">
        <v>129</v>
      </c>
      <c r="AM76" s="29"/>
      <c r="AN76" s="83">
        <v>8387</v>
      </c>
      <c r="AO76" s="83">
        <v>39233</v>
      </c>
      <c r="AP76" s="83">
        <v>10761</v>
      </c>
      <c r="AQ76" s="29"/>
      <c r="AR76" s="104">
        <v>1434</v>
      </c>
      <c r="AS76" s="104">
        <v>7623</v>
      </c>
      <c r="AT76" s="104">
        <v>2420</v>
      </c>
      <c r="AU76" s="29"/>
      <c r="AV76" s="83">
        <v>52479</v>
      </c>
      <c r="AW76" s="104">
        <v>10183</v>
      </c>
      <c r="AX76" s="29"/>
      <c r="AY76" s="120">
        <v>0.96399999999999997</v>
      </c>
      <c r="AZ76" s="120">
        <v>1.4E-2</v>
      </c>
      <c r="BA76" s="121">
        <v>0</v>
      </c>
      <c r="BB76" s="82">
        <v>2.1000000000000001E-2</v>
      </c>
      <c r="BC76" s="29"/>
      <c r="BD76" s="143">
        <v>0</v>
      </c>
      <c r="BE76" s="89"/>
      <c r="BF76" s="94"/>
      <c r="BG76" s="143">
        <v>0</v>
      </c>
      <c r="BH76" s="143" t="s">
        <v>208</v>
      </c>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c r="DB76" s="20"/>
      <c r="DC76" s="20"/>
      <c r="DD76" s="20"/>
      <c r="DE76" s="20"/>
      <c r="DF76" s="20"/>
      <c r="DG76" s="20"/>
      <c r="DH76" s="20"/>
      <c r="DI76" s="20"/>
      <c r="DJ76" s="20"/>
      <c r="DK76" s="20"/>
      <c r="DL76" s="20"/>
      <c r="DM76" s="20"/>
      <c r="DN76" s="20"/>
      <c r="DO76" s="20"/>
      <c r="DP76" s="20"/>
      <c r="DQ76" s="20"/>
      <c r="DR76" s="20"/>
      <c r="DS76" s="20"/>
      <c r="DT76" s="20"/>
      <c r="DU76" s="20"/>
      <c r="DV76" s="20"/>
      <c r="DW76" s="20"/>
      <c r="DX76" s="20"/>
      <c r="DY76" s="20"/>
      <c r="DZ76" s="20"/>
      <c r="EA76" s="20"/>
      <c r="EB76" s="20"/>
      <c r="EC76" s="20"/>
      <c r="ED76" s="20"/>
      <c r="EE76" s="20"/>
      <c r="EF76" s="20"/>
      <c r="EG76" s="20"/>
      <c r="EH76" s="20"/>
      <c r="EI76" s="20"/>
      <c r="EJ76" s="20"/>
      <c r="EK76" s="20"/>
      <c r="EL76" s="20"/>
      <c r="EM76" s="20"/>
      <c r="EN76" s="20"/>
      <c r="EO76" s="20"/>
      <c r="EP76" s="20"/>
      <c r="EQ76" s="20"/>
      <c r="ER76" s="20"/>
      <c r="ES76" s="20"/>
      <c r="ET76" s="20"/>
      <c r="EU76" s="20"/>
      <c r="EV76" s="20"/>
      <c r="EW76" s="20"/>
      <c r="EX76" s="20"/>
      <c r="EY76" s="20"/>
      <c r="EZ76" s="20"/>
      <c r="FA76" s="20"/>
      <c r="FB76" s="20"/>
      <c r="FC76" s="20"/>
      <c r="FD76" s="20"/>
      <c r="FE76" s="20"/>
      <c r="FF76" s="20"/>
      <c r="FG76" s="20"/>
      <c r="FH76" s="20"/>
      <c r="FI76" s="20"/>
      <c r="FJ76" s="20"/>
      <c r="FK76" s="20"/>
      <c r="FL76" s="20"/>
      <c r="FM76" s="20"/>
      <c r="FN76" s="20"/>
      <c r="FO76" s="20"/>
      <c r="FP76" s="20"/>
      <c r="FQ76" s="20"/>
      <c r="FR76" s="20"/>
      <c r="FS76" s="20"/>
      <c r="FT76" s="20"/>
      <c r="FU76" s="20"/>
      <c r="FV76" s="20"/>
      <c r="FW76" s="20"/>
      <c r="FX76" s="20"/>
      <c r="FY76" s="20"/>
      <c r="FZ76" s="20"/>
      <c r="GA76" s="20"/>
      <c r="GB76" s="20"/>
      <c r="GC76" s="20"/>
      <c r="GD76" s="20"/>
      <c r="GE76" s="20"/>
      <c r="GF76" s="20"/>
      <c r="GG76" s="20"/>
      <c r="GH76" s="20"/>
      <c r="GI76" s="20"/>
      <c r="GJ76" s="20"/>
      <c r="GK76" s="20"/>
      <c r="GL76" s="20"/>
      <c r="GM76" s="20"/>
      <c r="GN76" s="20"/>
      <c r="GO76" s="20"/>
      <c r="GP76" s="20"/>
      <c r="GQ76" s="20"/>
      <c r="GR76" s="20"/>
      <c r="GS76" s="20"/>
      <c r="GT76" s="20"/>
      <c r="GU76" s="20"/>
      <c r="GV76" s="20"/>
      <c r="GW76" s="20"/>
      <c r="GX76" s="20"/>
      <c r="GY76" s="20"/>
      <c r="GZ76" s="20"/>
      <c r="HA76" s="20"/>
      <c r="HB76" s="20"/>
      <c r="HC76" s="20"/>
      <c r="HD76" s="20"/>
      <c r="HE76" s="20"/>
      <c r="HF76" s="20"/>
      <c r="HG76" s="20"/>
      <c r="HH76" s="20"/>
      <c r="HI76" s="20"/>
      <c r="HJ76" s="20"/>
      <c r="HK76" s="20"/>
      <c r="HL76" s="20"/>
      <c r="HM76" s="20"/>
      <c r="HN76" s="20"/>
      <c r="HO76" s="20"/>
      <c r="HP76" s="20"/>
      <c r="HQ76" s="20"/>
      <c r="HR76" s="20"/>
      <c r="HS76" s="20"/>
      <c r="HT76" s="20"/>
      <c r="HU76" s="20"/>
      <c r="HV76" s="20"/>
      <c r="HW76" s="20"/>
      <c r="HX76" s="20"/>
      <c r="HY76" s="20"/>
      <c r="HZ76" s="20"/>
      <c r="IA76" s="20"/>
      <c r="IB76" s="20"/>
      <c r="IC76" s="20"/>
      <c r="ID76" s="20"/>
      <c r="IE76" s="20"/>
      <c r="IF76" s="20"/>
      <c r="IG76" s="20"/>
      <c r="IH76" s="20"/>
      <c r="II76" s="20"/>
      <c r="IJ76" s="20"/>
      <c r="IK76" s="20"/>
      <c r="IL76" s="20"/>
      <c r="IM76" s="20"/>
      <c r="IN76" s="20"/>
      <c r="IO76" s="20"/>
      <c r="IP76" s="20"/>
      <c r="IQ76" s="20"/>
      <c r="IR76" s="20"/>
      <c r="IS76" s="20"/>
      <c r="IT76" s="20"/>
      <c r="IU76" s="20"/>
      <c r="IV76" s="20"/>
      <c r="IW76" s="20"/>
      <c r="IX76" s="20"/>
      <c r="IY76" s="20"/>
      <c r="IZ76" s="20"/>
      <c r="JA76" s="20"/>
      <c r="JB76" s="20"/>
      <c r="JC76" s="20"/>
      <c r="JD76" s="20"/>
      <c r="JE76" s="20"/>
      <c r="JF76" s="20"/>
      <c r="JG76" s="20"/>
      <c r="JH76" s="20"/>
      <c r="JI76" s="20"/>
    </row>
    <row r="77" spans="1:269" ht="17.25" customHeight="1">
      <c r="A77" s="101"/>
      <c r="B77" s="20" t="s">
        <v>120</v>
      </c>
      <c r="C77" s="20" t="s">
        <v>147</v>
      </c>
      <c r="D77" s="83">
        <v>1663765</v>
      </c>
      <c r="E77" s="82">
        <v>8.9999999999999993E-3</v>
      </c>
      <c r="F77" s="82">
        <v>8.6999999999999994E-2</v>
      </c>
      <c r="G77" s="29"/>
      <c r="H77" s="83">
        <v>3101</v>
      </c>
      <c r="I77" s="104">
        <v>3319</v>
      </c>
      <c r="J77" s="29"/>
      <c r="K77" s="83">
        <v>27655</v>
      </c>
      <c r="L77" s="104">
        <v>6269</v>
      </c>
      <c r="M77" s="29"/>
      <c r="N77" s="144">
        <v>0.03</v>
      </c>
      <c r="O77" s="144">
        <v>0.02</v>
      </c>
      <c r="P77" s="29"/>
      <c r="Q77" s="85">
        <v>0</v>
      </c>
      <c r="R77" s="14"/>
      <c r="S77" s="15"/>
      <c r="T77" s="104">
        <v>15176</v>
      </c>
      <c r="U77" s="86">
        <v>-0.01</v>
      </c>
      <c r="V77" s="29"/>
      <c r="W77" s="83">
        <v>39266</v>
      </c>
      <c r="X77" s="82">
        <v>4.0000000000000001E-3</v>
      </c>
      <c r="Y77" s="29"/>
      <c r="Z77" s="104">
        <v>8054</v>
      </c>
      <c r="AA77" s="82">
        <v>-2.1000000000000001E-2</v>
      </c>
      <c r="AB77" s="29"/>
      <c r="AC77" s="83">
        <v>54396</v>
      </c>
      <c r="AD77" s="82">
        <v>-6.8000000000000005E-2</v>
      </c>
      <c r="AE77" s="29"/>
      <c r="AF77" s="104">
        <v>10952</v>
      </c>
      <c r="AG77" s="120">
        <v>-4.5999999999999999E-2</v>
      </c>
      <c r="AH77" s="85">
        <v>4.97</v>
      </c>
      <c r="AI77" s="84">
        <v>55.8</v>
      </c>
      <c r="AJ77" s="144">
        <v>330</v>
      </c>
      <c r="AK77" s="83">
        <v>637</v>
      </c>
      <c r="AL77" s="102">
        <v>96</v>
      </c>
      <c r="AM77" s="29"/>
      <c r="AN77" s="83">
        <v>6888</v>
      </c>
      <c r="AO77" s="83">
        <v>38021</v>
      </c>
      <c r="AP77" s="83">
        <v>9487</v>
      </c>
      <c r="AQ77" s="29"/>
      <c r="AR77" s="104">
        <v>1241</v>
      </c>
      <c r="AS77" s="104">
        <v>7493</v>
      </c>
      <c r="AT77" s="104">
        <v>2218</v>
      </c>
      <c r="AU77" s="29"/>
      <c r="AV77" s="83">
        <v>48517</v>
      </c>
      <c r="AW77" s="104">
        <v>9673</v>
      </c>
      <c r="AX77" s="29"/>
      <c r="AY77" s="120">
        <v>0.96499999999999997</v>
      </c>
      <c r="AZ77" s="120">
        <v>1.2E-2</v>
      </c>
      <c r="BA77" s="120">
        <v>1E-3</v>
      </c>
      <c r="BB77" s="82">
        <v>2.1999999999999999E-2</v>
      </c>
      <c r="BC77" s="29"/>
      <c r="BD77" s="144">
        <v>0</v>
      </c>
      <c r="BE77" s="89"/>
      <c r="BF77" s="94"/>
      <c r="BG77" s="144">
        <v>0</v>
      </c>
      <c r="BH77" s="144" t="s">
        <v>208</v>
      </c>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c r="DB77" s="20"/>
      <c r="DC77" s="20"/>
      <c r="DD77" s="20"/>
      <c r="DE77" s="20"/>
      <c r="DF77" s="20"/>
      <c r="DG77" s="20"/>
      <c r="DH77" s="20"/>
      <c r="DI77" s="20"/>
      <c r="DJ77" s="20"/>
      <c r="DK77" s="20"/>
      <c r="DL77" s="20"/>
      <c r="DM77" s="20"/>
      <c r="DN77" s="20"/>
      <c r="DO77" s="20"/>
      <c r="DP77" s="20"/>
      <c r="DQ77" s="20"/>
      <c r="DR77" s="20"/>
      <c r="DS77" s="20"/>
      <c r="DT77" s="20"/>
      <c r="DU77" s="20"/>
      <c r="DV77" s="20"/>
      <c r="DW77" s="20"/>
      <c r="DX77" s="20"/>
      <c r="DY77" s="20"/>
      <c r="DZ77" s="20"/>
      <c r="EA77" s="20"/>
      <c r="EB77" s="20"/>
      <c r="EC77" s="20"/>
      <c r="ED77" s="20"/>
      <c r="EE77" s="20"/>
      <c r="EF77" s="20"/>
      <c r="EG77" s="20"/>
      <c r="EH77" s="20"/>
      <c r="EI77" s="20"/>
      <c r="EJ77" s="20"/>
      <c r="EK77" s="20"/>
      <c r="EL77" s="20"/>
      <c r="EM77" s="20"/>
      <c r="EN77" s="20"/>
      <c r="EO77" s="20"/>
      <c r="EP77" s="20"/>
      <c r="EQ77" s="20"/>
      <c r="ER77" s="20"/>
      <c r="ES77" s="20"/>
      <c r="ET77" s="20"/>
      <c r="EU77" s="20"/>
      <c r="EV77" s="20"/>
      <c r="EW77" s="20"/>
      <c r="EX77" s="20"/>
      <c r="EY77" s="20"/>
      <c r="EZ77" s="20"/>
      <c r="FA77" s="20"/>
      <c r="FB77" s="20"/>
      <c r="FC77" s="20"/>
      <c r="FD77" s="20"/>
      <c r="FE77" s="20"/>
      <c r="FF77" s="20"/>
      <c r="FG77" s="20"/>
      <c r="FH77" s="20"/>
      <c r="FI77" s="20"/>
      <c r="FJ77" s="20"/>
      <c r="FK77" s="20"/>
      <c r="FL77" s="20"/>
      <c r="FM77" s="20"/>
      <c r="FN77" s="20"/>
      <c r="FO77" s="20"/>
      <c r="FP77" s="20"/>
      <c r="FQ77" s="20"/>
      <c r="FR77" s="20"/>
      <c r="FS77" s="20"/>
      <c r="FT77" s="20"/>
      <c r="FU77" s="20"/>
      <c r="FV77" s="20"/>
      <c r="FW77" s="20"/>
      <c r="FX77" s="20"/>
      <c r="FY77" s="20"/>
      <c r="FZ77" s="20"/>
      <c r="GA77" s="20"/>
      <c r="GB77" s="20"/>
      <c r="GC77" s="20"/>
      <c r="GD77" s="20"/>
      <c r="GE77" s="20"/>
      <c r="GF77" s="20"/>
      <c r="GG77" s="20"/>
      <c r="GH77" s="20"/>
      <c r="GI77" s="20"/>
      <c r="GJ77" s="20"/>
      <c r="GK77" s="20"/>
      <c r="GL77" s="20"/>
      <c r="GM77" s="20"/>
      <c r="GN77" s="20"/>
      <c r="GO77" s="20"/>
      <c r="GP77" s="20"/>
      <c r="GQ77" s="20"/>
      <c r="GR77" s="20"/>
      <c r="GS77" s="20"/>
      <c r="GT77" s="20"/>
      <c r="GU77" s="20"/>
      <c r="GV77" s="20"/>
      <c r="GW77" s="20"/>
      <c r="GX77" s="20"/>
      <c r="GY77" s="20"/>
      <c r="GZ77" s="20"/>
      <c r="HA77" s="20"/>
      <c r="HB77" s="20"/>
      <c r="HC77" s="20"/>
      <c r="HD77" s="20"/>
      <c r="HE77" s="20"/>
      <c r="HF77" s="20"/>
      <c r="HG77" s="20"/>
      <c r="HH77" s="20"/>
      <c r="HI77" s="20"/>
      <c r="HJ77" s="20"/>
      <c r="HK77" s="20"/>
      <c r="HL77" s="20"/>
      <c r="HM77" s="20"/>
      <c r="HN77" s="20"/>
      <c r="HO77" s="20"/>
      <c r="HP77" s="20"/>
      <c r="HQ77" s="20"/>
      <c r="HR77" s="20"/>
      <c r="HS77" s="20"/>
      <c r="HT77" s="20"/>
      <c r="HU77" s="20"/>
      <c r="HV77" s="20"/>
      <c r="HW77" s="20"/>
      <c r="HX77" s="20"/>
      <c r="HY77" s="20"/>
      <c r="HZ77" s="20"/>
      <c r="IA77" s="20"/>
      <c r="IB77" s="20"/>
      <c r="IC77" s="20"/>
      <c r="ID77" s="20"/>
      <c r="IE77" s="20"/>
      <c r="IF77" s="20"/>
      <c r="IG77" s="20"/>
      <c r="IH77" s="20"/>
      <c r="II77" s="20"/>
      <c r="IJ77" s="20"/>
      <c r="IK77" s="20"/>
      <c r="IL77" s="20"/>
      <c r="IM77" s="20"/>
      <c r="IN77" s="20"/>
      <c r="IO77" s="20"/>
      <c r="IP77" s="20"/>
      <c r="IQ77" s="20"/>
      <c r="IR77" s="20"/>
      <c r="IS77" s="20"/>
      <c r="IT77" s="20"/>
      <c r="IU77" s="20"/>
      <c r="IV77" s="20"/>
      <c r="IW77" s="20"/>
      <c r="IX77" s="20"/>
      <c r="IY77" s="20"/>
      <c r="IZ77" s="20"/>
      <c r="JA77" s="20"/>
      <c r="JB77" s="20"/>
      <c r="JC77" s="20"/>
      <c r="JD77" s="20"/>
      <c r="JE77" s="20"/>
      <c r="JF77" s="20"/>
      <c r="JG77" s="20"/>
      <c r="JH77" s="20"/>
      <c r="JI77" s="20"/>
    </row>
    <row r="78" spans="1:269" ht="17.25" customHeight="1">
      <c r="A78" s="101"/>
      <c r="B78" s="20" t="s">
        <v>119</v>
      </c>
      <c r="C78" s="20" t="s">
        <v>145</v>
      </c>
      <c r="D78" s="83">
        <v>1679784</v>
      </c>
      <c r="E78" s="86">
        <v>0.01</v>
      </c>
      <c r="F78" s="82">
        <v>8.7999999999999995E-2</v>
      </c>
      <c r="G78" s="29"/>
      <c r="H78" s="83">
        <v>3110</v>
      </c>
      <c r="I78" s="104">
        <v>3237</v>
      </c>
      <c r="J78" s="29"/>
      <c r="K78" s="83">
        <v>27426</v>
      </c>
      <c r="L78" s="104">
        <v>6209</v>
      </c>
      <c r="M78" s="29"/>
      <c r="N78" s="145">
        <v>0.03</v>
      </c>
      <c r="O78" s="145">
        <v>0.02</v>
      </c>
      <c r="P78" s="29"/>
      <c r="Q78" s="85">
        <v>0</v>
      </c>
      <c r="R78" s="14"/>
      <c r="S78" s="15"/>
      <c r="T78" s="104">
        <v>13927</v>
      </c>
      <c r="U78" s="82">
        <v>-8.2000000000000003E-2</v>
      </c>
      <c r="V78" s="29"/>
      <c r="W78" s="83">
        <v>39620</v>
      </c>
      <c r="X78" s="82">
        <v>8.9999999999999993E-3</v>
      </c>
      <c r="Y78" s="29"/>
      <c r="Z78" s="104">
        <v>8098</v>
      </c>
      <c r="AA78" s="82">
        <v>5.0000000000000001E-3</v>
      </c>
      <c r="AB78" s="29"/>
      <c r="AC78" s="83">
        <v>54310</v>
      </c>
      <c r="AD78" s="82">
        <v>-2E-3</v>
      </c>
      <c r="AE78" s="29"/>
      <c r="AF78" s="104">
        <v>10895</v>
      </c>
      <c r="AG78" s="120">
        <v>-5.0000000000000001E-3</v>
      </c>
      <c r="AH78" s="85">
        <v>4.9800000000000004</v>
      </c>
      <c r="AI78" s="84">
        <v>54.3</v>
      </c>
      <c r="AJ78" s="145">
        <v>330</v>
      </c>
      <c r="AK78" s="83">
        <v>805</v>
      </c>
      <c r="AL78" s="102">
        <v>126</v>
      </c>
      <c r="AM78" s="29"/>
      <c r="AN78" s="83">
        <v>7459</v>
      </c>
      <c r="AO78" s="83">
        <v>36267</v>
      </c>
      <c r="AP78" s="83">
        <v>10584</v>
      </c>
      <c r="AQ78" s="29"/>
      <c r="AR78" s="104">
        <v>1287</v>
      </c>
      <c r="AS78" s="104">
        <v>7080</v>
      </c>
      <c r="AT78" s="104">
        <v>2528</v>
      </c>
      <c r="AU78" s="29"/>
      <c r="AV78" s="83">
        <v>48369</v>
      </c>
      <c r="AW78" s="104">
        <v>9559</v>
      </c>
      <c r="AX78" s="29"/>
      <c r="AY78" s="120">
        <v>0.97499999999999998</v>
      </c>
      <c r="AZ78" s="120">
        <v>1.0999999999999999E-2</v>
      </c>
      <c r="BA78" s="121">
        <v>0</v>
      </c>
      <c r="BB78" s="82">
        <v>1.4E-2</v>
      </c>
      <c r="BC78" s="29"/>
      <c r="BD78" s="145">
        <v>0</v>
      </c>
      <c r="BE78" s="89"/>
      <c r="BF78" s="94"/>
      <c r="BG78" s="145">
        <v>0</v>
      </c>
      <c r="BH78" s="145" t="s">
        <v>208</v>
      </c>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c r="DB78" s="20"/>
      <c r="DC78" s="20"/>
      <c r="DD78" s="20"/>
      <c r="DE78" s="20"/>
      <c r="DF78" s="20"/>
      <c r="DG78" s="20"/>
      <c r="DH78" s="20"/>
      <c r="DI78" s="20"/>
      <c r="DJ78" s="20"/>
      <c r="DK78" s="20"/>
      <c r="DL78" s="20"/>
      <c r="DM78" s="20"/>
      <c r="DN78" s="20"/>
      <c r="DO78" s="20"/>
      <c r="DP78" s="20"/>
      <c r="DQ78" s="20"/>
      <c r="DR78" s="20"/>
      <c r="DS78" s="20"/>
      <c r="DT78" s="20"/>
      <c r="DU78" s="20"/>
      <c r="DV78" s="20"/>
      <c r="DW78" s="20"/>
      <c r="DX78" s="20"/>
      <c r="DY78" s="20"/>
      <c r="DZ78" s="20"/>
      <c r="EA78" s="20"/>
      <c r="EB78" s="20"/>
      <c r="EC78" s="20"/>
      <c r="ED78" s="20"/>
      <c r="EE78" s="20"/>
      <c r="EF78" s="20"/>
      <c r="EG78" s="20"/>
      <c r="EH78" s="20"/>
      <c r="EI78" s="20"/>
      <c r="EJ78" s="20"/>
      <c r="EK78" s="20"/>
      <c r="EL78" s="20"/>
      <c r="EM78" s="20"/>
      <c r="EN78" s="20"/>
      <c r="EO78" s="20"/>
      <c r="EP78" s="20"/>
      <c r="EQ78" s="20"/>
      <c r="ER78" s="20"/>
      <c r="ES78" s="20"/>
      <c r="ET78" s="20"/>
      <c r="EU78" s="20"/>
      <c r="EV78" s="20"/>
      <c r="EW78" s="20"/>
      <c r="EX78" s="20"/>
      <c r="EY78" s="20"/>
      <c r="EZ78" s="20"/>
      <c r="FA78" s="20"/>
      <c r="FB78" s="20"/>
      <c r="FC78" s="20"/>
      <c r="FD78" s="20"/>
      <c r="FE78" s="20"/>
      <c r="FF78" s="20"/>
      <c r="FG78" s="20"/>
      <c r="FH78" s="20"/>
      <c r="FI78" s="20"/>
      <c r="FJ78" s="20"/>
      <c r="FK78" s="20"/>
      <c r="FL78" s="20"/>
      <c r="FM78" s="20"/>
      <c r="FN78" s="20"/>
      <c r="FO78" s="20"/>
      <c r="FP78" s="20"/>
      <c r="FQ78" s="20"/>
      <c r="FR78" s="20"/>
      <c r="FS78" s="20"/>
      <c r="FT78" s="20"/>
      <c r="FU78" s="20"/>
      <c r="FV78" s="20"/>
      <c r="FW78" s="20"/>
      <c r="FX78" s="20"/>
      <c r="FY78" s="20"/>
      <c r="FZ78" s="20"/>
      <c r="GA78" s="20"/>
      <c r="GB78" s="20"/>
      <c r="GC78" s="20"/>
      <c r="GD78" s="20"/>
      <c r="GE78" s="20"/>
      <c r="GF78" s="20"/>
      <c r="GG78" s="20"/>
      <c r="GH78" s="20"/>
      <c r="GI78" s="20"/>
      <c r="GJ78" s="20"/>
      <c r="GK78" s="20"/>
      <c r="GL78" s="20"/>
      <c r="GM78" s="20"/>
      <c r="GN78" s="20"/>
      <c r="GO78" s="20"/>
      <c r="GP78" s="20"/>
      <c r="GQ78" s="20"/>
      <c r="GR78" s="20"/>
      <c r="GS78" s="20"/>
      <c r="GT78" s="20"/>
      <c r="GU78" s="20"/>
      <c r="GV78" s="20"/>
      <c r="GW78" s="20"/>
      <c r="GX78" s="20"/>
      <c r="GY78" s="20"/>
      <c r="GZ78" s="20"/>
      <c r="HA78" s="20"/>
      <c r="HB78" s="20"/>
      <c r="HC78" s="20"/>
      <c r="HD78" s="20"/>
      <c r="HE78" s="20"/>
      <c r="HF78" s="20"/>
      <c r="HG78" s="20"/>
      <c r="HH78" s="20"/>
      <c r="HI78" s="20"/>
      <c r="HJ78" s="20"/>
      <c r="HK78" s="20"/>
      <c r="HL78" s="20"/>
      <c r="HM78" s="20"/>
      <c r="HN78" s="20"/>
      <c r="HO78" s="20"/>
      <c r="HP78" s="20"/>
      <c r="HQ78" s="20"/>
      <c r="HR78" s="20"/>
      <c r="HS78" s="20"/>
      <c r="HT78" s="20"/>
      <c r="HU78" s="20"/>
      <c r="HV78" s="20"/>
      <c r="HW78" s="20"/>
      <c r="HX78" s="20"/>
      <c r="HY78" s="20"/>
      <c r="HZ78" s="20"/>
      <c r="IA78" s="20"/>
      <c r="IB78" s="20"/>
      <c r="IC78" s="20"/>
      <c r="ID78" s="20"/>
      <c r="IE78" s="20"/>
      <c r="IF78" s="20"/>
      <c r="IG78" s="20"/>
      <c r="IH78" s="20"/>
      <c r="II78" s="20"/>
      <c r="IJ78" s="20"/>
      <c r="IK78" s="20"/>
      <c r="IL78" s="20"/>
      <c r="IM78" s="20"/>
      <c r="IN78" s="20"/>
      <c r="IO78" s="20"/>
      <c r="IP78" s="20"/>
      <c r="IQ78" s="20"/>
      <c r="IR78" s="20"/>
      <c r="IS78" s="20"/>
      <c r="IT78" s="20"/>
      <c r="IU78" s="20"/>
      <c r="IV78" s="20"/>
      <c r="IW78" s="20"/>
      <c r="IX78" s="20"/>
      <c r="IY78" s="20"/>
      <c r="IZ78" s="20"/>
      <c r="JA78" s="20"/>
      <c r="JB78" s="20"/>
      <c r="JC78" s="20"/>
      <c r="JD78" s="20"/>
      <c r="JE78" s="20"/>
      <c r="JF78" s="20"/>
      <c r="JG78" s="20"/>
      <c r="JH78" s="20"/>
      <c r="JI78" s="20"/>
    </row>
    <row r="79" spans="1:269" ht="17.25" customHeight="1">
      <c r="A79" s="101"/>
      <c r="B79" s="20" t="s">
        <v>118</v>
      </c>
      <c r="C79" s="20" t="s">
        <v>143</v>
      </c>
      <c r="D79" s="83">
        <v>1696982</v>
      </c>
      <c r="E79" s="86">
        <v>0.01</v>
      </c>
      <c r="F79" s="82">
        <v>9.0999999999999998E-2</v>
      </c>
      <c r="G79" s="29"/>
      <c r="H79" s="83">
        <v>3076</v>
      </c>
      <c r="I79" s="104">
        <v>3148</v>
      </c>
      <c r="J79" s="29"/>
      <c r="K79" s="83">
        <v>27249</v>
      </c>
      <c r="L79" s="104">
        <v>6131</v>
      </c>
      <c r="M79" s="29"/>
      <c r="N79" s="146">
        <v>0.03</v>
      </c>
      <c r="O79" s="146">
        <v>0.03</v>
      </c>
      <c r="P79" s="29"/>
      <c r="Q79" s="85">
        <v>0</v>
      </c>
      <c r="R79" s="14"/>
      <c r="S79" s="15"/>
      <c r="T79" s="104">
        <v>13327</v>
      </c>
      <c r="U79" s="82">
        <v>-4.2999999999999997E-2</v>
      </c>
      <c r="V79" s="29"/>
      <c r="W79" s="83">
        <v>40279</v>
      </c>
      <c r="X79" s="82">
        <v>1.7000000000000001E-2</v>
      </c>
      <c r="Y79" s="29"/>
      <c r="Z79" s="104">
        <v>8300</v>
      </c>
      <c r="AA79" s="82">
        <v>2.5000000000000001E-2</v>
      </c>
      <c r="AB79" s="29"/>
      <c r="AC79" s="83">
        <v>52893</v>
      </c>
      <c r="AD79" s="82">
        <v>-2.5999999999999999E-2</v>
      </c>
      <c r="AE79" s="29"/>
      <c r="AF79" s="104">
        <v>10341</v>
      </c>
      <c r="AG79" s="120">
        <v>-5.0999999999999997E-2</v>
      </c>
      <c r="AH79" s="85">
        <v>5.1100000000000003</v>
      </c>
      <c r="AI79" s="84">
        <v>55.3</v>
      </c>
      <c r="AJ79" s="146">
        <v>331</v>
      </c>
      <c r="AK79" s="83">
        <v>873</v>
      </c>
      <c r="AL79" s="102">
        <v>144</v>
      </c>
      <c r="AM79" s="29"/>
      <c r="AN79" s="83">
        <v>9057</v>
      </c>
      <c r="AO79" s="83">
        <v>32708</v>
      </c>
      <c r="AP79" s="83">
        <v>11128</v>
      </c>
      <c r="AQ79" s="29"/>
      <c r="AR79" s="104">
        <v>1631</v>
      </c>
      <c r="AS79" s="104">
        <v>6249</v>
      </c>
      <c r="AT79" s="104">
        <v>2461</v>
      </c>
      <c r="AU79" s="29"/>
      <c r="AV79" s="83">
        <v>47364</v>
      </c>
      <c r="AW79" s="104">
        <v>9165</v>
      </c>
      <c r="AX79" s="29"/>
      <c r="AY79" s="120">
        <v>0.96199999999999997</v>
      </c>
      <c r="AZ79" s="120">
        <v>8.9999999999999993E-3</v>
      </c>
      <c r="BA79" s="121">
        <v>0</v>
      </c>
      <c r="BB79" s="82">
        <v>2.8000000000000001E-2</v>
      </c>
      <c r="BC79" s="29"/>
      <c r="BD79" s="146">
        <v>0</v>
      </c>
      <c r="BE79" s="89"/>
      <c r="BF79" s="94"/>
      <c r="BG79" s="146">
        <v>0</v>
      </c>
      <c r="BH79" s="146" t="s">
        <v>208</v>
      </c>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c r="DB79" s="20"/>
      <c r="DC79" s="20"/>
      <c r="DD79" s="20"/>
      <c r="DE79" s="20"/>
      <c r="DF79" s="20"/>
      <c r="DG79" s="20"/>
      <c r="DH79" s="20"/>
      <c r="DI79" s="20"/>
      <c r="DJ79" s="20"/>
      <c r="DK79" s="20"/>
      <c r="DL79" s="20"/>
      <c r="DM79" s="20"/>
      <c r="DN79" s="20"/>
      <c r="DO79" s="20"/>
      <c r="DP79" s="20"/>
      <c r="DQ79" s="20"/>
      <c r="DR79" s="20"/>
      <c r="DS79" s="20"/>
      <c r="DT79" s="20"/>
      <c r="DU79" s="20"/>
      <c r="DV79" s="20"/>
      <c r="DW79" s="20"/>
      <c r="DX79" s="20"/>
      <c r="DY79" s="20"/>
      <c r="DZ79" s="20"/>
      <c r="EA79" s="20"/>
      <c r="EB79" s="20"/>
      <c r="EC79" s="20"/>
      <c r="ED79" s="20"/>
      <c r="EE79" s="20"/>
      <c r="EF79" s="20"/>
      <c r="EG79" s="20"/>
      <c r="EH79" s="20"/>
      <c r="EI79" s="20"/>
      <c r="EJ79" s="20"/>
      <c r="EK79" s="20"/>
      <c r="EL79" s="20"/>
      <c r="EM79" s="20"/>
      <c r="EN79" s="20"/>
      <c r="EO79" s="20"/>
      <c r="EP79" s="20"/>
      <c r="EQ79" s="20"/>
      <c r="ER79" s="20"/>
      <c r="ES79" s="20"/>
      <c r="ET79" s="20"/>
      <c r="EU79" s="20"/>
      <c r="EV79" s="20"/>
      <c r="EW79" s="20"/>
      <c r="EX79" s="20"/>
      <c r="EY79" s="20"/>
      <c r="EZ79" s="20"/>
      <c r="FA79" s="20"/>
      <c r="FB79" s="20"/>
      <c r="FC79" s="20"/>
      <c r="FD79" s="20"/>
      <c r="FE79" s="20"/>
      <c r="FF79" s="20"/>
      <c r="FG79" s="20"/>
      <c r="FH79" s="20"/>
      <c r="FI79" s="20"/>
      <c r="FJ79" s="20"/>
      <c r="FK79" s="20"/>
      <c r="FL79" s="20"/>
      <c r="FM79" s="20"/>
      <c r="FN79" s="20"/>
      <c r="FO79" s="20"/>
      <c r="FP79" s="20"/>
      <c r="FQ79" s="20"/>
      <c r="FR79" s="20"/>
      <c r="FS79" s="20"/>
      <c r="FT79" s="20"/>
      <c r="FU79" s="20"/>
      <c r="FV79" s="20"/>
      <c r="FW79" s="20"/>
      <c r="FX79" s="20"/>
      <c r="FY79" s="20"/>
      <c r="FZ79" s="20"/>
      <c r="GA79" s="20"/>
      <c r="GB79" s="20"/>
      <c r="GC79" s="20"/>
      <c r="GD79" s="20"/>
      <c r="GE79" s="20"/>
      <c r="GF79" s="20"/>
      <c r="GG79" s="20"/>
      <c r="GH79" s="20"/>
      <c r="GI79" s="20"/>
      <c r="GJ79" s="20"/>
      <c r="GK79" s="20"/>
      <c r="GL79" s="20"/>
      <c r="GM79" s="20"/>
      <c r="GN79" s="20"/>
      <c r="GO79" s="20"/>
      <c r="GP79" s="20"/>
      <c r="GQ79" s="20"/>
      <c r="GR79" s="20"/>
      <c r="GS79" s="20"/>
      <c r="GT79" s="20"/>
      <c r="GU79" s="20"/>
      <c r="GV79" s="20"/>
      <c r="GW79" s="20"/>
      <c r="GX79" s="20"/>
      <c r="GY79" s="20"/>
      <c r="GZ79" s="20"/>
      <c r="HA79" s="20"/>
      <c r="HB79" s="20"/>
      <c r="HC79" s="20"/>
      <c r="HD79" s="20"/>
      <c r="HE79" s="20"/>
      <c r="HF79" s="20"/>
      <c r="HG79" s="20"/>
      <c r="HH79" s="20"/>
      <c r="HI79" s="20"/>
      <c r="HJ79" s="20"/>
      <c r="HK79" s="20"/>
      <c r="HL79" s="20"/>
      <c r="HM79" s="20"/>
      <c r="HN79" s="20"/>
      <c r="HO79" s="20"/>
      <c r="HP79" s="20"/>
      <c r="HQ79" s="20"/>
      <c r="HR79" s="20"/>
      <c r="HS79" s="20"/>
      <c r="HT79" s="20"/>
      <c r="HU79" s="20"/>
      <c r="HV79" s="20"/>
      <c r="HW79" s="20"/>
      <c r="HX79" s="20"/>
      <c r="HY79" s="20"/>
      <c r="HZ79" s="20"/>
      <c r="IA79" s="20"/>
      <c r="IB79" s="20"/>
      <c r="IC79" s="20"/>
      <c r="ID79" s="20"/>
      <c r="IE79" s="20"/>
      <c r="IF79" s="20"/>
      <c r="IG79" s="20"/>
      <c r="IH79" s="20"/>
      <c r="II79" s="20"/>
      <c r="IJ79" s="20"/>
      <c r="IK79" s="20"/>
      <c r="IL79" s="20"/>
      <c r="IM79" s="20"/>
      <c r="IN79" s="20"/>
      <c r="IO79" s="20"/>
      <c r="IP79" s="20"/>
      <c r="IQ79" s="20"/>
      <c r="IR79" s="20"/>
      <c r="IS79" s="20"/>
      <c r="IT79" s="20"/>
      <c r="IU79" s="20"/>
      <c r="IV79" s="20"/>
      <c r="IW79" s="20"/>
      <c r="IX79" s="20"/>
      <c r="IY79" s="20"/>
      <c r="IZ79" s="20"/>
      <c r="JA79" s="20"/>
      <c r="JB79" s="20"/>
      <c r="JC79" s="20"/>
      <c r="JD79" s="20"/>
      <c r="JE79" s="20"/>
      <c r="JF79" s="20"/>
      <c r="JG79" s="20"/>
      <c r="JH79" s="20"/>
      <c r="JI79" s="20"/>
    </row>
    <row r="80" spans="1:269" ht="17.25" customHeight="1">
      <c r="A80" s="101"/>
      <c r="B80" s="20" t="s">
        <v>117</v>
      </c>
      <c r="C80" s="20" t="s">
        <v>141</v>
      </c>
      <c r="D80" s="83">
        <v>1707621</v>
      </c>
      <c r="E80" s="82">
        <v>6.0000000000000001E-3</v>
      </c>
      <c r="F80" s="82">
        <v>9.2999999999999999E-2</v>
      </c>
      <c r="G80" s="29"/>
      <c r="H80" s="83">
        <v>3053</v>
      </c>
      <c r="I80" s="104">
        <v>3080</v>
      </c>
      <c r="J80" s="29"/>
      <c r="K80" s="83">
        <v>27101</v>
      </c>
      <c r="L80" s="104">
        <v>6083</v>
      </c>
      <c r="M80" s="29"/>
      <c r="N80" s="147">
        <v>0.03</v>
      </c>
      <c r="O80" s="147">
        <v>0.02</v>
      </c>
      <c r="P80" s="29"/>
      <c r="Q80" s="85">
        <v>0</v>
      </c>
      <c r="R80" s="14"/>
      <c r="S80" s="15"/>
      <c r="T80" s="104">
        <v>11340</v>
      </c>
      <c r="U80" s="82">
        <v>-0.14899999999999999</v>
      </c>
      <c r="V80" s="29"/>
      <c r="W80" s="83">
        <v>31888</v>
      </c>
      <c r="X80" s="82">
        <v>-0.20799999999999999</v>
      </c>
      <c r="Y80" s="29"/>
      <c r="Z80" s="104">
        <v>6567</v>
      </c>
      <c r="AA80" s="82">
        <v>-0.20899999999999999</v>
      </c>
      <c r="AB80" s="29"/>
      <c r="AC80" s="83">
        <v>48997</v>
      </c>
      <c r="AD80" s="82">
        <v>-7.3999999999999996E-2</v>
      </c>
      <c r="AE80" s="29"/>
      <c r="AF80" s="104">
        <v>9628</v>
      </c>
      <c r="AG80" s="120">
        <v>-6.9000000000000006E-2</v>
      </c>
      <c r="AH80" s="85">
        <v>5.09</v>
      </c>
      <c r="AI80" s="84">
        <v>55.3</v>
      </c>
      <c r="AJ80" s="147">
        <v>333</v>
      </c>
      <c r="AK80" s="83">
        <v>1438</v>
      </c>
      <c r="AL80" s="102">
        <v>221</v>
      </c>
      <c r="AM80" s="29"/>
      <c r="AN80" s="83">
        <v>12412</v>
      </c>
      <c r="AO80" s="83">
        <v>26916</v>
      </c>
      <c r="AP80" s="83">
        <v>9669</v>
      </c>
      <c r="AQ80" s="29"/>
      <c r="AR80" s="104">
        <v>2130</v>
      </c>
      <c r="AS80" s="104">
        <v>5252</v>
      </c>
      <c r="AT80" s="104">
        <v>2246</v>
      </c>
      <c r="AU80" s="29"/>
      <c r="AV80" s="83">
        <v>44924</v>
      </c>
      <c r="AW80" s="104">
        <v>8756</v>
      </c>
      <c r="AX80" s="29"/>
      <c r="AY80" s="120">
        <v>0.97599999999999998</v>
      </c>
      <c r="AZ80" s="120">
        <v>7.0000000000000001E-3</v>
      </c>
      <c r="BA80" s="121">
        <v>0</v>
      </c>
      <c r="BB80" s="82">
        <v>1.6E-2</v>
      </c>
      <c r="BC80" s="29"/>
      <c r="BD80" s="147">
        <v>0</v>
      </c>
      <c r="BE80" s="89"/>
      <c r="BF80" s="94"/>
      <c r="BG80" s="147">
        <v>0</v>
      </c>
      <c r="BH80" s="147" t="s">
        <v>208</v>
      </c>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c r="CL80" s="20"/>
      <c r="CM80" s="20"/>
      <c r="CN80" s="20"/>
      <c r="CO80" s="20"/>
      <c r="CP80" s="20"/>
      <c r="CQ80" s="20"/>
      <c r="CR80" s="20"/>
      <c r="CS80" s="20"/>
      <c r="CT80" s="20"/>
      <c r="CU80" s="20"/>
      <c r="CV80" s="20"/>
      <c r="CW80" s="20"/>
      <c r="CX80" s="20"/>
      <c r="CY80" s="20"/>
      <c r="CZ80" s="20"/>
      <c r="DA80" s="20"/>
      <c r="DB80" s="20"/>
      <c r="DC80" s="20"/>
      <c r="DD80" s="20"/>
      <c r="DE80" s="20"/>
      <c r="DF80" s="20"/>
      <c r="DG80" s="20"/>
      <c r="DH80" s="20"/>
      <c r="DI80" s="20"/>
      <c r="DJ80" s="20"/>
      <c r="DK80" s="20"/>
      <c r="DL80" s="20"/>
      <c r="DM80" s="20"/>
      <c r="DN80" s="20"/>
      <c r="DO80" s="20"/>
      <c r="DP80" s="20"/>
      <c r="DQ80" s="20"/>
      <c r="DR80" s="20"/>
      <c r="DS80" s="20"/>
      <c r="DT80" s="20"/>
      <c r="DU80" s="20"/>
      <c r="DV80" s="20"/>
      <c r="DW80" s="20"/>
      <c r="DX80" s="20"/>
      <c r="DY80" s="20"/>
      <c r="DZ80" s="20"/>
      <c r="EA80" s="20"/>
      <c r="EB80" s="20"/>
      <c r="EC80" s="20"/>
      <c r="ED80" s="20"/>
      <c r="EE80" s="20"/>
      <c r="EF80" s="20"/>
      <c r="EG80" s="20"/>
      <c r="EH80" s="20"/>
      <c r="EI80" s="20"/>
      <c r="EJ80" s="20"/>
      <c r="EK80" s="20"/>
      <c r="EL80" s="20"/>
      <c r="EM80" s="20"/>
      <c r="EN80" s="20"/>
      <c r="EO80" s="20"/>
      <c r="EP80" s="20"/>
      <c r="EQ80" s="20"/>
      <c r="ER80" s="20"/>
      <c r="ES80" s="20"/>
      <c r="ET80" s="20"/>
      <c r="EU80" s="20"/>
      <c r="EV80" s="20"/>
      <c r="EW80" s="20"/>
      <c r="EX80" s="20"/>
      <c r="EY80" s="20"/>
      <c r="EZ80" s="20"/>
      <c r="FA80" s="20"/>
      <c r="FB80" s="20"/>
      <c r="FC80" s="20"/>
      <c r="FD80" s="20"/>
      <c r="FE80" s="20"/>
      <c r="FF80" s="20"/>
      <c r="FG80" s="20"/>
      <c r="FH80" s="20"/>
      <c r="FI80" s="20"/>
      <c r="FJ80" s="20"/>
      <c r="FK80" s="20"/>
      <c r="FL80" s="20"/>
      <c r="FM80" s="20"/>
      <c r="FN80" s="20"/>
      <c r="FO80" s="20"/>
      <c r="FP80" s="20"/>
      <c r="FQ80" s="20"/>
      <c r="FR80" s="20"/>
      <c r="FS80" s="20"/>
      <c r="FT80" s="20"/>
      <c r="FU80" s="20"/>
      <c r="FV80" s="20"/>
      <c r="FW80" s="20"/>
      <c r="FX80" s="20"/>
      <c r="FY80" s="20"/>
      <c r="FZ80" s="20"/>
      <c r="GA80" s="20"/>
      <c r="GB80" s="20"/>
      <c r="GC80" s="20"/>
      <c r="GD80" s="20"/>
      <c r="GE80" s="20"/>
      <c r="GF80" s="20"/>
      <c r="GG80" s="20"/>
      <c r="GH80" s="20"/>
      <c r="GI80" s="20"/>
      <c r="GJ80" s="20"/>
      <c r="GK80" s="20"/>
      <c r="GL80" s="20"/>
      <c r="GM80" s="20"/>
      <c r="GN80" s="20"/>
      <c r="GO80" s="20"/>
      <c r="GP80" s="20"/>
      <c r="GQ80" s="20"/>
      <c r="GR80" s="20"/>
      <c r="GS80" s="20"/>
      <c r="GT80" s="20"/>
      <c r="GU80" s="20"/>
      <c r="GV80" s="20"/>
      <c r="GW80" s="20"/>
      <c r="GX80" s="20"/>
      <c r="GY80" s="20"/>
      <c r="GZ80" s="20"/>
      <c r="HA80" s="20"/>
      <c r="HB80" s="20"/>
      <c r="HC80" s="20"/>
      <c r="HD80" s="20"/>
      <c r="HE80" s="20"/>
      <c r="HF80" s="20"/>
      <c r="HG80" s="20"/>
      <c r="HH80" s="20"/>
      <c r="HI80" s="20"/>
      <c r="HJ80" s="20"/>
      <c r="HK80" s="20"/>
      <c r="HL80" s="20"/>
      <c r="HM80" s="20"/>
      <c r="HN80" s="20"/>
      <c r="HO80" s="20"/>
      <c r="HP80" s="20"/>
      <c r="HQ80" s="20"/>
      <c r="HR80" s="20"/>
      <c r="HS80" s="20"/>
      <c r="HT80" s="20"/>
      <c r="HU80" s="20"/>
      <c r="HV80" s="20"/>
      <c r="HW80" s="20"/>
      <c r="HX80" s="20"/>
      <c r="HY80" s="20"/>
      <c r="HZ80" s="20"/>
      <c r="IA80" s="20"/>
      <c r="IB80" s="20"/>
      <c r="IC80" s="20"/>
      <c r="ID80" s="20"/>
      <c r="IE80" s="20"/>
      <c r="IF80" s="20"/>
      <c r="IG80" s="20"/>
      <c r="IH80" s="20"/>
      <c r="II80" s="20"/>
      <c r="IJ80" s="20"/>
      <c r="IK80" s="20"/>
      <c r="IL80" s="20"/>
      <c r="IM80" s="20"/>
      <c r="IN80" s="20"/>
      <c r="IO80" s="20"/>
      <c r="IP80" s="20"/>
      <c r="IQ80" s="20"/>
      <c r="IR80" s="20"/>
      <c r="IS80" s="20"/>
      <c r="IT80" s="20"/>
      <c r="IU80" s="20"/>
      <c r="IV80" s="20"/>
      <c r="IW80" s="20"/>
      <c r="IX80" s="20"/>
      <c r="IY80" s="20"/>
      <c r="IZ80" s="20"/>
      <c r="JA80" s="20"/>
      <c r="JB80" s="20"/>
      <c r="JC80" s="20"/>
      <c r="JD80" s="20"/>
      <c r="JE80" s="20"/>
      <c r="JF80" s="20"/>
      <c r="JG80" s="20"/>
      <c r="JH80" s="20"/>
      <c r="JI80" s="20"/>
    </row>
    <row r="81" spans="1:269" ht="17.25" customHeight="1">
      <c r="A81" s="101"/>
      <c r="B81" s="20" t="s">
        <v>116</v>
      </c>
      <c r="C81" s="20" t="s">
        <v>139</v>
      </c>
      <c r="D81" s="83">
        <v>1719948</v>
      </c>
      <c r="E81" s="82">
        <v>7.0000000000000001E-3</v>
      </c>
      <c r="F81" s="82">
        <v>9.4E-2</v>
      </c>
      <c r="G81" s="29"/>
      <c r="H81" s="83">
        <v>3041</v>
      </c>
      <c r="I81" s="104">
        <v>3009</v>
      </c>
      <c r="J81" s="29"/>
      <c r="K81" s="83">
        <v>27081</v>
      </c>
      <c r="L81" s="104">
        <v>6030</v>
      </c>
      <c r="M81" s="29"/>
      <c r="N81" s="148">
        <v>0.03</v>
      </c>
      <c r="O81" s="148">
        <v>0.02</v>
      </c>
      <c r="P81" s="29"/>
      <c r="Q81" s="85">
        <v>0</v>
      </c>
      <c r="R81" s="14"/>
      <c r="S81" s="15"/>
      <c r="T81" s="104">
        <v>12828</v>
      </c>
      <c r="U81" s="82">
        <v>0.13100000000000001</v>
      </c>
      <c r="V81" s="29"/>
      <c r="W81" s="83">
        <v>33379</v>
      </c>
      <c r="X81" s="82">
        <v>4.7E-2</v>
      </c>
      <c r="Y81" s="29"/>
      <c r="Z81" s="104">
        <v>6688</v>
      </c>
      <c r="AA81" s="82">
        <v>1.7999999999999999E-2</v>
      </c>
      <c r="AB81" s="29"/>
      <c r="AC81" s="83">
        <v>51365</v>
      </c>
      <c r="AD81" s="82">
        <v>4.8000000000000001E-2</v>
      </c>
      <c r="AE81" s="29"/>
      <c r="AF81" s="104">
        <v>10122</v>
      </c>
      <c r="AG81" s="120">
        <v>5.0999999999999997E-2</v>
      </c>
      <c r="AH81" s="85">
        <v>5.07</v>
      </c>
      <c r="AI81" s="84">
        <v>54.6</v>
      </c>
      <c r="AJ81" s="148">
        <v>333</v>
      </c>
      <c r="AK81" s="83">
        <v>953</v>
      </c>
      <c r="AL81" s="102">
        <v>151</v>
      </c>
      <c r="AM81" s="29"/>
      <c r="AN81" s="83">
        <v>14040</v>
      </c>
      <c r="AO81" s="83">
        <v>26079</v>
      </c>
      <c r="AP81" s="83">
        <v>11246</v>
      </c>
      <c r="AQ81" s="29"/>
      <c r="AR81" s="104">
        <v>2476</v>
      </c>
      <c r="AS81" s="104">
        <v>5148</v>
      </c>
      <c r="AT81" s="104">
        <v>2498</v>
      </c>
      <c r="AU81" s="29"/>
      <c r="AV81" s="83">
        <v>46470</v>
      </c>
      <c r="AW81" s="104">
        <v>9144</v>
      </c>
      <c r="AX81" s="29"/>
      <c r="AY81" s="120">
        <v>0.97499999999999998</v>
      </c>
      <c r="AZ81" s="120">
        <v>8.9999999999999993E-3</v>
      </c>
      <c r="BA81" s="120">
        <v>1E-3</v>
      </c>
      <c r="BB81" s="82">
        <v>1.4999999999999999E-2</v>
      </c>
      <c r="BC81" s="29"/>
      <c r="BD81" s="148">
        <v>0</v>
      </c>
      <c r="BE81" s="89"/>
      <c r="BF81" s="94"/>
      <c r="BG81" s="148">
        <v>0</v>
      </c>
      <c r="BH81" s="148" t="s">
        <v>208</v>
      </c>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c r="CK81" s="20"/>
      <c r="CL81" s="20"/>
      <c r="CM81" s="20"/>
      <c r="CN81" s="20"/>
      <c r="CO81" s="20"/>
      <c r="CP81" s="20"/>
      <c r="CQ81" s="20"/>
      <c r="CR81" s="20"/>
      <c r="CS81" s="20"/>
      <c r="CT81" s="20"/>
      <c r="CU81" s="20"/>
      <c r="CV81" s="20"/>
      <c r="CW81" s="20"/>
      <c r="CX81" s="20"/>
      <c r="CY81" s="20"/>
      <c r="CZ81" s="20"/>
      <c r="DA81" s="20"/>
      <c r="DB81" s="20"/>
      <c r="DC81" s="20"/>
      <c r="DD81" s="20"/>
      <c r="DE81" s="20"/>
      <c r="DF81" s="20"/>
      <c r="DG81" s="20"/>
      <c r="DH81" s="20"/>
      <c r="DI81" s="20"/>
      <c r="DJ81" s="20"/>
      <c r="DK81" s="20"/>
      <c r="DL81" s="20"/>
      <c r="DM81" s="20"/>
      <c r="DN81" s="20"/>
      <c r="DO81" s="20"/>
      <c r="DP81" s="20"/>
      <c r="DQ81" s="20"/>
      <c r="DR81" s="20"/>
      <c r="DS81" s="20"/>
      <c r="DT81" s="20"/>
      <c r="DU81" s="20"/>
      <c r="DV81" s="20"/>
      <c r="DW81" s="20"/>
      <c r="DX81" s="20"/>
      <c r="DY81" s="20"/>
      <c r="DZ81" s="20"/>
      <c r="EA81" s="20"/>
      <c r="EB81" s="20"/>
      <c r="EC81" s="20"/>
      <c r="ED81" s="20"/>
      <c r="EE81" s="20"/>
      <c r="EF81" s="20"/>
      <c r="EG81" s="20"/>
      <c r="EH81" s="20"/>
      <c r="EI81" s="20"/>
      <c r="EJ81" s="20"/>
      <c r="EK81" s="20"/>
      <c r="EL81" s="20"/>
      <c r="EM81" s="20"/>
      <c r="EN81" s="20"/>
      <c r="EO81" s="20"/>
      <c r="EP81" s="20"/>
      <c r="EQ81" s="20"/>
      <c r="ER81" s="20"/>
      <c r="ES81" s="20"/>
      <c r="ET81" s="20"/>
      <c r="EU81" s="20"/>
      <c r="EV81" s="20"/>
      <c r="EW81" s="20"/>
      <c r="EX81" s="20"/>
      <c r="EY81" s="20"/>
      <c r="EZ81" s="20"/>
      <c r="FA81" s="20"/>
      <c r="FB81" s="20"/>
      <c r="FC81" s="20"/>
      <c r="FD81" s="20"/>
      <c r="FE81" s="20"/>
      <c r="FF81" s="20"/>
      <c r="FG81" s="20"/>
      <c r="FH81" s="20"/>
      <c r="FI81" s="20"/>
      <c r="FJ81" s="20"/>
      <c r="FK81" s="20"/>
      <c r="FL81" s="20"/>
      <c r="FM81" s="20"/>
      <c r="FN81" s="20"/>
      <c r="FO81" s="20"/>
      <c r="FP81" s="20"/>
      <c r="FQ81" s="20"/>
      <c r="FR81" s="20"/>
      <c r="FS81" s="20"/>
      <c r="FT81" s="20"/>
      <c r="FU81" s="20"/>
      <c r="FV81" s="20"/>
      <c r="FW81" s="20"/>
      <c r="FX81" s="20"/>
      <c r="FY81" s="20"/>
      <c r="FZ81" s="20"/>
      <c r="GA81" s="20"/>
      <c r="GB81" s="20"/>
      <c r="GC81" s="20"/>
      <c r="GD81" s="20"/>
      <c r="GE81" s="20"/>
      <c r="GF81" s="20"/>
      <c r="GG81" s="20"/>
      <c r="GH81" s="20"/>
      <c r="GI81" s="20"/>
      <c r="GJ81" s="20"/>
      <c r="GK81" s="20"/>
      <c r="GL81" s="20"/>
      <c r="GM81" s="20"/>
      <c r="GN81" s="20"/>
      <c r="GO81" s="20"/>
      <c r="GP81" s="20"/>
      <c r="GQ81" s="20"/>
      <c r="GR81" s="20"/>
      <c r="GS81" s="20"/>
      <c r="GT81" s="20"/>
      <c r="GU81" s="20"/>
      <c r="GV81" s="20"/>
      <c r="GW81" s="20"/>
      <c r="GX81" s="20"/>
      <c r="GY81" s="20"/>
      <c r="GZ81" s="20"/>
      <c r="HA81" s="20"/>
      <c r="HB81" s="20"/>
      <c r="HC81" s="20"/>
      <c r="HD81" s="20"/>
      <c r="HE81" s="20"/>
      <c r="HF81" s="20"/>
      <c r="HG81" s="20"/>
      <c r="HH81" s="20"/>
      <c r="HI81" s="20"/>
      <c r="HJ81" s="20"/>
      <c r="HK81" s="20"/>
      <c r="HL81" s="20"/>
      <c r="HM81" s="20"/>
      <c r="HN81" s="20"/>
      <c r="HO81" s="20"/>
      <c r="HP81" s="20"/>
      <c r="HQ81" s="20"/>
      <c r="HR81" s="20"/>
      <c r="HS81" s="20"/>
      <c r="HT81" s="20"/>
      <c r="HU81" s="20"/>
      <c r="HV81" s="20"/>
      <c r="HW81" s="20"/>
      <c r="HX81" s="20"/>
      <c r="HY81" s="20"/>
      <c r="HZ81" s="20"/>
      <c r="IA81" s="20"/>
      <c r="IB81" s="20"/>
      <c r="IC81" s="20"/>
      <c r="ID81" s="20"/>
      <c r="IE81" s="20"/>
      <c r="IF81" s="20"/>
      <c r="IG81" s="20"/>
      <c r="IH81" s="20"/>
      <c r="II81" s="20"/>
      <c r="IJ81" s="20"/>
      <c r="IK81" s="20"/>
      <c r="IL81" s="20"/>
      <c r="IM81" s="20"/>
      <c r="IN81" s="20"/>
      <c r="IO81" s="20"/>
      <c r="IP81" s="20"/>
      <c r="IQ81" s="20"/>
      <c r="IR81" s="20"/>
      <c r="IS81" s="20"/>
      <c r="IT81" s="20"/>
      <c r="IU81" s="20"/>
      <c r="IV81" s="20"/>
      <c r="IW81" s="20"/>
      <c r="IX81" s="20"/>
      <c r="IY81" s="20"/>
      <c r="IZ81" s="20"/>
      <c r="JA81" s="20"/>
      <c r="JB81" s="20"/>
      <c r="JC81" s="20"/>
      <c r="JD81" s="20"/>
      <c r="JE81" s="20"/>
      <c r="JF81" s="20"/>
      <c r="JG81" s="20"/>
      <c r="JH81" s="20"/>
      <c r="JI81" s="20"/>
    </row>
    <row r="82" spans="1:269" ht="17.25" customHeight="1">
      <c r="A82" s="101"/>
      <c r="B82" s="20" t="s">
        <v>115</v>
      </c>
      <c r="C82" s="20" t="s">
        <v>123</v>
      </c>
      <c r="D82" s="83">
        <v>1736412</v>
      </c>
      <c r="E82" s="86">
        <v>0.01</v>
      </c>
      <c r="F82" s="82">
        <v>9.8000000000000004E-2</v>
      </c>
      <c r="G82" s="29"/>
      <c r="H82" s="83">
        <v>3047</v>
      </c>
      <c r="I82" s="104">
        <v>2929</v>
      </c>
      <c r="J82" s="29"/>
      <c r="K82" s="83">
        <v>27821</v>
      </c>
      <c r="L82" s="104">
        <v>6089</v>
      </c>
      <c r="M82" s="29"/>
      <c r="N82" s="149">
        <v>0.04</v>
      </c>
      <c r="O82" s="149">
        <v>0.03</v>
      </c>
      <c r="P82" s="29"/>
      <c r="Q82" s="85">
        <v>0</v>
      </c>
      <c r="R82" s="14"/>
      <c r="S82" s="15"/>
      <c r="T82" s="104">
        <v>10810</v>
      </c>
      <c r="U82" s="82">
        <v>-0.157</v>
      </c>
      <c r="V82" s="29"/>
      <c r="W82" s="83">
        <v>36311</v>
      </c>
      <c r="X82" s="82">
        <v>8.7999999999999995E-2</v>
      </c>
      <c r="Y82" s="29"/>
      <c r="Z82" s="104">
        <v>7091</v>
      </c>
      <c r="AA82" s="86">
        <v>0.06</v>
      </c>
      <c r="AB82" s="29"/>
      <c r="AC82" s="83">
        <v>44319</v>
      </c>
      <c r="AD82" s="82">
        <v>-0.13700000000000001</v>
      </c>
      <c r="AE82" s="29"/>
      <c r="AF82" s="104">
        <v>9000</v>
      </c>
      <c r="AG82" s="120">
        <v>-0.111</v>
      </c>
      <c r="AH82" s="85">
        <v>4.92</v>
      </c>
      <c r="AI82" s="84">
        <v>53.3</v>
      </c>
      <c r="AJ82" s="149">
        <v>329</v>
      </c>
      <c r="AK82" s="83">
        <v>498</v>
      </c>
      <c r="AL82" s="102">
        <v>77</v>
      </c>
      <c r="AM82" s="29"/>
      <c r="AN82" s="83">
        <v>8840</v>
      </c>
      <c r="AO82" s="83">
        <v>24719</v>
      </c>
      <c r="AP82" s="83">
        <v>10760</v>
      </c>
      <c r="AQ82" s="29"/>
      <c r="AR82" s="104">
        <v>1670</v>
      </c>
      <c r="AS82" s="104">
        <v>4923</v>
      </c>
      <c r="AT82" s="104">
        <v>2407</v>
      </c>
      <c r="AU82" s="29"/>
      <c r="AV82" s="83">
        <v>39228</v>
      </c>
      <c r="AW82" s="104">
        <v>7957</v>
      </c>
      <c r="AX82" s="29"/>
      <c r="AY82" s="120">
        <v>0.97199999999999998</v>
      </c>
      <c r="AZ82" s="120">
        <v>1.2E-2</v>
      </c>
      <c r="BA82" s="120">
        <v>1E-3</v>
      </c>
      <c r="BB82" s="82">
        <v>1.4999999999999999E-2</v>
      </c>
      <c r="BC82" s="29"/>
      <c r="BD82" s="149">
        <v>0</v>
      </c>
      <c r="BE82" s="89"/>
      <c r="BF82" s="94"/>
      <c r="BG82" s="149">
        <v>0</v>
      </c>
      <c r="BH82" s="149" t="s">
        <v>208</v>
      </c>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c r="CV82" s="20"/>
      <c r="CW82" s="20"/>
      <c r="CX82" s="20"/>
      <c r="CY82" s="20"/>
      <c r="CZ82" s="20"/>
      <c r="DA82" s="20"/>
      <c r="DB82" s="20"/>
      <c r="DC82" s="20"/>
      <c r="DD82" s="20"/>
      <c r="DE82" s="20"/>
      <c r="DF82" s="20"/>
      <c r="DG82" s="20"/>
      <c r="DH82" s="20"/>
      <c r="DI82" s="20"/>
      <c r="DJ82" s="20"/>
      <c r="DK82" s="20"/>
      <c r="DL82" s="20"/>
      <c r="DM82" s="20"/>
      <c r="DN82" s="20"/>
      <c r="DO82" s="20"/>
      <c r="DP82" s="20"/>
      <c r="DQ82" s="20"/>
      <c r="DR82" s="20"/>
      <c r="DS82" s="20"/>
      <c r="DT82" s="20"/>
      <c r="DU82" s="20"/>
      <c r="DV82" s="20"/>
      <c r="DW82" s="20"/>
      <c r="DX82" s="20"/>
      <c r="DY82" s="20"/>
      <c r="DZ82" s="20"/>
      <c r="EA82" s="20"/>
      <c r="EB82" s="20"/>
      <c r="EC82" s="20"/>
      <c r="ED82" s="20"/>
      <c r="EE82" s="20"/>
      <c r="EF82" s="20"/>
      <c r="EG82" s="20"/>
      <c r="EH82" s="20"/>
      <c r="EI82" s="20"/>
      <c r="EJ82" s="20"/>
      <c r="EK82" s="20"/>
      <c r="EL82" s="20"/>
      <c r="EM82" s="20"/>
      <c r="EN82" s="20"/>
      <c r="EO82" s="20"/>
      <c r="EP82" s="20"/>
      <c r="EQ82" s="20"/>
      <c r="ER82" s="20"/>
      <c r="ES82" s="20"/>
      <c r="ET82" s="20"/>
      <c r="EU82" s="20"/>
      <c r="EV82" s="20"/>
      <c r="EW82" s="20"/>
      <c r="EX82" s="20"/>
      <c r="EY82" s="20"/>
      <c r="EZ82" s="20"/>
      <c r="FA82" s="20"/>
      <c r="FB82" s="20"/>
      <c r="FC82" s="20"/>
      <c r="FD82" s="20"/>
      <c r="FE82" s="20"/>
      <c r="FF82" s="20"/>
      <c r="FG82" s="20"/>
      <c r="FH82" s="20"/>
      <c r="FI82" s="20"/>
      <c r="FJ82" s="20"/>
      <c r="FK82" s="20"/>
      <c r="FL82" s="20"/>
      <c r="FM82" s="20"/>
      <c r="FN82" s="20"/>
      <c r="FO82" s="20"/>
      <c r="FP82" s="20"/>
      <c r="FQ82" s="20"/>
      <c r="FR82" s="20"/>
      <c r="FS82" s="20"/>
      <c r="FT82" s="20"/>
      <c r="FU82" s="20"/>
      <c r="FV82" s="20"/>
      <c r="FW82" s="20"/>
      <c r="FX82" s="20"/>
      <c r="FY82" s="20"/>
      <c r="FZ82" s="20"/>
      <c r="GA82" s="20"/>
      <c r="GB82" s="20"/>
      <c r="GC82" s="20"/>
      <c r="GD82" s="20"/>
      <c r="GE82" s="20"/>
      <c r="GF82" s="20"/>
      <c r="GG82" s="20"/>
      <c r="GH82" s="20"/>
      <c r="GI82" s="20"/>
      <c r="GJ82" s="20"/>
      <c r="GK82" s="20"/>
      <c r="GL82" s="20"/>
      <c r="GM82" s="20"/>
      <c r="GN82" s="20"/>
      <c r="GO82" s="20"/>
      <c r="GP82" s="20"/>
      <c r="GQ82" s="20"/>
      <c r="GR82" s="20"/>
      <c r="GS82" s="20"/>
      <c r="GT82" s="20"/>
      <c r="GU82" s="20"/>
      <c r="GV82" s="20"/>
      <c r="GW82" s="20"/>
      <c r="GX82" s="20"/>
      <c r="GY82" s="20"/>
      <c r="GZ82" s="20"/>
      <c r="HA82" s="20"/>
      <c r="HB82" s="20"/>
      <c r="HC82" s="20"/>
      <c r="HD82" s="20"/>
      <c r="HE82" s="20"/>
      <c r="HF82" s="20"/>
      <c r="HG82" s="20"/>
      <c r="HH82" s="20"/>
      <c r="HI82" s="20"/>
      <c r="HJ82" s="20"/>
      <c r="HK82" s="20"/>
      <c r="HL82" s="20"/>
      <c r="HM82" s="20"/>
      <c r="HN82" s="20"/>
      <c r="HO82" s="20"/>
      <c r="HP82" s="20"/>
      <c r="HQ82" s="20"/>
      <c r="HR82" s="20"/>
      <c r="HS82" s="20"/>
      <c r="HT82" s="20"/>
      <c r="HU82" s="20"/>
      <c r="HV82" s="20"/>
      <c r="HW82" s="20"/>
      <c r="HX82" s="20"/>
      <c r="HY82" s="20"/>
      <c r="HZ82" s="20"/>
      <c r="IA82" s="20"/>
      <c r="IB82" s="20"/>
      <c r="IC82" s="20"/>
      <c r="ID82" s="20"/>
      <c r="IE82" s="20"/>
      <c r="IF82" s="20"/>
      <c r="IG82" s="20"/>
      <c r="IH82" s="20"/>
      <c r="II82" s="20"/>
      <c r="IJ82" s="20"/>
      <c r="IK82" s="20"/>
      <c r="IL82" s="20"/>
      <c r="IM82" s="20"/>
      <c r="IN82" s="20"/>
      <c r="IO82" s="20"/>
      <c r="IP82" s="20"/>
      <c r="IQ82" s="20"/>
      <c r="IR82" s="20"/>
      <c r="IS82" s="20"/>
      <c r="IT82" s="20"/>
      <c r="IU82" s="20"/>
      <c r="IV82" s="20"/>
      <c r="IW82" s="20"/>
      <c r="IX82" s="20"/>
      <c r="IY82" s="20"/>
      <c r="IZ82" s="20"/>
      <c r="JA82" s="20"/>
      <c r="JB82" s="20"/>
      <c r="JC82" s="20"/>
      <c r="JD82" s="20"/>
      <c r="JE82" s="20"/>
      <c r="JF82" s="20"/>
      <c r="JG82" s="20"/>
      <c r="JH82" s="20"/>
      <c r="JI82" s="20"/>
    </row>
    <row r="83" spans="1:269" ht="17.25" customHeight="1">
      <c r="A83" s="101"/>
      <c r="B83" s="20"/>
      <c r="C83" s="20"/>
      <c r="D83" s="83"/>
      <c r="E83" s="86"/>
      <c r="F83" s="82"/>
      <c r="G83" s="29"/>
      <c r="H83" s="83"/>
      <c r="I83" s="104"/>
      <c r="J83" s="29"/>
      <c r="K83" s="83"/>
      <c r="L83" s="104"/>
      <c r="M83" s="29"/>
      <c r="N83" s="150"/>
      <c r="O83" s="150"/>
      <c r="P83" s="29"/>
      <c r="Q83" s="85"/>
      <c r="R83" s="14"/>
      <c r="S83" s="15"/>
      <c r="T83" s="104"/>
      <c r="U83" s="82"/>
      <c r="V83" s="29"/>
      <c r="W83" s="83"/>
      <c r="X83" s="82"/>
      <c r="Y83" s="29"/>
      <c r="Z83" s="104"/>
      <c r="AA83" s="82"/>
      <c r="AB83" s="29"/>
      <c r="AC83" s="83"/>
      <c r="AD83" s="82"/>
      <c r="AE83" s="29"/>
      <c r="AF83" s="104"/>
      <c r="AG83" s="120"/>
      <c r="AH83" s="85"/>
      <c r="AI83" s="84"/>
      <c r="AJ83" s="150"/>
      <c r="AK83" s="83"/>
      <c r="AL83" s="102"/>
      <c r="AM83" s="29"/>
      <c r="AN83" s="83"/>
      <c r="AO83" s="83"/>
      <c r="AP83" s="83"/>
      <c r="AQ83" s="29"/>
      <c r="AR83" s="104"/>
      <c r="AS83" s="104"/>
      <c r="AT83" s="104"/>
      <c r="AU83" s="29"/>
      <c r="AV83" s="83"/>
      <c r="AW83" s="104"/>
      <c r="AX83" s="29"/>
      <c r="AY83" s="120"/>
      <c r="AZ83" s="120"/>
      <c r="BA83" s="120"/>
      <c r="BB83" s="82"/>
      <c r="BC83" s="29"/>
      <c r="BD83" s="150"/>
      <c r="BE83" s="89"/>
      <c r="BF83" s="94"/>
      <c r="BG83" s="150"/>
      <c r="BH83" s="15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c r="DA83" s="20"/>
      <c r="DB83" s="20"/>
      <c r="DC83" s="20"/>
      <c r="DD83" s="20"/>
      <c r="DE83" s="20"/>
      <c r="DF83" s="20"/>
      <c r="DG83" s="20"/>
      <c r="DH83" s="20"/>
      <c r="DI83" s="20"/>
      <c r="DJ83" s="20"/>
      <c r="DK83" s="20"/>
      <c r="DL83" s="20"/>
      <c r="DM83" s="20"/>
      <c r="DN83" s="20"/>
      <c r="DO83" s="20"/>
      <c r="DP83" s="20"/>
      <c r="DQ83" s="20"/>
      <c r="DR83" s="20"/>
      <c r="DS83" s="20"/>
      <c r="DT83" s="20"/>
      <c r="DU83" s="20"/>
      <c r="DV83" s="20"/>
      <c r="DW83" s="20"/>
      <c r="DX83" s="20"/>
      <c r="DY83" s="20"/>
      <c r="DZ83" s="20"/>
      <c r="EA83" s="20"/>
      <c r="EB83" s="20"/>
      <c r="EC83" s="20"/>
      <c r="ED83" s="20"/>
      <c r="EE83" s="20"/>
      <c r="EF83" s="20"/>
      <c r="EG83" s="20"/>
      <c r="EH83" s="20"/>
      <c r="EI83" s="20"/>
      <c r="EJ83" s="20"/>
      <c r="EK83" s="20"/>
      <c r="EL83" s="20"/>
      <c r="EM83" s="20"/>
      <c r="EN83" s="20"/>
      <c r="EO83" s="20"/>
      <c r="EP83" s="20"/>
      <c r="EQ83" s="20"/>
      <c r="ER83" s="20"/>
      <c r="ES83" s="20"/>
      <c r="ET83" s="20"/>
      <c r="EU83" s="20"/>
      <c r="EV83" s="20"/>
      <c r="EW83" s="20"/>
      <c r="EX83" s="20"/>
      <c r="EY83" s="20"/>
      <c r="EZ83" s="20"/>
      <c r="FA83" s="20"/>
      <c r="FB83" s="20"/>
      <c r="FC83" s="20"/>
      <c r="FD83" s="20"/>
      <c r="FE83" s="20"/>
      <c r="FF83" s="20"/>
      <c r="FG83" s="20"/>
      <c r="FH83" s="20"/>
      <c r="FI83" s="20"/>
      <c r="FJ83" s="20"/>
      <c r="FK83" s="20"/>
      <c r="FL83" s="20"/>
      <c r="FM83" s="20"/>
      <c r="FN83" s="20"/>
      <c r="FO83" s="20"/>
      <c r="FP83" s="20"/>
      <c r="FQ83" s="20"/>
      <c r="FR83" s="20"/>
      <c r="FS83" s="20"/>
      <c r="FT83" s="20"/>
      <c r="FU83" s="20"/>
      <c r="FV83" s="20"/>
      <c r="FW83" s="20"/>
      <c r="FX83" s="20"/>
      <c r="FY83" s="20"/>
      <c r="FZ83" s="20"/>
      <c r="GA83" s="20"/>
      <c r="GB83" s="20"/>
      <c r="GC83" s="20"/>
      <c r="GD83" s="20"/>
      <c r="GE83" s="20"/>
      <c r="GF83" s="20"/>
      <c r="GG83" s="20"/>
      <c r="GH83" s="20"/>
      <c r="GI83" s="20"/>
      <c r="GJ83" s="20"/>
      <c r="GK83" s="20"/>
      <c r="GL83" s="20"/>
      <c r="GM83" s="20"/>
      <c r="GN83" s="20"/>
      <c r="GO83" s="20"/>
      <c r="GP83" s="20"/>
      <c r="GQ83" s="20"/>
      <c r="GR83" s="20"/>
      <c r="GS83" s="20"/>
      <c r="GT83" s="20"/>
      <c r="GU83" s="20"/>
      <c r="GV83" s="20"/>
      <c r="GW83" s="20"/>
      <c r="GX83" s="20"/>
      <c r="GY83" s="20"/>
      <c r="GZ83" s="20"/>
      <c r="HA83" s="20"/>
      <c r="HB83" s="20"/>
      <c r="HC83" s="20"/>
      <c r="HD83" s="20"/>
      <c r="HE83" s="20"/>
      <c r="HF83" s="20"/>
      <c r="HG83" s="20"/>
      <c r="HH83" s="20"/>
      <c r="HI83" s="20"/>
      <c r="HJ83" s="20"/>
      <c r="HK83" s="20"/>
      <c r="HL83" s="20"/>
      <c r="HM83" s="20"/>
      <c r="HN83" s="20"/>
      <c r="HO83" s="20"/>
      <c r="HP83" s="20"/>
      <c r="HQ83" s="20"/>
      <c r="HR83" s="20"/>
      <c r="HS83" s="20"/>
      <c r="HT83" s="20"/>
      <c r="HU83" s="20"/>
      <c r="HV83" s="20"/>
      <c r="HW83" s="20"/>
      <c r="HX83" s="20"/>
      <c r="HY83" s="20"/>
      <c r="HZ83" s="20"/>
      <c r="IA83" s="20"/>
      <c r="IB83" s="20"/>
      <c r="IC83" s="20"/>
      <c r="ID83" s="20"/>
      <c r="IE83" s="20"/>
      <c r="IF83" s="20"/>
      <c r="IG83" s="20"/>
      <c r="IH83" s="20"/>
      <c r="II83" s="20"/>
      <c r="IJ83" s="20"/>
      <c r="IK83" s="20"/>
      <c r="IL83" s="20"/>
      <c r="IM83" s="20"/>
      <c r="IN83" s="20"/>
      <c r="IO83" s="20"/>
      <c r="IP83" s="20"/>
      <c r="IQ83" s="20"/>
      <c r="IR83" s="20"/>
      <c r="IS83" s="20"/>
      <c r="IT83" s="20"/>
      <c r="IU83" s="20"/>
      <c r="IV83" s="20"/>
      <c r="IW83" s="20"/>
      <c r="IX83" s="20"/>
      <c r="IY83" s="20"/>
      <c r="IZ83" s="20"/>
      <c r="JA83" s="20"/>
      <c r="JB83" s="20"/>
      <c r="JC83" s="20"/>
      <c r="JD83" s="20"/>
      <c r="JE83" s="20"/>
      <c r="JF83" s="20"/>
      <c r="JG83" s="20"/>
      <c r="JH83" s="20"/>
      <c r="JI83" s="20"/>
    </row>
    <row r="84" spans="1:269" ht="17.25" customHeight="1">
      <c r="A84" s="101">
        <v>2022</v>
      </c>
      <c r="B84" s="20" t="s">
        <v>114</v>
      </c>
      <c r="C84" s="20" t="s">
        <v>135</v>
      </c>
      <c r="D84" s="83">
        <v>1746841</v>
      </c>
      <c r="E84" s="82">
        <v>6.0000000000000001E-3</v>
      </c>
      <c r="F84" s="82">
        <v>9.8000000000000004E-2</v>
      </c>
      <c r="G84" s="29"/>
      <c r="H84" s="83">
        <v>3034</v>
      </c>
      <c r="I84" s="104">
        <v>2877</v>
      </c>
      <c r="J84" s="29"/>
      <c r="K84" s="83">
        <v>27349</v>
      </c>
      <c r="L84" s="104">
        <v>5973</v>
      </c>
      <c r="M84" s="29"/>
      <c r="N84" s="150">
        <v>0.03</v>
      </c>
      <c r="O84" s="150">
        <v>0.03</v>
      </c>
      <c r="P84" s="29"/>
      <c r="Q84" s="85">
        <v>0</v>
      </c>
      <c r="R84" s="14"/>
      <c r="S84" s="15"/>
      <c r="T84" s="104">
        <v>10501</v>
      </c>
      <c r="U84" s="82">
        <v>-2.9000000000000001E-2</v>
      </c>
      <c r="V84" s="29"/>
      <c r="W84" s="83">
        <v>31343</v>
      </c>
      <c r="X84" s="82">
        <v>-0.13700000000000001</v>
      </c>
      <c r="Y84" s="29"/>
      <c r="Z84" s="104">
        <v>6534</v>
      </c>
      <c r="AA84" s="82">
        <v>-7.9000000000000001E-2</v>
      </c>
      <c r="AB84" s="29"/>
      <c r="AC84" s="83">
        <v>42240</v>
      </c>
      <c r="AD84" s="82">
        <v>-4.7E-2</v>
      </c>
      <c r="AE84" s="29"/>
      <c r="AF84" s="104">
        <v>8607</v>
      </c>
      <c r="AG84" s="120">
        <v>-4.3999999999999997E-2</v>
      </c>
      <c r="AH84" s="85">
        <v>4.91</v>
      </c>
      <c r="AI84" s="84">
        <v>54.2</v>
      </c>
      <c r="AJ84" s="150">
        <v>331</v>
      </c>
      <c r="AK84" s="83">
        <v>367</v>
      </c>
      <c r="AL84" s="102">
        <v>51</v>
      </c>
      <c r="AM84" s="29"/>
      <c r="AN84" s="83">
        <v>6979</v>
      </c>
      <c r="AO84" s="83">
        <v>23999</v>
      </c>
      <c r="AP84" s="83">
        <v>11262</v>
      </c>
      <c r="AQ84" s="29"/>
      <c r="AR84" s="104">
        <v>1300</v>
      </c>
      <c r="AS84" s="104">
        <v>4793</v>
      </c>
      <c r="AT84" s="104">
        <v>2514</v>
      </c>
      <c r="AU84" s="29"/>
      <c r="AV84" s="83">
        <v>37753</v>
      </c>
      <c r="AW84" s="104">
        <v>7625</v>
      </c>
      <c r="AX84" s="29"/>
      <c r="AY84" s="120">
        <v>0.96499999999999997</v>
      </c>
      <c r="AZ84" s="120">
        <v>1.6E-2</v>
      </c>
      <c r="BA84" s="120">
        <v>1E-3</v>
      </c>
      <c r="BB84" s="82">
        <v>1.7999999999999999E-2</v>
      </c>
      <c r="BC84" s="29"/>
      <c r="BD84" s="150">
        <v>0</v>
      </c>
      <c r="BE84" s="89"/>
      <c r="BF84" s="94"/>
      <c r="BG84" s="150">
        <v>0</v>
      </c>
      <c r="BH84" s="150" t="s">
        <v>208</v>
      </c>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c r="CK84" s="20"/>
      <c r="CL84" s="20"/>
      <c r="CM84" s="20"/>
      <c r="CN84" s="20"/>
      <c r="CO84" s="20"/>
      <c r="CP84" s="20"/>
      <c r="CQ84" s="20"/>
      <c r="CR84" s="20"/>
      <c r="CS84" s="20"/>
      <c r="CT84" s="20"/>
      <c r="CU84" s="20"/>
      <c r="CV84" s="20"/>
      <c r="CW84" s="20"/>
      <c r="CX84" s="20"/>
      <c r="CY84" s="20"/>
      <c r="CZ84" s="20"/>
      <c r="DA84" s="20"/>
      <c r="DB84" s="20"/>
      <c r="DC84" s="20"/>
      <c r="DD84" s="20"/>
      <c r="DE84" s="20"/>
      <c r="DF84" s="20"/>
      <c r="DG84" s="20"/>
      <c r="DH84" s="20"/>
      <c r="DI84" s="20"/>
      <c r="DJ84" s="20"/>
      <c r="DK84" s="20"/>
      <c r="DL84" s="20"/>
      <c r="DM84" s="20"/>
      <c r="DN84" s="20"/>
      <c r="DO84" s="20"/>
      <c r="DP84" s="20"/>
      <c r="DQ84" s="20"/>
      <c r="DR84" s="20"/>
      <c r="DS84" s="20"/>
      <c r="DT84" s="20"/>
      <c r="DU84" s="20"/>
      <c r="DV84" s="20"/>
      <c r="DW84" s="20"/>
      <c r="DX84" s="20"/>
      <c r="DY84" s="20"/>
      <c r="DZ84" s="20"/>
      <c r="EA84" s="20"/>
      <c r="EB84" s="20"/>
      <c r="EC84" s="20"/>
      <c r="ED84" s="20"/>
      <c r="EE84" s="20"/>
      <c r="EF84" s="20"/>
      <c r="EG84" s="20"/>
      <c r="EH84" s="20"/>
      <c r="EI84" s="20"/>
      <c r="EJ84" s="20"/>
      <c r="EK84" s="20"/>
      <c r="EL84" s="20"/>
      <c r="EM84" s="20"/>
      <c r="EN84" s="20"/>
      <c r="EO84" s="20"/>
      <c r="EP84" s="20"/>
      <c r="EQ84" s="20"/>
      <c r="ER84" s="20"/>
      <c r="ES84" s="20"/>
      <c r="ET84" s="20"/>
      <c r="EU84" s="20"/>
      <c r="EV84" s="20"/>
      <c r="EW84" s="20"/>
      <c r="EX84" s="20"/>
      <c r="EY84" s="20"/>
      <c r="EZ84" s="20"/>
      <c r="FA84" s="20"/>
      <c r="FB84" s="20"/>
      <c r="FC84" s="20"/>
      <c r="FD84" s="20"/>
      <c r="FE84" s="20"/>
      <c r="FF84" s="20"/>
      <c r="FG84" s="20"/>
      <c r="FH84" s="20"/>
      <c r="FI84" s="20"/>
      <c r="FJ84" s="20"/>
      <c r="FK84" s="20"/>
      <c r="FL84" s="20"/>
      <c r="FM84" s="20"/>
      <c r="FN84" s="20"/>
      <c r="FO84" s="20"/>
      <c r="FP84" s="20"/>
      <c r="FQ84" s="20"/>
      <c r="FR84" s="20"/>
      <c r="FS84" s="20"/>
      <c r="FT84" s="20"/>
      <c r="FU84" s="20"/>
      <c r="FV84" s="20"/>
      <c r="FW84" s="20"/>
      <c r="FX84" s="20"/>
      <c r="FY84" s="20"/>
      <c r="FZ84" s="20"/>
      <c r="GA84" s="20"/>
      <c r="GB84" s="20"/>
      <c r="GC84" s="20"/>
      <c r="GD84" s="20"/>
      <c r="GE84" s="20"/>
      <c r="GF84" s="20"/>
      <c r="GG84" s="20"/>
      <c r="GH84" s="20"/>
      <c r="GI84" s="20"/>
      <c r="GJ84" s="20"/>
      <c r="GK84" s="20"/>
      <c r="GL84" s="20"/>
      <c r="GM84" s="20"/>
      <c r="GN84" s="20"/>
      <c r="GO84" s="20"/>
      <c r="GP84" s="20"/>
      <c r="GQ84" s="20"/>
      <c r="GR84" s="20"/>
      <c r="GS84" s="20"/>
      <c r="GT84" s="20"/>
      <c r="GU84" s="20"/>
      <c r="GV84" s="20"/>
      <c r="GW84" s="20"/>
      <c r="GX84" s="20"/>
      <c r="GY84" s="20"/>
      <c r="GZ84" s="20"/>
      <c r="HA84" s="20"/>
      <c r="HB84" s="20"/>
      <c r="HC84" s="20"/>
      <c r="HD84" s="20"/>
      <c r="HE84" s="20"/>
      <c r="HF84" s="20"/>
      <c r="HG84" s="20"/>
      <c r="HH84" s="20"/>
      <c r="HI84" s="20"/>
      <c r="HJ84" s="20"/>
      <c r="HK84" s="20"/>
      <c r="HL84" s="20"/>
      <c r="HM84" s="20"/>
      <c r="HN84" s="20"/>
      <c r="HO84" s="20"/>
      <c r="HP84" s="20"/>
      <c r="HQ84" s="20"/>
      <c r="HR84" s="20"/>
      <c r="HS84" s="20"/>
      <c r="HT84" s="20"/>
      <c r="HU84" s="20"/>
      <c r="HV84" s="20"/>
      <c r="HW84" s="20"/>
      <c r="HX84" s="20"/>
      <c r="HY84" s="20"/>
      <c r="HZ84" s="20"/>
      <c r="IA84" s="20"/>
      <c r="IB84" s="20"/>
      <c r="IC84" s="20"/>
      <c r="ID84" s="20"/>
      <c r="IE84" s="20"/>
      <c r="IF84" s="20"/>
      <c r="IG84" s="20"/>
      <c r="IH84" s="20"/>
      <c r="II84" s="20"/>
      <c r="IJ84" s="20"/>
      <c r="IK84" s="20"/>
      <c r="IL84" s="20"/>
      <c r="IM84" s="20"/>
      <c r="IN84" s="20"/>
      <c r="IO84" s="20"/>
      <c r="IP84" s="20"/>
      <c r="IQ84" s="20"/>
      <c r="IR84" s="20"/>
      <c r="IS84" s="20"/>
      <c r="IT84" s="20"/>
      <c r="IU84" s="20"/>
      <c r="IV84" s="20"/>
      <c r="IW84" s="20"/>
      <c r="IX84" s="20"/>
      <c r="IY84" s="20"/>
      <c r="IZ84" s="20"/>
      <c r="JA84" s="20"/>
      <c r="JB84" s="20"/>
      <c r="JC84" s="20"/>
      <c r="JD84" s="20"/>
      <c r="JE84" s="20"/>
      <c r="JF84" s="20"/>
      <c r="JG84" s="20"/>
      <c r="JH84" s="20"/>
      <c r="JI84" s="20"/>
    </row>
    <row r="85" spans="1:269" ht="17.25" customHeight="1">
      <c r="A85" s="101"/>
      <c r="B85" s="20" t="s">
        <v>113</v>
      </c>
      <c r="C85" s="20" t="s">
        <v>134</v>
      </c>
      <c r="D85" s="83">
        <v>1754332</v>
      </c>
      <c r="E85" s="82">
        <v>4.0000000000000001E-3</v>
      </c>
      <c r="F85" s="82">
        <v>9.9000000000000005E-2</v>
      </c>
      <c r="G85" s="29"/>
      <c r="H85" s="83">
        <v>3006</v>
      </c>
      <c r="I85" s="104">
        <v>2817</v>
      </c>
      <c r="J85" s="29"/>
      <c r="K85" s="83">
        <v>27032</v>
      </c>
      <c r="L85" s="104">
        <v>5893</v>
      </c>
      <c r="M85" s="29"/>
      <c r="N85" s="151">
        <v>0.04</v>
      </c>
      <c r="O85" s="151">
        <v>0.03</v>
      </c>
      <c r="P85" s="29"/>
      <c r="Q85" s="85">
        <v>0</v>
      </c>
      <c r="R85" s="14"/>
      <c r="S85" s="15"/>
      <c r="T85" s="104">
        <v>6592</v>
      </c>
      <c r="U85" s="82">
        <v>-0.372</v>
      </c>
      <c r="V85" s="29"/>
      <c r="W85" s="83">
        <v>23958</v>
      </c>
      <c r="X85" s="82">
        <v>-0.23599999999999999</v>
      </c>
      <c r="Y85" s="29"/>
      <c r="Z85" s="104">
        <v>5044</v>
      </c>
      <c r="AA85" s="82">
        <v>-0.22800000000000001</v>
      </c>
      <c r="AB85" s="29"/>
      <c r="AC85" s="83">
        <v>26328</v>
      </c>
      <c r="AD85" s="82">
        <v>-0.377</v>
      </c>
      <c r="AE85" s="29"/>
      <c r="AF85" s="104">
        <v>5274</v>
      </c>
      <c r="AG85" s="120">
        <v>-0.38700000000000001</v>
      </c>
      <c r="AH85" s="85">
        <v>4.99</v>
      </c>
      <c r="AI85" s="84">
        <v>55.3</v>
      </c>
      <c r="AJ85" s="151">
        <v>330</v>
      </c>
      <c r="AK85" s="83">
        <v>241</v>
      </c>
      <c r="AL85" s="102">
        <v>43</v>
      </c>
      <c r="AM85" s="29"/>
      <c r="AN85" s="83">
        <v>4475</v>
      </c>
      <c r="AO85" s="83">
        <v>14928</v>
      </c>
      <c r="AP85" s="83">
        <v>6924</v>
      </c>
      <c r="AQ85" s="29"/>
      <c r="AR85" s="104">
        <v>770</v>
      </c>
      <c r="AS85" s="104">
        <v>2964</v>
      </c>
      <c r="AT85" s="104">
        <v>1540</v>
      </c>
      <c r="AU85" s="29"/>
      <c r="AV85" s="83">
        <v>24075</v>
      </c>
      <c r="AW85" s="104">
        <v>4819</v>
      </c>
      <c r="AX85" s="29"/>
      <c r="AY85" s="120">
        <v>0.97299999999999998</v>
      </c>
      <c r="AZ85" s="120">
        <v>1.4E-2</v>
      </c>
      <c r="BA85" s="120">
        <v>1E-3</v>
      </c>
      <c r="BB85" s="82">
        <v>1.2E-2</v>
      </c>
      <c r="BC85" s="29"/>
      <c r="BD85" s="151">
        <v>0</v>
      </c>
      <c r="BE85" s="89"/>
      <c r="BF85" s="94"/>
      <c r="BG85" s="151">
        <v>0</v>
      </c>
      <c r="BH85" s="151" t="s">
        <v>208</v>
      </c>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c r="CK85" s="20"/>
      <c r="CL85" s="20"/>
      <c r="CM85" s="20"/>
      <c r="CN85" s="20"/>
      <c r="CO85" s="20"/>
      <c r="CP85" s="20"/>
      <c r="CQ85" s="20"/>
      <c r="CR85" s="20"/>
      <c r="CS85" s="20"/>
      <c r="CT85" s="20"/>
      <c r="CU85" s="20"/>
      <c r="CV85" s="20"/>
      <c r="CW85" s="20"/>
      <c r="CX85" s="20"/>
      <c r="CY85" s="20"/>
      <c r="CZ85" s="20"/>
      <c r="DA85" s="20"/>
      <c r="DB85" s="20"/>
      <c r="DC85" s="20"/>
      <c r="DD85" s="20"/>
      <c r="DE85" s="20"/>
      <c r="DF85" s="20"/>
      <c r="DG85" s="20"/>
      <c r="DH85" s="20"/>
      <c r="DI85" s="20"/>
      <c r="DJ85" s="20"/>
      <c r="DK85" s="20"/>
      <c r="DL85" s="20"/>
      <c r="DM85" s="20"/>
      <c r="DN85" s="20"/>
      <c r="DO85" s="20"/>
      <c r="DP85" s="20"/>
      <c r="DQ85" s="20"/>
      <c r="DR85" s="20"/>
      <c r="DS85" s="20"/>
      <c r="DT85" s="20"/>
      <c r="DU85" s="20"/>
      <c r="DV85" s="20"/>
      <c r="DW85" s="20"/>
      <c r="DX85" s="20"/>
      <c r="DY85" s="20"/>
      <c r="DZ85" s="20"/>
      <c r="EA85" s="20"/>
      <c r="EB85" s="20"/>
      <c r="EC85" s="20"/>
      <c r="ED85" s="20"/>
      <c r="EE85" s="20"/>
      <c r="EF85" s="20"/>
      <c r="EG85" s="20"/>
      <c r="EH85" s="20"/>
      <c r="EI85" s="20"/>
      <c r="EJ85" s="20"/>
      <c r="EK85" s="20"/>
      <c r="EL85" s="20"/>
      <c r="EM85" s="20"/>
      <c r="EN85" s="20"/>
      <c r="EO85" s="20"/>
      <c r="EP85" s="20"/>
      <c r="EQ85" s="20"/>
      <c r="ER85" s="20"/>
      <c r="ES85" s="20"/>
      <c r="ET85" s="20"/>
      <c r="EU85" s="20"/>
      <c r="EV85" s="20"/>
      <c r="EW85" s="20"/>
      <c r="EX85" s="20"/>
      <c r="EY85" s="20"/>
      <c r="EZ85" s="20"/>
      <c r="FA85" s="20"/>
      <c r="FB85" s="20"/>
      <c r="FC85" s="20"/>
      <c r="FD85" s="20"/>
      <c r="FE85" s="20"/>
      <c r="FF85" s="20"/>
      <c r="FG85" s="20"/>
      <c r="FH85" s="20"/>
      <c r="FI85" s="20"/>
      <c r="FJ85" s="20"/>
      <c r="FK85" s="20"/>
      <c r="FL85" s="20"/>
      <c r="FM85" s="20"/>
      <c r="FN85" s="20"/>
      <c r="FO85" s="20"/>
      <c r="FP85" s="20"/>
      <c r="FQ85" s="20"/>
      <c r="FR85" s="20"/>
      <c r="FS85" s="20"/>
      <c r="FT85" s="20"/>
      <c r="FU85" s="20"/>
      <c r="FV85" s="20"/>
      <c r="FW85" s="20"/>
      <c r="FX85" s="20"/>
      <c r="FY85" s="20"/>
      <c r="FZ85" s="20"/>
      <c r="GA85" s="20"/>
      <c r="GB85" s="20"/>
      <c r="GC85" s="20"/>
      <c r="GD85" s="20"/>
      <c r="GE85" s="20"/>
      <c r="GF85" s="20"/>
      <c r="GG85" s="20"/>
      <c r="GH85" s="20"/>
      <c r="GI85" s="20"/>
      <c r="GJ85" s="20"/>
      <c r="GK85" s="20"/>
      <c r="GL85" s="20"/>
      <c r="GM85" s="20"/>
      <c r="GN85" s="20"/>
      <c r="GO85" s="20"/>
      <c r="GP85" s="20"/>
      <c r="GQ85" s="20"/>
      <c r="GR85" s="20"/>
      <c r="GS85" s="20"/>
      <c r="GT85" s="20"/>
      <c r="GU85" s="20"/>
      <c r="GV85" s="20"/>
      <c r="GW85" s="20"/>
      <c r="GX85" s="20"/>
      <c r="GY85" s="20"/>
      <c r="GZ85" s="20"/>
      <c r="HA85" s="20"/>
      <c r="HB85" s="20"/>
      <c r="HC85" s="20"/>
      <c r="HD85" s="20"/>
      <c r="HE85" s="20"/>
      <c r="HF85" s="20"/>
      <c r="HG85" s="20"/>
      <c r="HH85" s="20"/>
      <c r="HI85" s="20"/>
      <c r="HJ85" s="20"/>
      <c r="HK85" s="20"/>
      <c r="HL85" s="20"/>
      <c r="HM85" s="20"/>
      <c r="HN85" s="20"/>
      <c r="HO85" s="20"/>
      <c r="HP85" s="20"/>
      <c r="HQ85" s="20"/>
      <c r="HR85" s="20"/>
      <c r="HS85" s="20"/>
      <c r="HT85" s="20"/>
      <c r="HU85" s="20"/>
      <c r="HV85" s="20"/>
      <c r="HW85" s="20"/>
      <c r="HX85" s="20"/>
      <c r="HY85" s="20"/>
      <c r="HZ85" s="20"/>
      <c r="IA85" s="20"/>
      <c r="IB85" s="20"/>
      <c r="IC85" s="20"/>
      <c r="ID85" s="20"/>
      <c r="IE85" s="20"/>
      <c r="IF85" s="20"/>
      <c r="IG85" s="20"/>
      <c r="IH85" s="20"/>
      <c r="II85" s="20"/>
      <c r="IJ85" s="20"/>
      <c r="IK85" s="20"/>
      <c r="IL85" s="20"/>
      <c r="IM85" s="20"/>
      <c r="IN85" s="20"/>
      <c r="IO85" s="20"/>
      <c r="IP85" s="20"/>
      <c r="IQ85" s="20"/>
      <c r="IR85" s="20"/>
      <c r="IS85" s="20"/>
      <c r="IT85" s="20"/>
      <c r="IU85" s="20"/>
      <c r="IV85" s="20"/>
      <c r="IW85" s="20"/>
      <c r="IX85" s="20"/>
      <c r="IY85" s="20"/>
      <c r="IZ85" s="20"/>
      <c r="JA85" s="20"/>
      <c r="JB85" s="20"/>
      <c r="JC85" s="20"/>
      <c r="JD85" s="20"/>
      <c r="JE85" s="20"/>
      <c r="JF85" s="20"/>
      <c r="JG85" s="20"/>
      <c r="JH85" s="20"/>
      <c r="JI85" s="20"/>
    </row>
    <row r="86" spans="1:269" ht="17.25" customHeight="1">
      <c r="A86" s="101"/>
      <c r="B86" s="20" t="s">
        <v>112</v>
      </c>
      <c r="C86" s="20" t="s">
        <v>157</v>
      </c>
      <c r="D86" s="83">
        <v>1760236</v>
      </c>
      <c r="E86" s="82">
        <v>3.0000000000000001E-3</v>
      </c>
      <c r="F86" s="82">
        <v>9.7000000000000003E-2</v>
      </c>
      <c r="G86" s="29"/>
      <c r="H86" s="83">
        <v>2991</v>
      </c>
      <c r="I86" s="104">
        <v>2713</v>
      </c>
      <c r="J86" s="29"/>
      <c r="K86" s="83">
        <v>26429</v>
      </c>
      <c r="L86" s="104">
        <v>5758</v>
      </c>
      <c r="M86" s="29"/>
      <c r="N86" s="152">
        <v>0.04</v>
      </c>
      <c r="O86" s="152">
        <v>0.03</v>
      </c>
      <c r="P86" s="29"/>
      <c r="Q86" s="85">
        <v>0</v>
      </c>
      <c r="R86" s="14"/>
      <c r="S86" s="15"/>
      <c r="T86" s="104">
        <v>9818</v>
      </c>
      <c r="U86" s="82">
        <v>0.48899999999999999</v>
      </c>
      <c r="V86" s="29"/>
      <c r="W86" s="83">
        <v>25671</v>
      </c>
      <c r="X86" s="82">
        <v>7.0999999999999994E-2</v>
      </c>
      <c r="Y86" s="29"/>
      <c r="Z86" s="104">
        <v>5311</v>
      </c>
      <c r="AA86" s="82">
        <v>5.2999999999999999E-2</v>
      </c>
      <c r="AB86" s="29"/>
      <c r="AC86" s="83">
        <v>34651</v>
      </c>
      <c r="AD86" s="82">
        <v>0.316</v>
      </c>
      <c r="AE86" s="29"/>
      <c r="AF86" s="104">
        <v>6837</v>
      </c>
      <c r="AG86" s="120">
        <v>0.29599999999999999</v>
      </c>
      <c r="AH86" s="85">
        <v>5.07</v>
      </c>
      <c r="AI86" s="84">
        <v>57.2</v>
      </c>
      <c r="AJ86" s="152">
        <v>333</v>
      </c>
      <c r="AK86" s="83">
        <v>391</v>
      </c>
      <c r="AL86" s="102">
        <v>60</v>
      </c>
      <c r="AM86" s="29"/>
      <c r="AN86" s="83">
        <v>6284</v>
      </c>
      <c r="AO86" s="83">
        <v>19420</v>
      </c>
      <c r="AP86" s="83">
        <v>8946</v>
      </c>
      <c r="AQ86" s="29"/>
      <c r="AR86" s="104">
        <v>1076</v>
      </c>
      <c r="AS86" s="104">
        <v>3792</v>
      </c>
      <c r="AT86" s="104">
        <v>1969</v>
      </c>
      <c r="AU86" s="29"/>
      <c r="AV86" s="83">
        <v>30724</v>
      </c>
      <c r="AW86" s="104">
        <v>5979</v>
      </c>
      <c r="AX86" s="29"/>
      <c r="AY86" s="120">
        <v>0.97099999999999997</v>
      </c>
      <c r="AZ86" s="121">
        <v>0.01</v>
      </c>
      <c r="BA86" s="121">
        <v>0</v>
      </c>
      <c r="BB86" s="82">
        <v>1.7999999999999999E-2</v>
      </c>
      <c r="BC86" s="29"/>
      <c r="BD86" s="152">
        <v>0</v>
      </c>
      <c r="BE86" s="89"/>
      <c r="BF86" s="94"/>
      <c r="BG86" s="152">
        <v>0</v>
      </c>
      <c r="BH86" s="152" t="s">
        <v>208</v>
      </c>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c r="CK86" s="20"/>
      <c r="CL86" s="20"/>
      <c r="CM86" s="20"/>
      <c r="CN86" s="20"/>
      <c r="CO86" s="20"/>
      <c r="CP86" s="20"/>
      <c r="CQ86" s="20"/>
      <c r="CR86" s="20"/>
      <c r="CS86" s="20"/>
      <c r="CT86" s="20"/>
      <c r="CU86" s="20"/>
      <c r="CV86" s="20"/>
      <c r="CW86" s="20"/>
      <c r="CX86" s="20"/>
      <c r="CY86" s="20"/>
      <c r="CZ86" s="20"/>
      <c r="DA86" s="20"/>
      <c r="DB86" s="20"/>
      <c r="DC86" s="20"/>
      <c r="DD86" s="20"/>
      <c r="DE86" s="20"/>
      <c r="DF86" s="20"/>
      <c r="DG86" s="20"/>
      <c r="DH86" s="20"/>
      <c r="DI86" s="20"/>
      <c r="DJ86" s="20"/>
      <c r="DK86" s="20"/>
      <c r="DL86" s="20"/>
      <c r="DM86" s="20"/>
      <c r="DN86" s="20"/>
      <c r="DO86" s="20"/>
      <c r="DP86" s="20"/>
      <c r="DQ86" s="20"/>
      <c r="DR86" s="20"/>
      <c r="DS86" s="20"/>
      <c r="DT86" s="20"/>
      <c r="DU86" s="20"/>
      <c r="DV86" s="20"/>
      <c r="DW86" s="20"/>
      <c r="DX86" s="20"/>
      <c r="DY86" s="20"/>
      <c r="DZ86" s="20"/>
      <c r="EA86" s="20"/>
      <c r="EB86" s="20"/>
      <c r="EC86" s="20"/>
      <c r="ED86" s="20"/>
      <c r="EE86" s="20"/>
      <c r="EF86" s="20"/>
      <c r="EG86" s="20"/>
      <c r="EH86" s="20"/>
      <c r="EI86" s="20"/>
      <c r="EJ86" s="20"/>
      <c r="EK86" s="20"/>
      <c r="EL86" s="20"/>
      <c r="EM86" s="20"/>
      <c r="EN86" s="20"/>
      <c r="EO86" s="20"/>
      <c r="EP86" s="20"/>
      <c r="EQ86" s="20"/>
      <c r="ER86" s="20"/>
      <c r="ES86" s="20"/>
      <c r="ET86" s="20"/>
      <c r="EU86" s="20"/>
      <c r="EV86" s="20"/>
      <c r="EW86" s="20"/>
      <c r="EX86" s="20"/>
      <c r="EY86" s="20"/>
      <c r="EZ86" s="20"/>
      <c r="FA86" s="20"/>
      <c r="FB86" s="20"/>
      <c r="FC86" s="20"/>
      <c r="FD86" s="20"/>
      <c r="FE86" s="20"/>
      <c r="FF86" s="20"/>
      <c r="FG86" s="20"/>
      <c r="FH86" s="20"/>
      <c r="FI86" s="20"/>
      <c r="FJ86" s="20"/>
      <c r="FK86" s="20"/>
      <c r="FL86" s="20"/>
      <c r="FM86" s="20"/>
      <c r="FN86" s="20"/>
      <c r="FO86" s="20"/>
      <c r="FP86" s="20"/>
      <c r="FQ86" s="20"/>
      <c r="FR86" s="20"/>
      <c r="FS86" s="20"/>
      <c r="FT86" s="20"/>
      <c r="FU86" s="20"/>
      <c r="FV86" s="20"/>
      <c r="FW86" s="20"/>
      <c r="FX86" s="20"/>
      <c r="FY86" s="20"/>
      <c r="FZ86" s="20"/>
      <c r="GA86" s="20"/>
      <c r="GB86" s="20"/>
      <c r="GC86" s="20"/>
      <c r="GD86" s="20"/>
      <c r="GE86" s="20"/>
      <c r="GF86" s="20"/>
      <c r="GG86" s="20"/>
      <c r="GH86" s="20"/>
      <c r="GI86" s="20"/>
      <c r="GJ86" s="20"/>
      <c r="GK86" s="20"/>
      <c r="GL86" s="20"/>
      <c r="GM86" s="20"/>
      <c r="GN86" s="20"/>
      <c r="GO86" s="20"/>
      <c r="GP86" s="20"/>
      <c r="GQ86" s="20"/>
      <c r="GR86" s="20"/>
      <c r="GS86" s="20"/>
      <c r="GT86" s="20"/>
      <c r="GU86" s="20"/>
      <c r="GV86" s="20"/>
      <c r="GW86" s="20"/>
      <c r="GX86" s="20"/>
      <c r="GY86" s="20"/>
      <c r="GZ86" s="20"/>
      <c r="HA86" s="20"/>
      <c r="HB86" s="20"/>
      <c r="HC86" s="20"/>
      <c r="HD86" s="20"/>
      <c r="HE86" s="20"/>
      <c r="HF86" s="20"/>
      <c r="HG86" s="20"/>
      <c r="HH86" s="20"/>
      <c r="HI86" s="20"/>
      <c r="HJ86" s="20"/>
      <c r="HK86" s="20"/>
      <c r="HL86" s="20"/>
      <c r="HM86" s="20"/>
      <c r="HN86" s="20"/>
      <c r="HO86" s="20"/>
      <c r="HP86" s="20"/>
      <c r="HQ86" s="20"/>
      <c r="HR86" s="20"/>
      <c r="HS86" s="20"/>
      <c r="HT86" s="20"/>
      <c r="HU86" s="20"/>
      <c r="HV86" s="20"/>
      <c r="HW86" s="20"/>
      <c r="HX86" s="20"/>
      <c r="HY86" s="20"/>
      <c r="HZ86" s="20"/>
      <c r="IA86" s="20"/>
      <c r="IB86" s="20"/>
      <c r="IC86" s="20"/>
      <c r="ID86" s="20"/>
      <c r="IE86" s="20"/>
      <c r="IF86" s="20"/>
      <c r="IG86" s="20"/>
      <c r="IH86" s="20"/>
      <c r="II86" s="20"/>
      <c r="IJ86" s="20"/>
      <c r="IK86" s="20"/>
      <c r="IL86" s="20"/>
      <c r="IM86" s="20"/>
      <c r="IN86" s="20"/>
      <c r="IO86" s="20"/>
      <c r="IP86" s="20"/>
      <c r="IQ86" s="20"/>
      <c r="IR86" s="20"/>
      <c r="IS86" s="20"/>
      <c r="IT86" s="20"/>
      <c r="IU86" s="20"/>
      <c r="IV86" s="20"/>
      <c r="IW86" s="20"/>
      <c r="IX86" s="20"/>
      <c r="IY86" s="20"/>
      <c r="IZ86" s="20"/>
      <c r="JA86" s="20"/>
      <c r="JB86" s="20"/>
      <c r="JC86" s="20"/>
      <c r="JD86" s="20"/>
      <c r="JE86" s="20"/>
      <c r="JF86" s="20"/>
      <c r="JG86" s="20"/>
      <c r="JH86" s="20"/>
      <c r="JI86" s="20"/>
    </row>
    <row r="87" spans="1:269" ht="17.25" customHeight="1">
      <c r="A87" s="101"/>
      <c r="B87" s="20" t="s">
        <v>111</v>
      </c>
      <c r="C87" s="20" t="s">
        <v>153</v>
      </c>
      <c r="D87" s="83">
        <v>1762496</v>
      </c>
      <c r="E87" s="82">
        <v>1E-3</v>
      </c>
      <c r="F87" s="86">
        <v>0.09</v>
      </c>
      <c r="G87" s="29"/>
      <c r="H87" s="83">
        <v>2969</v>
      </c>
      <c r="I87" s="104">
        <v>2677</v>
      </c>
      <c r="J87" s="29"/>
      <c r="K87" s="83">
        <v>26088</v>
      </c>
      <c r="L87" s="104">
        <v>5693</v>
      </c>
      <c r="M87" s="29"/>
      <c r="N87" s="153">
        <v>0.04</v>
      </c>
      <c r="O87" s="153">
        <v>0.03</v>
      </c>
      <c r="P87" s="29"/>
      <c r="Q87" s="85">
        <v>0</v>
      </c>
      <c r="R87" s="14"/>
      <c r="S87" s="15"/>
      <c r="T87" s="104">
        <v>11830</v>
      </c>
      <c r="U87" s="82">
        <v>0.20499999999999999</v>
      </c>
      <c r="V87" s="29"/>
      <c r="W87" s="83">
        <v>19332</v>
      </c>
      <c r="X87" s="82">
        <v>-0.247</v>
      </c>
      <c r="Y87" s="29"/>
      <c r="Z87" s="104">
        <v>4047</v>
      </c>
      <c r="AA87" s="82">
        <v>-0.23799999999999999</v>
      </c>
      <c r="AB87" s="29"/>
      <c r="AC87" s="83">
        <v>38154</v>
      </c>
      <c r="AD87" s="82">
        <v>0.10100000000000001</v>
      </c>
      <c r="AE87" s="29"/>
      <c r="AF87" s="104">
        <v>7435</v>
      </c>
      <c r="AG87" s="120">
        <v>8.6999999999999994E-2</v>
      </c>
      <c r="AH87" s="85">
        <v>5.13</v>
      </c>
      <c r="AI87" s="84">
        <v>58.6</v>
      </c>
      <c r="AJ87" s="153">
        <v>333</v>
      </c>
      <c r="AK87" s="83">
        <v>252</v>
      </c>
      <c r="AL87" s="102">
        <v>37</v>
      </c>
      <c r="AM87" s="29"/>
      <c r="AN87" s="83">
        <v>5730</v>
      </c>
      <c r="AO87" s="83">
        <v>23435</v>
      </c>
      <c r="AP87" s="83">
        <v>8989</v>
      </c>
      <c r="AQ87" s="29"/>
      <c r="AR87" s="104">
        <v>932</v>
      </c>
      <c r="AS87" s="104">
        <v>4500</v>
      </c>
      <c r="AT87" s="104">
        <v>2003</v>
      </c>
      <c r="AU87" s="29"/>
      <c r="AV87" s="83">
        <v>35247</v>
      </c>
      <c r="AW87" s="104">
        <v>6791</v>
      </c>
      <c r="AX87" s="29"/>
      <c r="AY87" s="120">
        <v>0.97399999999999998</v>
      </c>
      <c r="AZ87" s="120">
        <v>8.0000000000000002E-3</v>
      </c>
      <c r="BA87" s="120">
        <v>1E-3</v>
      </c>
      <c r="BB87" s="82">
        <v>1.7000000000000001E-2</v>
      </c>
      <c r="BC87" s="29"/>
      <c r="BD87" s="153">
        <v>0</v>
      </c>
      <c r="BE87" s="89"/>
      <c r="BF87" s="94"/>
      <c r="BG87" s="153">
        <v>0</v>
      </c>
      <c r="BH87" s="153" t="s">
        <v>208</v>
      </c>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c r="DB87" s="20"/>
      <c r="DC87" s="20"/>
      <c r="DD87" s="20"/>
      <c r="DE87" s="20"/>
      <c r="DF87" s="20"/>
      <c r="DG87" s="20"/>
      <c r="DH87" s="20"/>
      <c r="DI87" s="20"/>
      <c r="DJ87" s="20"/>
      <c r="DK87" s="20"/>
      <c r="DL87" s="20"/>
      <c r="DM87" s="20"/>
      <c r="DN87" s="20"/>
      <c r="DO87" s="20"/>
      <c r="DP87" s="20"/>
      <c r="DQ87" s="20"/>
      <c r="DR87" s="20"/>
      <c r="DS87" s="20"/>
      <c r="DT87" s="20"/>
      <c r="DU87" s="20"/>
      <c r="DV87" s="20"/>
      <c r="DW87" s="20"/>
      <c r="DX87" s="20"/>
      <c r="DY87" s="20"/>
      <c r="DZ87" s="20"/>
      <c r="EA87" s="20"/>
      <c r="EB87" s="20"/>
      <c r="EC87" s="20"/>
      <c r="ED87" s="20"/>
      <c r="EE87" s="20"/>
      <c r="EF87" s="20"/>
      <c r="EG87" s="20"/>
      <c r="EH87" s="20"/>
      <c r="EI87" s="20"/>
      <c r="EJ87" s="20"/>
      <c r="EK87" s="20"/>
      <c r="EL87" s="20"/>
      <c r="EM87" s="20"/>
      <c r="EN87" s="20"/>
      <c r="EO87" s="20"/>
      <c r="EP87" s="20"/>
      <c r="EQ87" s="20"/>
      <c r="ER87" s="20"/>
      <c r="ES87" s="20"/>
      <c r="ET87" s="20"/>
      <c r="EU87" s="20"/>
      <c r="EV87" s="20"/>
      <c r="EW87" s="20"/>
      <c r="EX87" s="20"/>
      <c r="EY87" s="20"/>
      <c r="EZ87" s="20"/>
      <c r="FA87" s="20"/>
      <c r="FB87" s="20"/>
      <c r="FC87" s="20"/>
      <c r="FD87" s="20"/>
      <c r="FE87" s="20"/>
      <c r="FF87" s="20"/>
      <c r="FG87" s="20"/>
      <c r="FH87" s="20"/>
      <c r="FI87" s="20"/>
      <c r="FJ87" s="20"/>
      <c r="FK87" s="20"/>
      <c r="FL87" s="20"/>
      <c r="FM87" s="20"/>
      <c r="FN87" s="20"/>
      <c r="FO87" s="20"/>
      <c r="FP87" s="20"/>
      <c r="FQ87" s="20"/>
      <c r="FR87" s="20"/>
      <c r="FS87" s="20"/>
      <c r="FT87" s="20"/>
      <c r="FU87" s="20"/>
      <c r="FV87" s="20"/>
      <c r="FW87" s="20"/>
      <c r="FX87" s="20"/>
      <c r="FY87" s="20"/>
      <c r="FZ87" s="20"/>
      <c r="GA87" s="20"/>
      <c r="GB87" s="20"/>
      <c r="GC87" s="20"/>
      <c r="GD87" s="20"/>
      <c r="GE87" s="20"/>
      <c r="GF87" s="20"/>
      <c r="GG87" s="20"/>
      <c r="GH87" s="20"/>
      <c r="GI87" s="20"/>
      <c r="GJ87" s="20"/>
      <c r="GK87" s="20"/>
      <c r="GL87" s="20"/>
      <c r="GM87" s="20"/>
      <c r="GN87" s="20"/>
      <c r="GO87" s="20"/>
      <c r="GP87" s="20"/>
      <c r="GQ87" s="20"/>
      <c r="GR87" s="20"/>
      <c r="GS87" s="20"/>
      <c r="GT87" s="20"/>
      <c r="GU87" s="20"/>
      <c r="GV87" s="20"/>
      <c r="GW87" s="20"/>
      <c r="GX87" s="20"/>
      <c r="GY87" s="20"/>
      <c r="GZ87" s="20"/>
      <c r="HA87" s="20"/>
      <c r="HB87" s="20"/>
      <c r="HC87" s="20"/>
      <c r="HD87" s="20"/>
      <c r="HE87" s="20"/>
      <c r="HF87" s="20"/>
      <c r="HG87" s="20"/>
      <c r="HH87" s="20"/>
      <c r="HI87" s="20"/>
      <c r="HJ87" s="20"/>
      <c r="HK87" s="20"/>
      <c r="HL87" s="20"/>
      <c r="HM87" s="20"/>
      <c r="HN87" s="20"/>
      <c r="HO87" s="20"/>
      <c r="HP87" s="20"/>
      <c r="HQ87" s="20"/>
      <c r="HR87" s="20"/>
      <c r="HS87" s="20"/>
      <c r="HT87" s="20"/>
      <c r="HU87" s="20"/>
      <c r="HV87" s="20"/>
      <c r="HW87" s="20"/>
      <c r="HX87" s="20"/>
      <c r="HY87" s="20"/>
      <c r="HZ87" s="20"/>
      <c r="IA87" s="20"/>
      <c r="IB87" s="20"/>
      <c r="IC87" s="20"/>
      <c r="ID87" s="20"/>
      <c r="IE87" s="20"/>
      <c r="IF87" s="20"/>
      <c r="IG87" s="20"/>
      <c r="IH87" s="20"/>
      <c r="II87" s="20"/>
      <c r="IJ87" s="20"/>
      <c r="IK87" s="20"/>
      <c r="IL87" s="20"/>
      <c r="IM87" s="20"/>
      <c r="IN87" s="20"/>
      <c r="IO87" s="20"/>
      <c r="IP87" s="20"/>
      <c r="IQ87" s="20"/>
      <c r="IR87" s="20"/>
      <c r="IS87" s="20"/>
      <c r="IT87" s="20"/>
      <c r="IU87" s="20"/>
      <c r="IV87" s="20"/>
      <c r="IW87" s="20"/>
      <c r="IX87" s="20"/>
      <c r="IY87" s="20"/>
      <c r="IZ87" s="20"/>
      <c r="JA87" s="20"/>
      <c r="JB87" s="20"/>
      <c r="JC87" s="20"/>
      <c r="JD87" s="20"/>
      <c r="JE87" s="20"/>
      <c r="JF87" s="20"/>
      <c r="JG87" s="20"/>
      <c r="JH87" s="20"/>
      <c r="JI87" s="20"/>
    </row>
    <row r="88" spans="1:269" ht="17.25" customHeight="1">
      <c r="A88" s="101"/>
      <c r="B88" s="20" t="s">
        <v>110</v>
      </c>
      <c r="C88" s="20" t="s">
        <v>133</v>
      </c>
      <c r="D88" s="83">
        <v>1766614</v>
      </c>
      <c r="E88" s="82">
        <v>2E-3</v>
      </c>
      <c r="F88" s="82">
        <v>8.3000000000000004E-2</v>
      </c>
      <c r="G88" s="29"/>
      <c r="H88" s="83">
        <v>2946</v>
      </c>
      <c r="I88" s="104">
        <v>2612</v>
      </c>
      <c r="J88" s="29"/>
      <c r="K88" s="83">
        <v>25715</v>
      </c>
      <c r="L88" s="104">
        <v>5617</v>
      </c>
      <c r="M88" s="29"/>
      <c r="N88" s="154">
        <v>0.04</v>
      </c>
      <c r="O88" s="154">
        <v>0.03</v>
      </c>
      <c r="P88" s="29"/>
      <c r="Q88" s="85">
        <v>0</v>
      </c>
      <c r="R88" s="14"/>
      <c r="S88" s="15"/>
      <c r="T88" s="104">
        <v>12892</v>
      </c>
      <c r="U88" s="86">
        <v>0.09</v>
      </c>
      <c r="V88" s="29"/>
      <c r="W88" s="83">
        <v>23123</v>
      </c>
      <c r="X88" s="82">
        <v>0.19600000000000001</v>
      </c>
      <c r="Y88" s="29"/>
      <c r="Z88" s="104">
        <v>4719</v>
      </c>
      <c r="AA88" s="82">
        <v>0.16600000000000001</v>
      </c>
      <c r="AB88" s="29"/>
      <c r="AC88" s="83">
        <v>54642</v>
      </c>
      <c r="AD88" s="82">
        <v>0.432</v>
      </c>
      <c r="AE88" s="29"/>
      <c r="AF88" s="104">
        <v>10631</v>
      </c>
      <c r="AG88" s="121">
        <v>0.43</v>
      </c>
      <c r="AH88" s="85">
        <v>5.14</v>
      </c>
      <c r="AI88" s="84">
        <v>60.7</v>
      </c>
      <c r="AJ88" s="154">
        <v>334</v>
      </c>
      <c r="AK88" s="83">
        <v>348</v>
      </c>
      <c r="AL88" s="102">
        <v>57</v>
      </c>
      <c r="AM88" s="29"/>
      <c r="AN88" s="83">
        <v>6824</v>
      </c>
      <c r="AO88" s="83">
        <v>37476</v>
      </c>
      <c r="AP88" s="83">
        <v>10342</v>
      </c>
      <c r="AQ88" s="29"/>
      <c r="AR88" s="104">
        <v>1119</v>
      </c>
      <c r="AS88" s="104">
        <v>7100</v>
      </c>
      <c r="AT88" s="104">
        <v>2412</v>
      </c>
      <c r="AU88" s="29"/>
      <c r="AV88" s="83">
        <v>51938</v>
      </c>
      <c r="AW88" s="104">
        <v>10029</v>
      </c>
      <c r="AX88" s="29"/>
      <c r="AY88" s="120">
        <v>0.97599999999999998</v>
      </c>
      <c r="AZ88" s="120">
        <v>5.0000000000000001E-3</v>
      </c>
      <c r="BA88" s="120">
        <v>1E-3</v>
      </c>
      <c r="BB88" s="82">
        <v>1.7999999999999999E-2</v>
      </c>
      <c r="BC88" s="29"/>
      <c r="BD88" s="154">
        <v>0</v>
      </c>
      <c r="BE88" s="89"/>
      <c r="BF88" s="94"/>
      <c r="BG88" s="154">
        <v>0</v>
      </c>
      <c r="BH88" s="154" t="s">
        <v>208</v>
      </c>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c r="DA88" s="20"/>
      <c r="DB88" s="20"/>
      <c r="DC88" s="20"/>
      <c r="DD88" s="20"/>
      <c r="DE88" s="20"/>
      <c r="DF88" s="20"/>
      <c r="DG88" s="20"/>
      <c r="DH88" s="20"/>
      <c r="DI88" s="20"/>
      <c r="DJ88" s="20"/>
      <c r="DK88" s="20"/>
      <c r="DL88" s="20"/>
      <c r="DM88" s="20"/>
      <c r="DN88" s="20"/>
      <c r="DO88" s="20"/>
      <c r="DP88" s="20"/>
      <c r="DQ88" s="20"/>
      <c r="DR88" s="20"/>
      <c r="DS88" s="20"/>
      <c r="DT88" s="20"/>
      <c r="DU88" s="20"/>
      <c r="DV88" s="20"/>
      <c r="DW88" s="20"/>
      <c r="DX88" s="20"/>
      <c r="DY88" s="20"/>
      <c r="DZ88" s="20"/>
      <c r="EA88" s="20"/>
      <c r="EB88" s="20"/>
      <c r="EC88" s="20"/>
      <c r="ED88" s="20"/>
      <c r="EE88" s="20"/>
      <c r="EF88" s="20"/>
      <c r="EG88" s="20"/>
      <c r="EH88" s="20"/>
      <c r="EI88" s="20"/>
      <c r="EJ88" s="20"/>
      <c r="EK88" s="20"/>
      <c r="EL88" s="20"/>
      <c r="EM88" s="20"/>
      <c r="EN88" s="20"/>
      <c r="EO88" s="20"/>
      <c r="EP88" s="20"/>
      <c r="EQ88" s="20"/>
      <c r="ER88" s="20"/>
      <c r="ES88" s="20"/>
      <c r="ET88" s="20"/>
      <c r="EU88" s="20"/>
      <c r="EV88" s="20"/>
      <c r="EW88" s="20"/>
      <c r="EX88" s="20"/>
      <c r="EY88" s="20"/>
      <c r="EZ88" s="20"/>
      <c r="FA88" s="20"/>
      <c r="FB88" s="20"/>
      <c r="FC88" s="20"/>
      <c r="FD88" s="20"/>
      <c r="FE88" s="20"/>
      <c r="FF88" s="20"/>
      <c r="FG88" s="20"/>
      <c r="FH88" s="20"/>
      <c r="FI88" s="20"/>
      <c r="FJ88" s="20"/>
      <c r="FK88" s="20"/>
      <c r="FL88" s="20"/>
      <c r="FM88" s="20"/>
      <c r="FN88" s="20"/>
      <c r="FO88" s="20"/>
      <c r="FP88" s="20"/>
      <c r="FQ88" s="20"/>
      <c r="FR88" s="20"/>
      <c r="FS88" s="20"/>
      <c r="FT88" s="20"/>
      <c r="FU88" s="20"/>
      <c r="FV88" s="20"/>
      <c r="FW88" s="20"/>
      <c r="FX88" s="20"/>
      <c r="FY88" s="20"/>
      <c r="FZ88" s="20"/>
      <c r="GA88" s="20"/>
      <c r="GB88" s="20"/>
      <c r="GC88" s="20"/>
      <c r="GD88" s="20"/>
      <c r="GE88" s="20"/>
      <c r="GF88" s="20"/>
      <c r="GG88" s="20"/>
      <c r="GH88" s="20"/>
      <c r="GI88" s="20"/>
      <c r="GJ88" s="20"/>
      <c r="GK88" s="20"/>
      <c r="GL88" s="20"/>
      <c r="GM88" s="20"/>
      <c r="GN88" s="20"/>
      <c r="GO88" s="20"/>
      <c r="GP88" s="20"/>
      <c r="GQ88" s="20"/>
      <c r="GR88" s="20"/>
      <c r="GS88" s="20"/>
      <c r="GT88" s="20"/>
      <c r="GU88" s="20"/>
      <c r="GV88" s="20"/>
      <c r="GW88" s="20"/>
      <c r="GX88" s="20"/>
      <c r="GY88" s="20"/>
      <c r="GZ88" s="20"/>
      <c r="HA88" s="20"/>
      <c r="HB88" s="20"/>
      <c r="HC88" s="20"/>
      <c r="HD88" s="20"/>
      <c r="HE88" s="20"/>
      <c r="HF88" s="20"/>
      <c r="HG88" s="20"/>
      <c r="HH88" s="20"/>
      <c r="HI88" s="20"/>
      <c r="HJ88" s="20"/>
      <c r="HK88" s="20"/>
      <c r="HL88" s="20"/>
      <c r="HM88" s="20"/>
      <c r="HN88" s="20"/>
      <c r="HO88" s="20"/>
      <c r="HP88" s="20"/>
      <c r="HQ88" s="20"/>
      <c r="HR88" s="20"/>
      <c r="HS88" s="20"/>
      <c r="HT88" s="20"/>
      <c r="HU88" s="20"/>
      <c r="HV88" s="20"/>
      <c r="HW88" s="20"/>
      <c r="HX88" s="20"/>
      <c r="HY88" s="20"/>
      <c r="HZ88" s="20"/>
      <c r="IA88" s="20"/>
      <c r="IB88" s="20"/>
      <c r="IC88" s="20"/>
      <c r="ID88" s="20"/>
      <c r="IE88" s="20"/>
      <c r="IF88" s="20"/>
      <c r="IG88" s="20"/>
      <c r="IH88" s="20"/>
      <c r="II88" s="20"/>
      <c r="IJ88" s="20"/>
      <c r="IK88" s="20"/>
      <c r="IL88" s="20"/>
      <c r="IM88" s="20"/>
      <c r="IN88" s="20"/>
      <c r="IO88" s="20"/>
      <c r="IP88" s="20"/>
      <c r="IQ88" s="20"/>
      <c r="IR88" s="20"/>
      <c r="IS88" s="20"/>
      <c r="IT88" s="20"/>
      <c r="IU88" s="20"/>
      <c r="IV88" s="20"/>
      <c r="IW88" s="20"/>
      <c r="IX88" s="20"/>
      <c r="IY88" s="20"/>
      <c r="IZ88" s="20"/>
      <c r="JA88" s="20"/>
      <c r="JB88" s="20"/>
      <c r="JC88" s="20"/>
      <c r="JD88" s="20"/>
      <c r="JE88" s="20"/>
      <c r="JF88" s="20"/>
      <c r="JG88" s="20"/>
      <c r="JH88" s="20"/>
      <c r="JI88" s="20"/>
    </row>
    <row r="89" spans="1:269" ht="17.25" customHeight="1">
      <c r="A89" s="101"/>
      <c r="B89" s="20" t="s">
        <v>233</v>
      </c>
      <c r="C89" s="20" t="s">
        <v>149</v>
      </c>
      <c r="D89" s="83">
        <v>1774413</v>
      </c>
      <c r="E89" s="82">
        <v>4.0000000000000001E-3</v>
      </c>
      <c r="F89" s="82">
        <v>7.5999999999999998E-2</v>
      </c>
      <c r="G89" s="29"/>
      <c r="H89" s="83">
        <v>2936</v>
      </c>
      <c r="I89" s="104">
        <v>2538</v>
      </c>
      <c r="J89" s="29"/>
      <c r="K89" s="83">
        <v>25142</v>
      </c>
      <c r="L89" s="104">
        <v>5495</v>
      </c>
      <c r="M89" s="29"/>
      <c r="N89" s="155">
        <v>0.05</v>
      </c>
      <c r="O89" s="155">
        <v>0.03</v>
      </c>
      <c r="P89" s="29"/>
      <c r="Q89" s="85">
        <v>0</v>
      </c>
      <c r="R89" s="14"/>
      <c r="S89" s="15"/>
      <c r="T89" s="104">
        <v>10938</v>
      </c>
      <c r="U89" s="82">
        <v>-0.152</v>
      </c>
      <c r="V89" s="29"/>
      <c r="W89" s="83">
        <v>29480</v>
      </c>
      <c r="X89" s="82">
        <v>0.27500000000000002</v>
      </c>
      <c r="Y89" s="29"/>
      <c r="Z89" s="104">
        <v>6075</v>
      </c>
      <c r="AA89" s="82">
        <v>0.28699999999999998</v>
      </c>
      <c r="AB89" s="29"/>
      <c r="AC89" s="83">
        <v>51406</v>
      </c>
      <c r="AD89" s="82">
        <v>-5.8999999999999997E-2</v>
      </c>
      <c r="AE89" s="29"/>
      <c r="AF89" s="104">
        <v>9985</v>
      </c>
      <c r="AG89" s="120">
        <v>-6.0999999999999999E-2</v>
      </c>
      <c r="AH89" s="85">
        <v>5.15</v>
      </c>
      <c r="AI89" s="84">
        <v>57.1</v>
      </c>
      <c r="AJ89" s="155">
        <v>330</v>
      </c>
      <c r="AK89" s="83">
        <v>471</v>
      </c>
      <c r="AL89" s="102">
        <v>85</v>
      </c>
      <c r="AM89" s="29"/>
      <c r="AN89" s="83">
        <v>7142</v>
      </c>
      <c r="AO89" s="83">
        <v>31064</v>
      </c>
      <c r="AP89" s="83">
        <v>13199</v>
      </c>
      <c r="AQ89" s="29"/>
      <c r="AR89" s="104">
        <v>1167</v>
      </c>
      <c r="AS89" s="104">
        <v>5920</v>
      </c>
      <c r="AT89" s="104">
        <v>2898</v>
      </c>
      <c r="AU89" s="29"/>
      <c r="AV89" s="83">
        <v>47789</v>
      </c>
      <c r="AW89" s="104">
        <v>9177</v>
      </c>
      <c r="AX89" s="29"/>
      <c r="AY89" s="120">
        <v>0.97899999999999998</v>
      </c>
      <c r="AZ89" s="120">
        <v>6.0000000000000001E-3</v>
      </c>
      <c r="BA89" s="120">
        <v>1E-3</v>
      </c>
      <c r="BB89" s="82">
        <v>1.4999999999999999E-2</v>
      </c>
      <c r="BC89" s="29"/>
      <c r="BD89" s="155">
        <v>0</v>
      </c>
      <c r="BE89" s="89"/>
      <c r="BF89" s="94"/>
      <c r="BG89" s="155">
        <v>0</v>
      </c>
      <c r="BH89" s="155" t="s">
        <v>208</v>
      </c>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c r="DB89" s="20"/>
      <c r="DC89" s="20"/>
      <c r="DD89" s="20"/>
      <c r="DE89" s="20"/>
      <c r="DF89" s="20"/>
      <c r="DG89" s="20"/>
      <c r="DH89" s="20"/>
      <c r="DI89" s="20"/>
      <c r="DJ89" s="20"/>
      <c r="DK89" s="20"/>
      <c r="DL89" s="20"/>
      <c r="DM89" s="20"/>
      <c r="DN89" s="20"/>
      <c r="DO89" s="20"/>
      <c r="DP89" s="20"/>
      <c r="DQ89" s="20"/>
      <c r="DR89" s="20"/>
      <c r="DS89" s="20"/>
      <c r="DT89" s="20"/>
      <c r="DU89" s="20"/>
      <c r="DV89" s="20"/>
      <c r="DW89" s="20"/>
      <c r="DX89" s="20"/>
      <c r="DY89" s="20"/>
      <c r="DZ89" s="20"/>
      <c r="EA89" s="20"/>
      <c r="EB89" s="20"/>
      <c r="EC89" s="20"/>
      <c r="ED89" s="20"/>
      <c r="EE89" s="20"/>
      <c r="EF89" s="20"/>
      <c r="EG89" s="20"/>
      <c r="EH89" s="20"/>
      <c r="EI89" s="20"/>
      <c r="EJ89" s="20"/>
      <c r="EK89" s="20"/>
      <c r="EL89" s="20"/>
      <c r="EM89" s="20"/>
      <c r="EN89" s="20"/>
      <c r="EO89" s="20"/>
      <c r="EP89" s="20"/>
      <c r="EQ89" s="20"/>
      <c r="ER89" s="20"/>
      <c r="ES89" s="20"/>
      <c r="ET89" s="20"/>
      <c r="EU89" s="20"/>
      <c r="EV89" s="20"/>
      <c r="EW89" s="20"/>
      <c r="EX89" s="20"/>
      <c r="EY89" s="20"/>
      <c r="EZ89" s="20"/>
      <c r="FA89" s="20"/>
      <c r="FB89" s="20"/>
      <c r="FC89" s="20"/>
      <c r="FD89" s="20"/>
      <c r="FE89" s="20"/>
      <c r="FF89" s="20"/>
      <c r="FG89" s="20"/>
      <c r="FH89" s="20"/>
      <c r="FI89" s="20"/>
      <c r="FJ89" s="20"/>
      <c r="FK89" s="20"/>
      <c r="FL89" s="20"/>
      <c r="FM89" s="20"/>
      <c r="FN89" s="20"/>
      <c r="FO89" s="20"/>
      <c r="FP89" s="20"/>
      <c r="FQ89" s="20"/>
      <c r="FR89" s="20"/>
      <c r="FS89" s="20"/>
      <c r="FT89" s="20"/>
      <c r="FU89" s="20"/>
      <c r="FV89" s="20"/>
      <c r="FW89" s="20"/>
      <c r="FX89" s="20"/>
      <c r="FY89" s="20"/>
      <c r="FZ89" s="20"/>
      <c r="GA89" s="20"/>
      <c r="GB89" s="20"/>
      <c r="GC89" s="20"/>
      <c r="GD89" s="20"/>
      <c r="GE89" s="20"/>
      <c r="GF89" s="20"/>
      <c r="GG89" s="20"/>
      <c r="GH89" s="20"/>
      <c r="GI89" s="20"/>
      <c r="GJ89" s="20"/>
      <c r="GK89" s="20"/>
      <c r="GL89" s="20"/>
      <c r="GM89" s="20"/>
      <c r="GN89" s="20"/>
      <c r="GO89" s="20"/>
      <c r="GP89" s="20"/>
      <c r="GQ89" s="20"/>
      <c r="GR89" s="20"/>
      <c r="GS89" s="20"/>
      <c r="GT89" s="20"/>
      <c r="GU89" s="20"/>
      <c r="GV89" s="20"/>
      <c r="GW89" s="20"/>
      <c r="GX89" s="20"/>
      <c r="GY89" s="20"/>
      <c r="GZ89" s="20"/>
      <c r="HA89" s="20"/>
      <c r="HB89" s="20"/>
      <c r="HC89" s="20"/>
      <c r="HD89" s="20"/>
      <c r="HE89" s="20"/>
      <c r="HF89" s="20"/>
      <c r="HG89" s="20"/>
      <c r="HH89" s="20"/>
      <c r="HI89" s="20"/>
      <c r="HJ89" s="20"/>
      <c r="HK89" s="20"/>
      <c r="HL89" s="20"/>
      <c r="HM89" s="20"/>
      <c r="HN89" s="20"/>
      <c r="HO89" s="20"/>
      <c r="HP89" s="20"/>
      <c r="HQ89" s="20"/>
      <c r="HR89" s="20"/>
      <c r="HS89" s="20"/>
      <c r="HT89" s="20"/>
      <c r="HU89" s="20"/>
      <c r="HV89" s="20"/>
      <c r="HW89" s="20"/>
      <c r="HX89" s="20"/>
      <c r="HY89" s="20"/>
      <c r="HZ89" s="20"/>
      <c r="IA89" s="20"/>
      <c r="IB89" s="20"/>
      <c r="IC89" s="20"/>
      <c r="ID89" s="20"/>
      <c r="IE89" s="20"/>
      <c r="IF89" s="20"/>
      <c r="IG89" s="20"/>
      <c r="IH89" s="20"/>
      <c r="II89" s="20"/>
      <c r="IJ89" s="20"/>
      <c r="IK89" s="20"/>
      <c r="IL89" s="20"/>
      <c r="IM89" s="20"/>
      <c r="IN89" s="20"/>
      <c r="IO89" s="20"/>
      <c r="IP89" s="20"/>
      <c r="IQ89" s="20"/>
      <c r="IR89" s="20"/>
      <c r="IS89" s="20"/>
      <c r="IT89" s="20"/>
      <c r="IU89" s="20"/>
      <c r="IV89" s="20"/>
      <c r="IW89" s="20"/>
      <c r="IX89" s="20"/>
      <c r="IY89" s="20"/>
      <c r="IZ89" s="20"/>
      <c r="JA89" s="20"/>
      <c r="JB89" s="20"/>
      <c r="JC89" s="20"/>
      <c r="JD89" s="20"/>
      <c r="JE89" s="20"/>
      <c r="JF89" s="20"/>
      <c r="JG89" s="20"/>
      <c r="JH89" s="20"/>
      <c r="JI89" s="20"/>
    </row>
    <row r="90" spans="1:269" ht="17.25" customHeight="1">
      <c r="A90" s="101"/>
      <c r="B90" s="20" t="s">
        <v>120</v>
      </c>
      <c r="C90" s="20" t="s">
        <v>147</v>
      </c>
      <c r="D90" s="83">
        <v>1783359</v>
      </c>
      <c r="E90" s="82">
        <v>5.0000000000000001E-3</v>
      </c>
      <c r="F90" s="82">
        <v>7.1999999999999995E-2</v>
      </c>
      <c r="G90" s="29"/>
      <c r="H90" s="83">
        <v>2929</v>
      </c>
      <c r="I90" s="104">
        <v>2484</v>
      </c>
      <c r="J90" s="29"/>
      <c r="K90" s="83">
        <v>24596</v>
      </c>
      <c r="L90" s="104">
        <v>5362</v>
      </c>
      <c r="M90" s="29"/>
      <c r="N90" s="156">
        <v>0.05</v>
      </c>
      <c r="O90" s="156">
        <v>0.03</v>
      </c>
      <c r="P90" s="29"/>
      <c r="Q90" s="85">
        <v>0</v>
      </c>
      <c r="R90" s="14"/>
      <c r="S90" s="15"/>
      <c r="T90" s="104">
        <v>9497</v>
      </c>
      <c r="U90" s="82">
        <v>-0.13200000000000001</v>
      </c>
      <c r="V90" s="29"/>
      <c r="W90" s="83">
        <v>30761</v>
      </c>
      <c r="X90" s="82">
        <v>4.2999999999999997E-2</v>
      </c>
      <c r="Y90" s="29"/>
      <c r="Z90" s="104">
        <v>6157</v>
      </c>
      <c r="AA90" s="82">
        <v>1.2999999999999999E-2</v>
      </c>
      <c r="AB90" s="29"/>
      <c r="AC90" s="83">
        <v>40067</v>
      </c>
      <c r="AD90" s="82">
        <v>-0.221</v>
      </c>
      <c r="AE90" s="29"/>
      <c r="AF90" s="104">
        <v>7901</v>
      </c>
      <c r="AG90" s="120">
        <v>-0.20899999999999999</v>
      </c>
      <c r="AH90" s="85">
        <v>5.07</v>
      </c>
      <c r="AI90" s="84">
        <v>55.9</v>
      </c>
      <c r="AJ90" s="156">
        <v>330</v>
      </c>
      <c r="AK90" s="83">
        <v>402</v>
      </c>
      <c r="AL90" s="102">
        <v>73</v>
      </c>
      <c r="AM90" s="29"/>
      <c r="AN90" s="83">
        <v>7380</v>
      </c>
      <c r="AO90" s="83">
        <v>21664</v>
      </c>
      <c r="AP90" s="83">
        <v>11023</v>
      </c>
      <c r="AQ90" s="29"/>
      <c r="AR90" s="104">
        <v>1262</v>
      </c>
      <c r="AS90" s="104">
        <v>4164</v>
      </c>
      <c r="AT90" s="104">
        <v>2475</v>
      </c>
      <c r="AU90" s="29"/>
      <c r="AV90" s="83">
        <v>37100</v>
      </c>
      <c r="AW90" s="104">
        <v>7312</v>
      </c>
      <c r="AX90" s="29"/>
      <c r="AY90" s="120">
        <v>0.96799999999999997</v>
      </c>
      <c r="AZ90" s="121">
        <v>0.01</v>
      </c>
      <c r="BA90" s="120">
        <v>1E-3</v>
      </c>
      <c r="BB90" s="82">
        <v>2.1000000000000001E-2</v>
      </c>
      <c r="BC90" s="29"/>
      <c r="BD90" s="156">
        <v>0</v>
      </c>
      <c r="BE90" s="89"/>
      <c r="BF90" s="94"/>
      <c r="BG90" s="156">
        <v>0</v>
      </c>
      <c r="BH90" s="156" t="s">
        <v>208</v>
      </c>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c r="DA90" s="20"/>
      <c r="DB90" s="20"/>
      <c r="DC90" s="20"/>
      <c r="DD90" s="20"/>
      <c r="DE90" s="20"/>
      <c r="DF90" s="20"/>
      <c r="DG90" s="20"/>
      <c r="DH90" s="20"/>
      <c r="DI90" s="20"/>
      <c r="DJ90" s="20"/>
      <c r="DK90" s="20"/>
      <c r="DL90" s="20"/>
      <c r="DM90" s="20"/>
      <c r="DN90" s="20"/>
      <c r="DO90" s="20"/>
      <c r="DP90" s="20"/>
      <c r="DQ90" s="20"/>
      <c r="DR90" s="20"/>
      <c r="DS90" s="20"/>
      <c r="DT90" s="20"/>
      <c r="DU90" s="20"/>
      <c r="DV90" s="20"/>
      <c r="DW90" s="20"/>
      <c r="DX90" s="20"/>
      <c r="DY90" s="20"/>
      <c r="DZ90" s="20"/>
      <c r="EA90" s="20"/>
      <c r="EB90" s="20"/>
      <c r="EC90" s="20"/>
      <c r="ED90" s="20"/>
      <c r="EE90" s="20"/>
      <c r="EF90" s="20"/>
      <c r="EG90" s="20"/>
      <c r="EH90" s="20"/>
      <c r="EI90" s="20"/>
      <c r="EJ90" s="20"/>
      <c r="EK90" s="20"/>
      <c r="EL90" s="20"/>
      <c r="EM90" s="20"/>
      <c r="EN90" s="20"/>
      <c r="EO90" s="20"/>
      <c r="EP90" s="20"/>
      <c r="EQ90" s="20"/>
      <c r="ER90" s="20"/>
      <c r="ES90" s="20"/>
      <c r="ET90" s="20"/>
      <c r="EU90" s="20"/>
      <c r="EV90" s="20"/>
      <c r="EW90" s="20"/>
      <c r="EX90" s="20"/>
      <c r="EY90" s="20"/>
      <c r="EZ90" s="20"/>
      <c r="FA90" s="20"/>
      <c r="FB90" s="20"/>
      <c r="FC90" s="20"/>
      <c r="FD90" s="20"/>
      <c r="FE90" s="20"/>
      <c r="FF90" s="20"/>
      <c r="FG90" s="20"/>
      <c r="FH90" s="20"/>
      <c r="FI90" s="20"/>
      <c r="FJ90" s="20"/>
      <c r="FK90" s="20"/>
      <c r="FL90" s="20"/>
      <c r="FM90" s="20"/>
      <c r="FN90" s="20"/>
      <c r="FO90" s="20"/>
      <c r="FP90" s="20"/>
      <c r="FQ90" s="20"/>
      <c r="FR90" s="20"/>
      <c r="FS90" s="20"/>
      <c r="FT90" s="20"/>
      <c r="FU90" s="20"/>
      <c r="FV90" s="20"/>
      <c r="FW90" s="20"/>
      <c r="FX90" s="20"/>
      <c r="FY90" s="20"/>
      <c r="FZ90" s="20"/>
      <c r="GA90" s="20"/>
      <c r="GB90" s="20"/>
      <c r="GC90" s="20"/>
      <c r="GD90" s="20"/>
      <c r="GE90" s="20"/>
      <c r="GF90" s="20"/>
      <c r="GG90" s="20"/>
      <c r="GH90" s="20"/>
      <c r="GI90" s="20"/>
      <c r="GJ90" s="20"/>
      <c r="GK90" s="20"/>
      <c r="GL90" s="20"/>
      <c r="GM90" s="20"/>
      <c r="GN90" s="20"/>
      <c r="GO90" s="20"/>
      <c r="GP90" s="20"/>
      <c r="GQ90" s="20"/>
      <c r="GR90" s="20"/>
      <c r="GS90" s="20"/>
      <c r="GT90" s="20"/>
      <c r="GU90" s="20"/>
      <c r="GV90" s="20"/>
      <c r="GW90" s="20"/>
      <c r="GX90" s="20"/>
      <c r="GY90" s="20"/>
      <c r="GZ90" s="20"/>
      <c r="HA90" s="20"/>
      <c r="HB90" s="20"/>
      <c r="HC90" s="20"/>
      <c r="HD90" s="20"/>
      <c r="HE90" s="20"/>
      <c r="HF90" s="20"/>
      <c r="HG90" s="20"/>
      <c r="HH90" s="20"/>
      <c r="HI90" s="20"/>
      <c r="HJ90" s="20"/>
      <c r="HK90" s="20"/>
      <c r="HL90" s="20"/>
      <c r="HM90" s="20"/>
      <c r="HN90" s="20"/>
      <c r="HO90" s="20"/>
      <c r="HP90" s="20"/>
      <c r="HQ90" s="20"/>
      <c r="HR90" s="20"/>
      <c r="HS90" s="20"/>
      <c r="HT90" s="20"/>
      <c r="HU90" s="20"/>
      <c r="HV90" s="20"/>
      <c r="HW90" s="20"/>
      <c r="HX90" s="20"/>
      <c r="HY90" s="20"/>
      <c r="HZ90" s="20"/>
      <c r="IA90" s="20"/>
      <c r="IB90" s="20"/>
      <c r="IC90" s="20"/>
      <c r="ID90" s="20"/>
      <c r="IE90" s="20"/>
      <c r="IF90" s="20"/>
      <c r="IG90" s="20"/>
      <c r="IH90" s="20"/>
      <c r="II90" s="20"/>
      <c r="IJ90" s="20"/>
      <c r="IK90" s="20"/>
      <c r="IL90" s="20"/>
      <c r="IM90" s="20"/>
      <c r="IN90" s="20"/>
      <c r="IO90" s="20"/>
      <c r="IP90" s="20"/>
      <c r="IQ90" s="20"/>
      <c r="IR90" s="20"/>
      <c r="IS90" s="20"/>
      <c r="IT90" s="20"/>
      <c r="IU90" s="20"/>
      <c r="IV90" s="20"/>
      <c r="IW90" s="20"/>
      <c r="IX90" s="20"/>
      <c r="IY90" s="20"/>
      <c r="IZ90" s="20"/>
      <c r="JA90" s="20"/>
      <c r="JB90" s="20"/>
      <c r="JC90" s="20"/>
      <c r="JD90" s="20"/>
      <c r="JE90" s="20"/>
      <c r="JF90" s="20"/>
      <c r="JG90" s="20"/>
      <c r="JH90" s="20"/>
      <c r="JI90" s="20"/>
    </row>
    <row r="91" spans="1:269" ht="17.25" customHeight="1">
      <c r="A91" s="101"/>
      <c r="B91" s="20" t="s">
        <v>119</v>
      </c>
      <c r="C91" s="20" t="s">
        <v>145</v>
      </c>
      <c r="D91" s="83">
        <v>1791537</v>
      </c>
      <c r="E91" s="82">
        <v>5.0000000000000001E-3</v>
      </c>
      <c r="F91" s="82">
        <v>6.7000000000000004E-2</v>
      </c>
      <c r="G91" s="29"/>
      <c r="H91" s="83">
        <v>2899</v>
      </c>
      <c r="I91" s="104">
        <v>2399</v>
      </c>
      <c r="J91" s="29"/>
      <c r="K91" s="83">
        <v>24173</v>
      </c>
      <c r="L91" s="104">
        <v>5251</v>
      </c>
      <c r="M91" s="29"/>
      <c r="N91" s="157">
        <v>0.05</v>
      </c>
      <c r="O91" s="157">
        <v>0.03</v>
      </c>
      <c r="P91" s="29"/>
      <c r="Q91" s="85">
        <v>0</v>
      </c>
      <c r="R91" s="14"/>
      <c r="S91" s="15"/>
      <c r="T91" s="104">
        <v>10907</v>
      </c>
      <c r="U91" s="82">
        <v>0.14799999999999999</v>
      </c>
      <c r="V91" s="29"/>
      <c r="W91" s="83">
        <v>30386</v>
      </c>
      <c r="X91" s="82">
        <v>-1.2E-2</v>
      </c>
      <c r="Y91" s="29"/>
      <c r="Z91" s="104">
        <v>6148</v>
      </c>
      <c r="AA91" s="82">
        <v>-1E-3</v>
      </c>
      <c r="AB91" s="29"/>
      <c r="AC91" s="83">
        <v>38514</v>
      </c>
      <c r="AD91" s="82">
        <v>-3.9E-2</v>
      </c>
      <c r="AE91" s="29"/>
      <c r="AF91" s="104">
        <v>7857</v>
      </c>
      <c r="AG91" s="120">
        <v>-6.0000000000000001E-3</v>
      </c>
      <c r="AH91" s="85">
        <v>4.9000000000000004</v>
      </c>
      <c r="AI91" s="84">
        <v>55.7</v>
      </c>
      <c r="AJ91" s="157">
        <v>330</v>
      </c>
      <c r="AK91" s="83">
        <v>354</v>
      </c>
      <c r="AL91" s="102">
        <v>55</v>
      </c>
      <c r="AM91" s="29"/>
      <c r="AN91" s="83">
        <v>6888</v>
      </c>
      <c r="AO91" s="83">
        <v>19267</v>
      </c>
      <c r="AP91" s="83">
        <v>12359</v>
      </c>
      <c r="AQ91" s="29"/>
      <c r="AR91" s="104">
        <v>1207</v>
      </c>
      <c r="AS91" s="104">
        <v>3874</v>
      </c>
      <c r="AT91" s="104">
        <v>2776</v>
      </c>
      <c r="AU91" s="29"/>
      <c r="AV91" s="83">
        <v>35789</v>
      </c>
      <c r="AW91" s="104">
        <v>7223</v>
      </c>
      <c r="AX91" s="29"/>
      <c r="AY91" s="120">
        <v>0.96599999999999997</v>
      </c>
      <c r="AZ91" s="120">
        <v>1.2999999999999999E-2</v>
      </c>
      <c r="BA91" s="121">
        <v>0</v>
      </c>
      <c r="BB91" s="82">
        <v>2.1000000000000001E-2</v>
      </c>
      <c r="BC91" s="29"/>
      <c r="BD91" s="157">
        <v>0</v>
      </c>
      <c r="BE91" s="89"/>
      <c r="BF91" s="94"/>
      <c r="BG91" s="157">
        <v>0</v>
      </c>
      <c r="BH91" s="157" t="s">
        <v>208</v>
      </c>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c r="DA91" s="20"/>
      <c r="DB91" s="20"/>
      <c r="DC91" s="20"/>
      <c r="DD91" s="20"/>
      <c r="DE91" s="20"/>
      <c r="DF91" s="20"/>
      <c r="DG91" s="20"/>
      <c r="DH91" s="20"/>
      <c r="DI91" s="20"/>
      <c r="DJ91" s="20"/>
      <c r="DK91" s="20"/>
      <c r="DL91" s="20"/>
      <c r="DM91" s="20"/>
      <c r="DN91" s="20"/>
      <c r="DO91" s="20"/>
      <c r="DP91" s="20"/>
      <c r="DQ91" s="20"/>
      <c r="DR91" s="20"/>
      <c r="DS91" s="20"/>
      <c r="DT91" s="20"/>
      <c r="DU91" s="20"/>
      <c r="DV91" s="20"/>
      <c r="DW91" s="20"/>
      <c r="DX91" s="20"/>
      <c r="DY91" s="20"/>
      <c r="DZ91" s="20"/>
      <c r="EA91" s="20"/>
      <c r="EB91" s="20"/>
      <c r="EC91" s="20"/>
      <c r="ED91" s="20"/>
      <c r="EE91" s="20"/>
      <c r="EF91" s="20"/>
      <c r="EG91" s="20"/>
      <c r="EH91" s="20"/>
      <c r="EI91" s="20"/>
      <c r="EJ91" s="20"/>
      <c r="EK91" s="20"/>
      <c r="EL91" s="20"/>
      <c r="EM91" s="20"/>
      <c r="EN91" s="20"/>
      <c r="EO91" s="20"/>
      <c r="EP91" s="20"/>
      <c r="EQ91" s="20"/>
      <c r="ER91" s="20"/>
      <c r="ES91" s="20"/>
      <c r="ET91" s="20"/>
      <c r="EU91" s="20"/>
      <c r="EV91" s="20"/>
      <c r="EW91" s="20"/>
      <c r="EX91" s="20"/>
      <c r="EY91" s="20"/>
      <c r="EZ91" s="20"/>
      <c r="FA91" s="20"/>
      <c r="FB91" s="20"/>
      <c r="FC91" s="20"/>
      <c r="FD91" s="20"/>
      <c r="FE91" s="20"/>
      <c r="FF91" s="20"/>
      <c r="FG91" s="20"/>
      <c r="FH91" s="20"/>
      <c r="FI91" s="20"/>
      <c r="FJ91" s="20"/>
      <c r="FK91" s="20"/>
      <c r="FL91" s="20"/>
      <c r="FM91" s="20"/>
      <c r="FN91" s="20"/>
      <c r="FO91" s="20"/>
      <c r="FP91" s="20"/>
      <c r="FQ91" s="20"/>
      <c r="FR91" s="20"/>
      <c r="FS91" s="20"/>
      <c r="FT91" s="20"/>
      <c r="FU91" s="20"/>
      <c r="FV91" s="20"/>
      <c r="FW91" s="20"/>
      <c r="FX91" s="20"/>
      <c r="FY91" s="20"/>
      <c r="FZ91" s="20"/>
      <c r="GA91" s="20"/>
      <c r="GB91" s="20"/>
      <c r="GC91" s="20"/>
      <c r="GD91" s="20"/>
      <c r="GE91" s="20"/>
      <c r="GF91" s="20"/>
      <c r="GG91" s="20"/>
      <c r="GH91" s="20"/>
      <c r="GI91" s="20"/>
      <c r="GJ91" s="20"/>
      <c r="GK91" s="20"/>
      <c r="GL91" s="20"/>
      <c r="GM91" s="20"/>
      <c r="GN91" s="20"/>
      <c r="GO91" s="20"/>
      <c r="GP91" s="20"/>
      <c r="GQ91" s="20"/>
      <c r="GR91" s="20"/>
      <c r="GS91" s="20"/>
      <c r="GT91" s="20"/>
      <c r="GU91" s="20"/>
      <c r="GV91" s="20"/>
      <c r="GW91" s="20"/>
      <c r="GX91" s="20"/>
      <c r="GY91" s="20"/>
      <c r="GZ91" s="20"/>
      <c r="HA91" s="20"/>
      <c r="HB91" s="20"/>
      <c r="HC91" s="20"/>
      <c r="HD91" s="20"/>
      <c r="HE91" s="20"/>
      <c r="HF91" s="20"/>
      <c r="HG91" s="20"/>
      <c r="HH91" s="20"/>
      <c r="HI91" s="20"/>
      <c r="HJ91" s="20"/>
      <c r="HK91" s="20"/>
      <c r="HL91" s="20"/>
      <c r="HM91" s="20"/>
      <c r="HN91" s="20"/>
      <c r="HO91" s="20"/>
      <c r="HP91" s="20"/>
      <c r="HQ91" s="20"/>
      <c r="HR91" s="20"/>
      <c r="HS91" s="20"/>
      <c r="HT91" s="20"/>
      <c r="HU91" s="20"/>
      <c r="HV91" s="20"/>
      <c r="HW91" s="20"/>
      <c r="HX91" s="20"/>
      <c r="HY91" s="20"/>
      <c r="HZ91" s="20"/>
      <c r="IA91" s="20"/>
      <c r="IB91" s="20"/>
      <c r="IC91" s="20"/>
      <c r="ID91" s="20"/>
      <c r="IE91" s="20"/>
      <c r="IF91" s="20"/>
      <c r="IG91" s="20"/>
      <c r="IH91" s="20"/>
      <c r="II91" s="20"/>
      <c r="IJ91" s="20"/>
      <c r="IK91" s="20"/>
      <c r="IL91" s="20"/>
      <c r="IM91" s="20"/>
      <c r="IN91" s="20"/>
      <c r="IO91" s="20"/>
      <c r="IP91" s="20"/>
      <c r="IQ91" s="20"/>
      <c r="IR91" s="20"/>
      <c r="IS91" s="20"/>
      <c r="IT91" s="20"/>
      <c r="IU91" s="20"/>
      <c r="IV91" s="20"/>
      <c r="IW91" s="20"/>
      <c r="IX91" s="20"/>
      <c r="IY91" s="20"/>
      <c r="IZ91" s="20"/>
      <c r="JA91" s="20"/>
      <c r="JB91" s="20"/>
      <c r="JC91" s="20"/>
      <c r="JD91" s="20"/>
      <c r="JE91" s="20"/>
      <c r="JF91" s="20"/>
      <c r="JG91" s="20"/>
      <c r="JH91" s="20"/>
      <c r="JI91" s="20"/>
    </row>
    <row r="92" spans="1:269" ht="17.25" customHeight="1">
      <c r="A92" s="101"/>
      <c r="B92" s="20" t="s">
        <v>118</v>
      </c>
      <c r="C92" s="20" t="s">
        <v>143</v>
      </c>
      <c r="D92" s="83">
        <v>1796525</v>
      </c>
      <c r="E92" s="82">
        <v>3.0000000000000001E-3</v>
      </c>
      <c r="F92" s="82">
        <v>5.8999999999999997E-2</v>
      </c>
      <c r="G92" s="29"/>
      <c r="H92" s="83">
        <v>2878</v>
      </c>
      <c r="I92" s="104">
        <v>2338</v>
      </c>
      <c r="J92" s="29"/>
      <c r="K92" s="83">
        <v>24133</v>
      </c>
      <c r="L92" s="104">
        <v>5218</v>
      </c>
      <c r="M92" s="29"/>
      <c r="N92" s="158">
        <v>0.04</v>
      </c>
      <c r="O92" s="158">
        <v>0.03</v>
      </c>
      <c r="P92" s="29"/>
      <c r="Q92" s="85">
        <v>0</v>
      </c>
      <c r="R92" s="14"/>
      <c r="S92" s="15"/>
      <c r="T92" s="104">
        <v>8727</v>
      </c>
      <c r="U92" s="86">
        <v>-0.2</v>
      </c>
      <c r="V92" s="29"/>
      <c r="W92" s="83">
        <v>25904</v>
      </c>
      <c r="X92" s="82">
        <v>-0.14799999999999999</v>
      </c>
      <c r="Y92" s="29"/>
      <c r="Z92" s="104">
        <v>5441</v>
      </c>
      <c r="AA92" s="82">
        <v>-0.115</v>
      </c>
      <c r="AB92" s="29"/>
      <c r="AC92" s="83">
        <v>34057</v>
      </c>
      <c r="AD92" s="82">
        <v>-0.11600000000000001</v>
      </c>
      <c r="AE92" s="29"/>
      <c r="AF92" s="104">
        <v>6994</v>
      </c>
      <c r="AG92" s="121">
        <v>-0.11</v>
      </c>
      <c r="AH92" s="85">
        <v>4.87</v>
      </c>
      <c r="AI92" s="84">
        <v>54.4</v>
      </c>
      <c r="AJ92" s="158">
        <v>329</v>
      </c>
      <c r="AK92" s="83">
        <v>205</v>
      </c>
      <c r="AL92" s="102">
        <v>40</v>
      </c>
      <c r="AM92" s="29"/>
      <c r="AN92" s="83">
        <v>6772</v>
      </c>
      <c r="AO92" s="83">
        <v>16021</v>
      </c>
      <c r="AP92" s="83">
        <v>11263</v>
      </c>
      <c r="AQ92" s="29"/>
      <c r="AR92" s="104">
        <v>1244</v>
      </c>
      <c r="AS92" s="104">
        <v>3283</v>
      </c>
      <c r="AT92" s="104">
        <v>2467</v>
      </c>
      <c r="AU92" s="29"/>
      <c r="AV92" s="83">
        <v>31328</v>
      </c>
      <c r="AW92" s="104">
        <v>6402</v>
      </c>
      <c r="AX92" s="29"/>
      <c r="AY92" s="120">
        <v>0.96399999999999997</v>
      </c>
      <c r="AZ92" s="120">
        <v>1.2999999999999999E-2</v>
      </c>
      <c r="BA92" s="120">
        <v>5.0000000000000001E-3</v>
      </c>
      <c r="BB92" s="82">
        <v>1.7000000000000001E-2</v>
      </c>
      <c r="BC92" s="29"/>
      <c r="BD92" s="158">
        <v>0</v>
      </c>
      <c r="BE92" s="89"/>
      <c r="BF92" s="94"/>
      <c r="BG92" s="158">
        <v>0</v>
      </c>
      <c r="BH92" s="158" t="s">
        <v>208</v>
      </c>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20"/>
      <c r="DQ92" s="20"/>
      <c r="DR92" s="20"/>
      <c r="DS92" s="20"/>
      <c r="DT92" s="20"/>
      <c r="DU92" s="20"/>
      <c r="DV92" s="20"/>
      <c r="DW92" s="20"/>
      <c r="DX92" s="20"/>
      <c r="DY92" s="20"/>
      <c r="DZ92" s="20"/>
      <c r="EA92" s="20"/>
      <c r="EB92" s="20"/>
      <c r="EC92" s="20"/>
      <c r="ED92" s="20"/>
      <c r="EE92" s="20"/>
      <c r="EF92" s="20"/>
      <c r="EG92" s="20"/>
      <c r="EH92" s="20"/>
      <c r="EI92" s="20"/>
      <c r="EJ92" s="20"/>
      <c r="EK92" s="20"/>
      <c r="EL92" s="20"/>
      <c r="EM92" s="20"/>
      <c r="EN92" s="20"/>
      <c r="EO92" s="20"/>
      <c r="EP92" s="20"/>
      <c r="EQ92" s="20"/>
      <c r="ER92" s="20"/>
      <c r="ES92" s="20"/>
      <c r="ET92" s="20"/>
      <c r="EU92" s="20"/>
      <c r="EV92" s="20"/>
      <c r="EW92" s="20"/>
      <c r="EX92" s="20"/>
      <c r="EY92" s="20"/>
      <c r="EZ92" s="20"/>
      <c r="FA92" s="20"/>
      <c r="FB92" s="20"/>
      <c r="FC92" s="20"/>
      <c r="FD92" s="20"/>
      <c r="FE92" s="20"/>
      <c r="FF92" s="20"/>
      <c r="FG92" s="20"/>
      <c r="FH92" s="20"/>
      <c r="FI92" s="20"/>
      <c r="FJ92" s="20"/>
      <c r="FK92" s="20"/>
      <c r="FL92" s="20"/>
      <c r="FM92" s="20"/>
      <c r="FN92" s="20"/>
      <c r="FO92" s="20"/>
      <c r="FP92" s="20"/>
      <c r="FQ92" s="20"/>
      <c r="FR92" s="20"/>
      <c r="FS92" s="20"/>
      <c r="FT92" s="20"/>
      <c r="FU92" s="20"/>
      <c r="FV92" s="20"/>
      <c r="FW92" s="20"/>
      <c r="FX92" s="20"/>
      <c r="FY92" s="20"/>
      <c r="FZ92" s="20"/>
      <c r="GA92" s="20"/>
      <c r="GB92" s="20"/>
      <c r="GC92" s="20"/>
      <c r="GD92" s="20"/>
      <c r="GE92" s="20"/>
      <c r="GF92" s="20"/>
      <c r="GG92" s="20"/>
      <c r="GH92" s="20"/>
      <c r="GI92" s="20"/>
      <c r="GJ92" s="20"/>
      <c r="GK92" s="20"/>
      <c r="GL92" s="20"/>
      <c r="GM92" s="20"/>
      <c r="GN92" s="20"/>
      <c r="GO92" s="20"/>
      <c r="GP92" s="20"/>
      <c r="GQ92" s="20"/>
      <c r="GR92" s="20"/>
      <c r="GS92" s="20"/>
      <c r="GT92" s="20"/>
      <c r="GU92" s="20"/>
      <c r="GV92" s="20"/>
      <c r="GW92" s="20"/>
      <c r="GX92" s="20"/>
      <c r="GY92" s="20"/>
      <c r="GZ92" s="20"/>
      <c r="HA92" s="20"/>
      <c r="HB92" s="20"/>
      <c r="HC92" s="20"/>
      <c r="HD92" s="20"/>
      <c r="HE92" s="20"/>
      <c r="HF92" s="20"/>
      <c r="HG92" s="20"/>
      <c r="HH92" s="20"/>
      <c r="HI92" s="20"/>
      <c r="HJ92" s="20"/>
      <c r="HK92" s="20"/>
      <c r="HL92" s="20"/>
      <c r="HM92" s="20"/>
      <c r="HN92" s="20"/>
      <c r="HO92" s="20"/>
      <c r="HP92" s="20"/>
      <c r="HQ92" s="20"/>
      <c r="HR92" s="20"/>
      <c r="HS92" s="20"/>
      <c r="HT92" s="20"/>
      <c r="HU92" s="20"/>
      <c r="HV92" s="20"/>
      <c r="HW92" s="20"/>
      <c r="HX92" s="20"/>
      <c r="HY92" s="20"/>
      <c r="HZ92" s="20"/>
      <c r="IA92" s="20"/>
      <c r="IB92" s="20"/>
      <c r="IC92" s="20"/>
      <c r="ID92" s="20"/>
      <c r="IE92" s="20"/>
      <c r="IF92" s="20"/>
      <c r="IG92" s="20"/>
      <c r="IH92" s="20"/>
      <c r="II92" s="20"/>
      <c r="IJ92" s="20"/>
      <c r="IK92" s="20"/>
      <c r="IL92" s="20"/>
      <c r="IM92" s="20"/>
      <c r="IN92" s="20"/>
      <c r="IO92" s="20"/>
      <c r="IP92" s="20"/>
      <c r="IQ92" s="20"/>
      <c r="IR92" s="20"/>
      <c r="IS92" s="20"/>
      <c r="IT92" s="20"/>
      <c r="IU92" s="20"/>
      <c r="IV92" s="20"/>
      <c r="IW92" s="20"/>
      <c r="IX92" s="20"/>
      <c r="IY92" s="20"/>
      <c r="IZ92" s="20"/>
      <c r="JA92" s="20"/>
      <c r="JB92" s="20"/>
      <c r="JC92" s="20"/>
      <c r="JD92" s="20"/>
      <c r="JE92" s="20"/>
      <c r="JF92" s="20"/>
      <c r="JG92" s="20"/>
      <c r="JH92" s="20"/>
      <c r="JI92" s="20"/>
    </row>
    <row r="93" spans="1:269" ht="17.25" customHeight="1">
      <c r="A93" s="101"/>
      <c r="B93" s="20" t="s">
        <v>117</v>
      </c>
      <c r="C93" s="20" t="s">
        <v>141</v>
      </c>
      <c r="D93" s="83">
        <v>1798906</v>
      </c>
      <c r="E93" s="82">
        <v>1E-3</v>
      </c>
      <c r="F93" s="82">
        <v>5.2999999999999999E-2</v>
      </c>
      <c r="G93" s="29"/>
      <c r="H93" s="83">
        <v>2869</v>
      </c>
      <c r="I93" s="104">
        <v>2278</v>
      </c>
      <c r="J93" s="29"/>
      <c r="K93" s="83">
        <v>23658</v>
      </c>
      <c r="L93" s="104">
        <v>5117</v>
      </c>
      <c r="M93" s="29"/>
      <c r="N93" s="159">
        <v>0.04</v>
      </c>
      <c r="O93" s="159">
        <v>0.03</v>
      </c>
      <c r="P93" s="29"/>
      <c r="Q93" s="85">
        <v>0</v>
      </c>
      <c r="R93" s="14"/>
      <c r="S93" s="15"/>
      <c r="T93" s="104">
        <v>7280</v>
      </c>
      <c r="U93" s="82">
        <v>-0.16600000000000001</v>
      </c>
      <c r="V93" s="29"/>
      <c r="W93" s="83">
        <v>21049</v>
      </c>
      <c r="X93" s="82">
        <v>-0.187</v>
      </c>
      <c r="Y93" s="29"/>
      <c r="Z93" s="104">
        <v>4436</v>
      </c>
      <c r="AA93" s="82">
        <v>-0.185</v>
      </c>
      <c r="AB93" s="29"/>
      <c r="AC93" s="83">
        <v>32473</v>
      </c>
      <c r="AD93" s="82">
        <v>-4.7E-2</v>
      </c>
      <c r="AE93" s="29"/>
      <c r="AF93" s="104">
        <v>6341</v>
      </c>
      <c r="AG93" s="120">
        <v>-9.2999999999999999E-2</v>
      </c>
      <c r="AH93" s="85">
        <v>5.12</v>
      </c>
      <c r="AI93" s="84">
        <v>55.8</v>
      </c>
      <c r="AJ93" s="159">
        <v>329</v>
      </c>
      <c r="AK93" s="83">
        <v>310</v>
      </c>
      <c r="AL93" s="102">
        <v>39</v>
      </c>
      <c r="AM93" s="29"/>
      <c r="AN93" s="83">
        <v>7762</v>
      </c>
      <c r="AO93" s="83">
        <v>15542</v>
      </c>
      <c r="AP93" s="83">
        <v>9170</v>
      </c>
      <c r="AQ93" s="29"/>
      <c r="AR93" s="104">
        <v>1241</v>
      </c>
      <c r="AS93" s="104">
        <v>3187</v>
      </c>
      <c r="AT93" s="104">
        <v>1913</v>
      </c>
      <c r="AU93" s="29"/>
      <c r="AV93" s="83">
        <v>29882</v>
      </c>
      <c r="AW93" s="104">
        <v>5852</v>
      </c>
      <c r="AX93" s="29"/>
      <c r="AY93" s="120">
        <v>0.84099999999999997</v>
      </c>
      <c r="AZ93" s="120">
        <v>9.0999999999999998E-2</v>
      </c>
      <c r="BA93" s="120">
        <v>4.5999999999999999E-2</v>
      </c>
      <c r="BB93" s="82">
        <v>2.1999999999999999E-2</v>
      </c>
      <c r="BC93" s="29"/>
      <c r="BD93" s="159">
        <v>0</v>
      </c>
      <c r="BE93" s="89"/>
      <c r="BF93" s="94"/>
      <c r="BG93" s="159">
        <v>0</v>
      </c>
      <c r="BH93" s="159" t="s">
        <v>208</v>
      </c>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20"/>
      <c r="DM93" s="20"/>
      <c r="DN93" s="20"/>
      <c r="DO93" s="20"/>
      <c r="DP93" s="20"/>
      <c r="DQ93" s="20"/>
      <c r="DR93" s="20"/>
      <c r="DS93" s="20"/>
      <c r="DT93" s="20"/>
      <c r="DU93" s="20"/>
      <c r="DV93" s="20"/>
      <c r="DW93" s="20"/>
      <c r="DX93" s="20"/>
      <c r="DY93" s="20"/>
      <c r="DZ93" s="20"/>
      <c r="EA93" s="20"/>
      <c r="EB93" s="20"/>
      <c r="EC93" s="20"/>
      <c r="ED93" s="20"/>
      <c r="EE93" s="20"/>
      <c r="EF93" s="20"/>
      <c r="EG93" s="20"/>
      <c r="EH93" s="20"/>
      <c r="EI93" s="20"/>
      <c r="EJ93" s="20"/>
      <c r="EK93" s="20"/>
      <c r="EL93" s="20"/>
      <c r="EM93" s="20"/>
      <c r="EN93" s="20"/>
      <c r="EO93" s="20"/>
      <c r="EP93" s="20"/>
      <c r="EQ93" s="20"/>
      <c r="ER93" s="20"/>
      <c r="ES93" s="20"/>
      <c r="ET93" s="20"/>
      <c r="EU93" s="20"/>
      <c r="EV93" s="20"/>
      <c r="EW93" s="20"/>
      <c r="EX93" s="20"/>
      <c r="EY93" s="20"/>
      <c r="EZ93" s="20"/>
      <c r="FA93" s="20"/>
      <c r="FB93" s="20"/>
      <c r="FC93" s="20"/>
      <c r="FD93" s="20"/>
      <c r="FE93" s="20"/>
      <c r="FF93" s="20"/>
      <c r="FG93" s="20"/>
      <c r="FH93" s="20"/>
      <c r="FI93" s="20"/>
      <c r="FJ93" s="20"/>
      <c r="FK93" s="20"/>
      <c r="FL93" s="20"/>
      <c r="FM93" s="20"/>
      <c r="FN93" s="20"/>
      <c r="FO93" s="20"/>
      <c r="FP93" s="20"/>
      <c r="FQ93" s="20"/>
      <c r="FR93" s="20"/>
      <c r="FS93" s="20"/>
      <c r="FT93" s="20"/>
      <c r="FU93" s="20"/>
      <c r="FV93" s="20"/>
      <c r="FW93" s="20"/>
      <c r="FX93" s="20"/>
      <c r="FY93" s="20"/>
      <c r="FZ93" s="20"/>
      <c r="GA93" s="20"/>
      <c r="GB93" s="20"/>
      <c r="GC93" s="20"/>
      <c r="GD93" s="20"/>
      <c r="GE93" s="20"/>
      <c r="GF93" s="20"/>
      <c r="GG93" s="20"/>
      <c r="GH93" s="20"/>
      <c r="GI93" s="20"/>
      <c r="GJ93" s="20"/>
      <c r="GK93" s="20"/>
      <c r="GL93" s="20"/>
      <c r="GM93" s="20"/>
      <c r="GN93" s="20"/>
      <c r="GO93" s="20"/>
      <c r="GP93" s="20"/>
      <c r="GQ93" s="20"/>
      <c r="GR93" s="20"/>
      <c r="GS93" s="20"/>
      <c r="GT93" s="20"/>
      <c r="GU93" s="20"/>
      <c r="GV93" s="20"/>
      <c r="GW93" s="20"/>
      <c r="GX93" s="20"/>
      <c r="GY93" s="20"/>
      <c r="GZ93" s="20"/>
      <c r="HA93" s="20"/>
      <c r="HB93" s="20"/>
      <c r="HC93" s="20"/>
      <c r="HD93" s="20"/>
      <c r="HE93" s="20"/>
      <c r="HF93" s="20"/>
      <c r="HG93" s="20"/>
      <c r="HH93" s="20"/>
      <c r="HI93" s="20"/>
      <c r="HJ93" s="20"/>
      <c r="HK93" s="20"/>
      <c r="HL93" s="20"/>
      <c r="HM93" s="20"/>
      <c r="HN93" s="20"/>
      <c r="HO93" s="20"/>
      <c r="HP93" s="20"/>
      <c r="HQ93" s="20"/>
      <c r="HR93" s="20"/>
      <c r="HS93" s="20"/>
      <c r="HT93" s="20"/>
      <c r="HU93" s="20"/>
      <c r="HV93" s="20"/>
      <c r="HW93" s="20"/>
      <c r="HX93" s="20"/>
      <c r="HY93" s="20"/>
      <c r="HZ93" s="20"/>
      <c r="IA93" s="20"/>
      <c r="IB93" s="20"/>
      <c r="IC93" s="20"/>
      <c r="ID93" s="20"/>
      <c r="IE93" s="20"/>
      <c r="IF93" s="20"/>
      <c r="IG93" s="20"/>
      <c r="IH93" s="20"/>
      <c r="II93" s="20"/>
      <c r="IJ93" s="20"/>
      <c r="IK93" s="20"/>
      <c r="IL93" s="20"/>
      <c r="IM93" s="20"/>
      <c r="IN93" s="20"/>
      <c r="IO93" s="20"/>
      <c r="IP93" s="20"/>
      <c r="IQ93" s="20"/>
      <c r="IR93" s="20"/>
      <c r="IS93" s="20"/>
      <c r="IT93" s="20"/>
      <c r="IU93" s="20"/>
      <c r="IV93" s="20"/>
      <c r="IW93" s="20"/>
      <c r="IX93" s="20"/>
      <c r="IY93" s="20"/>
      <c r="IZ93" s="20"/>
      <c r="JA93" s="20"/>
      <c r="JB93" s="20"/>
      <c r="JC93" s="20"/>
      <c r="JD93" s="20"/>
      <c r="JE93" s="20"/>
      <c r="JF93" s="20"/>
      <c r="JG93" s="20"/>
      <c r="JH93" s="20"/>
      <c r="JI93" s="20"/>
    </row>
    <row r="94" spans="1:269" ht="17.25" customHeight="1">
      <c r="A94" s="101"/>
      <c r="B94" s="20" t="s">
        <v>116</v>
      </c>
      <c r="C94" s="20" t="s">
        <v>139</v>
      </c>
      <c r="D94" s="83">
        <v>1803359</v>
      </c>
      <c r="E94" s="82">
        <v>2E-3</v>
      </c>
      <c r="F94" s="82">
        <v>4.8000000000000001E-2</v>
      </c>
      <c r="G94" s="29"/>
      <c r="H94" s="83">
        <v>2787</v>
      </c>
      <c r="I94" s="104">
        <v>2194</v>
      </c>
      <c r="J94" s="29"/>
      <c r="K94" s="83">
        <v>23395</v>
      </c>
      <c r="L94" s="104">
        <v>5061</v>
      </c>
      <c r="M94" s="29"/>
      <c r="N94" s="160">
        <v>0.05</v>
      </c>
      <c r="O94" s="160">
        <v>0.03</v>
      </c>
      <c r="P94" s="29"/>
      <c r="Q94" s="85">
        <v>0</v>
      </c>
      <c r="R94" s="14"/>
      <c r="S94" s="15"/>
      <c r="T94" s="104">
        <v>7792</v>
      </c>
      <c r="U94" s="86">
        <v>7.0000000000000007E-2</v>
      </c>
      <c r="V94" s="29"/>
      <c r="W94" s="83">
        <v>21268</v>
      </c>
      <c r="X94" s="86">
        <v>0.01</v>
      </c>
      <c r="Y94" s="29"/>
      <c r="Z94" s="104">
        <v>4481</v>
      </c>
      <c r="AA94" s="86">
        <v>0.01</v>
      </c>
      <c r="AB94" s="29"/>
      <c r="AC94" s="83">
        <v>28224</v>
      </c>
      <c r="AD94" s="82">
        <v>-0.13100000000000001</v>
      </c>
      <c r="AE94" s="29"/>
      <c r="AF94" s="104">
        <v>5840</v>
      </c>
      <c r="AG94" s="120">
        <v>-7.9000000000000001E-2</v>
      </c>
      <c r="AH94" s="85">
        <v>4.83</v>
      </c>
      <c r="AI94" s="84">
        <v>55.2</v>
      </c>
      <c r="AJ94" s="160">
        <v>329</v>
      </c>
      <c r="AK94" s="83">
        <v>289</v>
      </c>
      <c r="AL94" s="102">
        <v>54</v>
      </c>
      <c r="AM94" s="29"/>
      <c r="AN94" s="83">
        <v>8203</v>
      </c>
      <c r="AO94" s="83">
        <v>12471</v>
      </c>
      <c r="AP94" s="83">
        <v>7551</v>
      </c>
      <c r="AQ94" s="29"/>
      <c r="AR94" s="104">
        <v>1386</v>
      </c>
      <c r="AS94" s="104">
        <v>2659</v>
      </c>
      <c r="AT94" s="104">
        <v>1795</v>
      </c>
      <c r="AU94" s="29"/>
      <c r="AV94" s="83">
        <v>25840</v>
      </c>
      <c r="AW94" s="104">
        <v>5251</v>
      </c>
      <c r="AX94" s="29"/>
      <c r="AY94" s="120">
        <v>0.70199999999999996</v>
      </c>
      <c r="AZ94" s="120">
        <v>0.16600000000000001</v>
      </c>
      <c r="BA94" s="120">
        <v>0.104</v>
      </c>
      <c r="BB94" s="82">
        <v>2.7E-2</v>
      </c>
      <c r="BC94" s="29"/>
      <c r="BD94" s="160">
        <v>0</v>
      </c>
      <c r="BE94" s="89"/>
      <c r="BF94" s="94"/>
      <c r="BG94" s="160">
        <v>0</v>
      </c>
      <c r="BH94" s="160" t="s">
        <v>208</v>
      </c>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20"/>
      <c r="DM94" s="20"/>
      <c r="DN94" s="20"/>
      <c r="DO94" s="20"/>
      <c r="DP94" s="20"/>
      <c r="DQ94" s="20"/>
      <c r="DR94" s="20"/>
      <c r="DS94" s="20"/>
      <c r="DT94" s="20"/>
      <c r="DU94" s="20"/>
      <c r="DV94" s="20"/>
      <c r="DW94" s="20"/>
      <c r="DX94" s="20"/>
      <c r="DY94" s="20"/>
      <c r="DZ94" s="20"/>
      <c r="EA94" s="20"/>
      <c r="EB94" s="20"/>
      <c r="EC94" s="20"/>
      <c r="ED94" s="20"/>
      <c r="EE94" s="20"/>
      <c r="EF94" s="20"/>
      <c r="EG94" s="20"/>
      <c r="EH94" s="20"/>
      <c r="EI94" s="20"/>
      <c r="EJ94" s="20"/>
      <c r="EK94" s="20"/>
      <c r="EL94" s="20"/>
      <c r="EM94" s="20"/>
      <c r="EN94" s="20"/>
      <c r="EO94" s="20"/>
      <c r="EP94" s="20"/>
      <c r="EQ94" s="20"/>
      <c r="ER94" s="20"/>
      <c r="ES94" s="20"/>
      <c r="ET94" s="20"/>
      <c r="EU94" s="20"/>
      <c r="EV94" s="20"/>
      <c r="EW94" s="20"/>
      <c r="EX94" s="20"/>
      <c r="EY94" s="20"/>
      <c r="EZ94" s="20"/>
      <c r="FA94" s="20"/>
      <c r="FB94" s="20"/>
      <c r="FC94" s="20"/>
      <c r="FD94" s="20"/>
      <c r="FE94" s="20"/>
      <c r="FF94" s="20"/>
      <c r="FG94" s="20"/>
      <c r="FH94" s="20"/>
      <c r="FI94" s="20"/>
      <c r="FJ94" s="20"/>
      <c r="FK94" s="20"/>
      <c r="FL94" s="20"/>
      <c r="FM94" s="20"/>
      <c r="FN94" s="20"/>
      <c r="FO94" s="20"/>
      <c r="FP94" s="20"/>
      <c r="FQ94" s="20"/>
      <c r="FR94" s="20"/>
      <c r="FS94" s="20"/>
      <c r="FT94" s="20"/>
      <c r="FU94" s="20"/>
      <c r="FV94" s="20"/>
      <c r="FW94" s="20"/>
      <c r="FX94" s="20"/>
      <c r="FY94" s="20"/>
      <c r="FZ94" s="20"/>
      <c r="GA94" s="20"/>
      <c r="GB94" s="20"/>
      <c r="GC94" s="20"/>
      <c r="GD94" s="20"/>
      <c r="GE94" s="20"/>
      <c r="GF94" s="20"/>
      <c r="GG94" s="20"/>
      <c r="GH94" s="20"/>
      <c r="GI94" s="20"/>
      <c r="GJ94" s="20"/>
      <c r="GK94" s="20"/>
      <c r="GL94" s="20"/>
      <c r="GM94" s="20"/>
      <c r="GN94" s="20"/>
      <c r="GO94" s="20"/>
      <c r="GP94" s="20"/>
      <c r="GQ94" s="20"/>
      <c r="GR94" s="20"/>
      <c r="GS94" s="20"/>
      <c r="GT94" s="20"/>
      <c r="GU94" s="20"/>
      <c r="GV94" s="20"/>
      <c r="GW94" s="20"/>
      <c r="GX94" s="20"/>
      <c r="GY94" s="20"/>
      <c r="GZ94" s="20"/>
      <c r="HA94" s="20"/>
      <c r="HB94" s="20"/>
      <c r="HC94" s="20"/>
      <c r="HD94" s="20"/>
      <c r="HE94" s="20"/>
      <c r="HF94" s="20"/>
      <c r="HG94" s="20"/>
      <c r="HH94" s="20"/>
      <c r="HI94" s="20"/>
      <c r="HJ94" s="20"/>
      <c r="HK94" s="20"/>
      <c r="HL94" s="20"/>
      <c r="HM94" s="20"/>
      <c r="HN94" s="20"/>
      <c r="HO94" s="20"/>
      <c r="HP94" s="20"/>
      <c r="HQ94" s="20"/>
      <c r="HR94" s="20"/>
      <c r="HS94" s="20"/>
      <c r="HT94" s="20"/>
      <c r="HU94" s="20"/>
      <c r="HV94" s="20"/>
      <c r="HW94" s="20"/>
      <c r="HX94" s="20"/>
      <c r="HY94" s="20"/>
      <c r="HZ94" s="20"/>
      <c r="IA94" s="20"/>
      <c r="IB94" s="20"/>
      <c r="IC94" s="20"/>
      <c r="ID94" s="20"/>
      <c r="IE94" s="20"/>
      <c r="IF94" s="20"/>
      <c r="IG94" s="20"/>
      <c r="IH94" s="20"/>
      <c r="II94" s="20"/>
      <c r="IJ94" s="20"/>
      <c r="IK94" s="20"/>
      <c r="IL94" s="20"/>
      <c r="IM94" s="20"/>
      <c r="IN94" s="20"/>
      <c r="IO94" s="20"/>
      <c r="IP94" s="20"/>
      <c r="IQ94" s="20"/>
      <c r="IR94" s="20"/>
      <c r="IS94" s="20"/>
      <c r="IT94" s="20"/>
      <c r="IU94" s="20"/>
      <c r="IV94" s="20"/>
      <c r="IW94" s="20"/>
      <c r="IX94" s="20"/>
      <c r="IY94" s="20"/>
      <c r="IZ94" s="20"/>
      <c r="JA94" s="20"/>
      <c r="JB94" s="20"/>
      <c r="JC94" s="20"/>
      <c r="JD94" s="20"/>
      <c r="JE94" s="20"/>
      <c r="JF94" s="20"/>
      <c r="JG94" s="20"/>
      <c r="JH94" s="20"/>
      <c r="JI94" s="20"/>
    </row>
    <row r="95" spans="1:269" ht="17.25" customHeight="1">
      <c r="A95" s="101"/>
      <c r="B95" s="20" t="s">
        <v>115</v>
      </c>
      <c r="C95" s="20" t="s">
        <v>237</v>
      </c>
      <c r="D95" s="83">
        <v>1809906</v>
      </c>
      <c r="E95" s="82">
        <v>4.0000000000000001E-3</v>
      </c>
      <c r="F95" s="82">
        <v>4.2000000000000003E-2</v>
      </c>
      <c r="G95" s="29"/>
      <c r="H95" s="83">
        <v>2799</v>
      </c>
      <c r="I95" s="104">
        <v>2158</v>
      </c>
      <c r="J95" s="29"/>
      <c r="K95" s="83">
        <v>23246</v>
      </c>
      <c r="L95" s="104">
        <v>5029</v>
      </c>
      <c r="M95" s="29"/>
      <c r="N95" s="161">
        <v>0.06</v>
      </c>
      <c r="O95" s="161">
        <v>0.04</v>
      </c>
      <c r="P95" s="29"/>
      <c r="Q95" s="85">
        <v>0</v>
      </c>
      <c r="R95" s="14"/>
      <c r="S95" s="15"/>
      <c r="T95" s="104">
        <v>7510</v>
      </c>
      <c r="U95" s="82">
        <v>-3.5999999999999997E-2</v>
      </c>
      <c r="V95" s="29"/>
      <c r="W95" s="83">
        <v>21858</v>
      </c>
      <c r="X95" s="82">
        <v>2.8000000000000001E-2</v>
      </c>
      <c r="Y95" s="29"/>
      <c r="Z95" s="104">
        <v>4591</v>
      </c>
      <c r="AA95" s="82">
        <v>2.5000000000000001E-2</v>
      </c>
      <c r="AB95" s="29"/>
      <c r="AC95" s="83">
        <v>25574</v>
      </c>
      <c r="AD95" s="82">
        <v>-9.4E-2</v>
      </c>
      <c r="AE95" s="29"/>
      <c r="AF95" s="104">
        <v>5255</v>
      </c>
      <c r="AG95" s="121">
        <v>-0.1</v>
      </c>
      <c r="AH95" s="85">
        <v>4.87</v>
      </c>
      <c r="AI95" s="84">
        <v>57.1</v>
      </c>
      <c r="AJ95" s="161">
        <v>329</v>
      </c>
      <c r="AK95" s="83">
        <v>228</v>
      </c>
      <c r="AL95" s="102">
        <v>37</v>
      </c>
      <c r="AM95" s="29"/>
      <c r="AN95" s="83">
        <v>7031</v>
      </c>
      <c r="AO95" s="83">
        <v>12517</v>
      </c>
      <c r="AP95" s="83">
        <v>6026</v>
      </c>
      <c r="AQ95" s="29"/>
      <c r="AR95" s="104">
        <v>1186</v>
      </c>
      <c r="AS95" s="104">
        <v>2663</v>
      </c>
      <c r="AT95" s="104">
        <v>1406</v>
      </c>
      <c r="AU95" s="29"/>
      <c r="AV95" s="83">
        <v>22756</v>
      </c>
      <c r="AW95" s="104">
        <v>4652</v>
      </c>
      <c r="AX95" s="29"/>
      <c r="AY95" s="120">
        <v>0.67500000000000004</v>
      </c>
      <c r="AZ95" s="121">
        <v>0.26</v>
      </c>
      <c r="BA95" s="120">
        <v>3.3000000000000002E-2</v>
      </c>
      <c r="BB95" s="82">
        <v>3.3000000000000002E-2</v>
      </c>
      <c r="BC95" s="29"/>
      <c r="BD95" s="161">
        <v>0</v>
      </c>
      <c r="BE95" s="89"/>
      <c r="BF95" s="94"/>
      <c r="BG95" s="161">
        <v>0</v>
      </c>
      <c r="BH95" s="161" t="s">
        <v>208</v>
      </c>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c r="CL95" s="20"/>
      <c r="CM95" s="20"/>
      <c r="CN95" s="20"/>
      <c r="CO95" s="20"/>
      <c r="CP95" s="20"/>
      <c r="CQ95" s="20"/>
      <c r="CR95" s="20"/>
      <c r="CS95" s="20"/>
      <c r="CT95" s="20"/>
      <c r="CU95" s="20"/>
      <c r="CV95" s="20"/>
      <c r="CW95" s="20"/>
      <c r="CX95" s="20"/>
      <c r="CY95" s="20"/>
      <c r="CZ95" s="20"/>
      <c r="DA95" s="20"/>
      <c r="DB95" s="20"/>
      <c r="DC95" s="20"/>
      <c r="DD95" s="20"/>
      <c r="DE95" s="20"/>
      <c r="DF95" s="20"/>
      <c r="DG95" s="20"/>
      <c r="DH95" s="20"/>
      <c r="DI95" s="20"/>
      <c r="DJ95" s="20"/>
      <c r="DK95" s="20"/>
      <c r="DL95" s="20"/>
      <c r="DM95" s="20"/>
      <c r="DN95" s="20"/>
      <c r="DO95" s="20"/>
      <c r="DP95" s="20"/>
      <c r="DQ95" s="20"/>
      <c r="DR95" s="20"/>
      <c r="DS95" s="20"/>
      <c r="DT95" s="20"/>
      <c r="DU95" s="20"/>
      <c r="DV95" s="20"/>
      <c r="DW95" s="20"/>
      <c r="DX95" s="20"/>
      <c r="DY95" s="20"/>
      <c r="DZ95" s="20"/>
      <c r="EA95" s="20"/>
      <c r="EB95" s="20"/>
      <c r="EC95" s="20"/>
      <c r="ED95" s="20"/>
      <c r="EE95" s="20"/>
      <c r="EF95" s="20"/>
      <c r="EG95" s="20"/>
      <c r="EH95" s="20"/>
      <c r="EI95" s="20"/>
      <c r="EJ95" s="20"/>
      <c r="EK95" s="20"/>
      <c r="EL95" s="20"/>
      <c r="EM95" s="20"/>
      <c r="EN95" s="20"/>
      <c r="EO95" s="20"/>
      <c r="EP95" s="20"/>
      <c r="EQ95" s="20"/>
      <c r="ER95" s="20"/>
      <c r="ES95" s="20"/>
      <c r="ET95" s="20"/>
      <c r="EU95" s="20"/>
      <c r="EV95" s="20"/>
      <c r="EW95" s="20"/>
      <c r="EX95" s="20"/>
      <c r="EY95" s="20"/>
      <c r="EZ95" s="20"/>
      <c r="FA95" s="20"/>
      <c r="FB95" s="20"/>
      <c r="FC95" s="20"/>
      <c r="FD95" s="20"/>
      <c r="FE95" s="20"/>
      <c r="FF95" s="20"/>
      <c r="FG95" s="20"/>
      <c r="FH95" s="20"/>
      <c r="FI95" s="20"/>
      <c r="FJ95" s="20"/>
      <c r="FK95" s="20"/>
      <c r="FL95" s="20"/>
      <c r="FM95" s="20"/>
      <c r="FN95" s="20"/>
      <c r="FO95" s="20"/>
      <c r="FP95" s="20"/>
      <c r="FQ95" s="20"/>
      <c r="FR95" s="20"/>
      <c r="FS95" s="20"/>
      <c r="FT95" s="20"/>
      <c r="FU95" s="20"/>
      <c r="FV95" s="20"/>
      <c r="FW95" s="20"/>
      <c r="FX95" s="20"/>
      <c r="FY95" s="20"/>
      <c r="FZ95" s="20"/>
      <c r="GA95" s="20"/>
      <c r="GB95" s="20"/>
      <c r="GC95" s="20"/>
      <c r="GD95" s="20"/>
      <c r="GE95" s="20"/>
      <c r="GF95" s="20"/>
      <c r="GG95" s="20"/>
      <c r="GH95" s="20"/>
      <c r="GI95" s="20"/>
      <c r="GJ95" s="20"/>
      <c r="GK95" s="20"/>
      <c r="GL95" s="20"/>
      <c r="GM95" s="20"/>
      <c r="GN95" s="20"/>
      <c r="GO95" s="20"/>
      <c r="GP95" s="20"/>
      <c r="GQ95" s="20"/>
      <c r="GR95" s="20"/>
      <c r="GS95" s="20"/>
      <c r="GT95" s="20"/>
      <c r="GU95" s="20"/>
      <c r="GV95" s="20"/>
      <c r="GW95" s="20"/>
      <c r="GX95" s="20"/>
      <c r="GY95" s="20"/>
      <c r="GZ95" s="20"/>
      <c r="HA95" s="20"/>
      <c r="HB95" s="20"/>
      <c r="HC95" s="20"/>
      <c r="HD95" s="20"/>
      <c r="HE95" s="20"/>
      <c r="HF95" s="20"/>
      <c r="HG95" s="20"/>
      <c r="HH95" s="20"/>
      <c r="HI95" s="20"/>
      <c r="HJ95" s="20"/>
      <c r="HK95" s="20"/>
      <c r="HL95" s="20"/>
      <c r="HM95" s="20"/>
      <c r="HN95" s="20"/>
      <c r="HO95" s="20"/>
      <c r="HP95" s="20"/>
      <c r="HQ95" s="20"/>
      <c r="HR95" s="20"/>
      <c r="HS95" s="20"/>
      <c r="HT95" s="20"/>
      <c r="HU95" s="20"/>
      <c r="HV95" s="20"/>
      <c r="HW95" s="20"/>
      <c r="HX95" s="20"/>
      <c r="HY95" s="20"/>
      <c r="HZ95" s="20"/>
      <c r="IA95" s="20"/>
      <c r="IB95" s="20"/>
      <c r="IC95" s="20"/>
      <c r="ID95" s="20"/>
      <c r="IE95" s="20"/>
      <c r="IF95" s="20"/>
      <c r="IG95" s="20"/>
      <c r="IH95" s="20"/>
      <c r="II95" s="20"/>
      <c r="IJ95" s="20"/>
      <c r="IK95" s="20"/>
      <c r="IL95" s="20"/>
      <c r="IM95" s="20"/>
      <c r="IN95" s="20"/>
      <c r="IO95" s="20"/>
      <c r="IP95" s="20"/>
      <c r="IQ95" s="20"/>
      <c r="IR95" s="20"/>
      <c r="IS95" s="20"/>
      <c r="IT95" s="20"/>
      <c r="IU95" s="20"/>
      <c r="IV95" s="20"/>
      <c r="IW95" s="20"/>
      <c r="IX95" s="20"/>
      <c r="IY95" s="20"/>
      <c r="IZ95" s="20"/>
      <c r="JA95" s="20"/>
      <c r="JB95" s="20"/>
      <c r="JC95" s="20"/>
      <c r="JD95" s="20"/>
      <c r="JE95" s="20"/>
      <c r="JF95" s="20"/>
      <c r="JG95" s="20"/>
      <c r="JH95" s="20"/>
      <c r="JI95" s="20"/>
    </row>
    <row r="96" spans="1:269" ht="17.25" customHeight="1">
      <c r="A96" s="101"/>
      <c r="B96" s="20"/>
      <c r="C96" s="20"/>
      <c r="D96" s="83"/>
      <c r="E96" s="82"/>
      <c r="F96" s="82"/>
      <c r="G96" s="29"/>
      <c r="H96" s="83"/>
      <c r="I96" s="104"/>
      <c r="J96" s="29"/>
      <c r="K96" s="83"/>
      <c r="L96" s="104"/>
      <c r="M96" s="29"/>
      <c r="N96" s="162"/>
      <c r="O96" s="162"/>
      <c r="P96" s="29"/>
      <c r="Q96" s="85"/>
      <c r="R96" s="14"/>
      <c r="S96" s="15"/>
      <c r="T96" s="104"/>
      <c r="U96" s="82"/>
      <c r="V96" s="29"/>
      <c r="W96" s="83"/>
      <c r="X96" s="82"/>
      <c r="Y96" s="29"/>
      <c r="Z96" s="104"/>
      <c r="AA96" s="82"/>
      <c r="AB96" s="29"/>
      <c r="AC96" s="83"/>
      <c r="AD96" s="82"/>
      <c r="AE96" s="29"/>
      <c r="AF96" s="104"/>
      <c r="AG96" s="121"/>
      <c r="AH96" s="85"/>
      <c r="AI96" s="84"/>
      <c r="AJ96" s="162"/>
      <c r="AK96" s="83"/>
      <c r="AL96" s="102"/>
      <c r="AM96" s="29"/>
      <c r="AN96" s="83"/>
      <c r="AO96" s="83"/>
      <c r="AP96" s="83"/>
      <c r="AQ96" s="29"/>
      <c r="AR96" s="104"/>
      <c r="AS96" s="104"/>
      <c r="AT96" s="104"/>
      <c r="AU96" s="29"/>
      <c r="AV96" s="83"/>
      <c r="AW96" s="104"/>
      <c r="AX96" s="29"/>
      <c r="AY96" s="120"/>
      <c r="AZ96" s="121"/>
      <c r="BA96" s="120"/>
      <c r="BB96" s="82"/>
      <c r="BC96" s="29"/>
      <c r="BD96" s="162"/>
      <c r="BE96" s="89"/>
      <c r="BF96" s="94"/>
      <c r="BG96" s="162"/>
      <c r="BH96" s="162"/>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c r="CK96" s="20"/>
      <c r="CL96" s="20"/>
      <c r="CM96" s="2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20"/>
      <c r="DM96" s="20"/>
      <c r="DN96" s="20"/>
      <c r="DO96" s="20"/>
      <c r="DP96" s="20"/>
      <c r="DQ96" s="20"/>
      <c r="DR96" s="20"/>
      <c r="DS96" s="20"/>
      <c r="DT96" s="20"/>
      <c r="DU96" s="20"/>
      <c r="DV96" s="20"/>
      <c r="DW96" s="20"/>
      <c r="DX96" s="20"/>
      <c r="DY96" s="20"/>
      <c r="DZ96" s="20"/>
      <c r="EA96" s="20"/>
      <c r="EB96" s="20"/>
      <c r="EC96" s="20"/>
      <c r="ED96" s="20"/>
      <c r="EE96" s="20"/>
      <c r="EF96" s="20"/>
      <c r="EG96" s="20"/>
      <c r="EH96" s="20"/>
      <c r="EI96" s="20"/>
      <c r="EJ96" s="20"/>
      <c r="EK96" s="20"/>
      <c r="EL96" s="20"/>
      <c r="EM96" s="20"/>
      <c r="EN96" s="20"/>
      <c r="EO96" s="20"/>
      <c r="EP96" s="20"/>
      <c r="EQ96" s="20"/>
      <c r="ER96" s="20"/>
      <c r="ES96" s="20"/>
      <c r="ET96" s="20"/>
      <c r="EU96" s="20"/>
      <c r="EV96" s="20"/>
      <c r="EW96" s="20"/>
      <c r="EX96" s="20"/>
      <c r="EY96" s="20"/>
      <c r="EZ96" s="20"/>
      <c r="FA96" s="20"/>
      <c r="FB96" s="20"/>
      <c r="FC96" s="20"/>
      <c r="FD96" s="20"/>
      <c r="FE96" s="20"/>
      <c r="FF96" s="20"/>
      <c r="FG96" s="20"/>
      <c r="FH96" s="20"/>
      <c r="FI96" s="20"/>
      <c r="FJ96" s="20"/>
      <c r="FK96" s="20"/>
      <c r="FL96" s="20"/>
      <c r="FM96" s="20"/>
      <c r="FN96" s="20"/>
      <c r="FO96" s="20"/>
      <c r="FP96" s="20"/>
      <c r="FQ96" s="20"/>
      <c r="FR96" s="20"/>
      <c r="FS96" s="20"/>
      <c r="FT96" s="20"/>
      <c r="FU96" s="20"/>
      <c r="FV96" s="20"/>
      <c r="FW96" s="20"/>
      <c r="FX96" s="20"/>
      <c r="FY96" s="20"/>
      <c r="FZ96" s="20"/>
      <c r="GA96" s="20"/>
      <c r="GB96" s="20"/>
      <c r="GC96" s="20"/>
      <c r="GD96" s="20"/>
      <c r="GE96" s="20"/>
      <c r="GF96" s="20"/>
      <c r="GG96" s="20"/>
      <c r="GH96" s="20"/>
      <c r="GI96" s="20"/>
      <c r="GJ96" s="20"/>
      <c r="GK96" s="20"/>
      <c r="GL96" s="20"/>
      <c r="GM96" s="20"/>
      <c r="GN96" s="20"/>
      <c r="GO96" s="20"/>
      <c r="GP96" s="20"/>
      <c r="GQ96" s="20"/>
      <c r="GR96" s="20"/>
      <c r="GS96" s="20"/>
      <c r="GT96" s="20"/>
      <c r="GU96" s="20"/>
      <c r="GV96" s="20"/>
      <c r="GW96" s="20"/>
      <c r="GX96" s="20"/>
      <c r="GY96" s="20"/>
      <c r="GZ96" s="20"/>
      <c r="HA96" s="20"/>
      <c r="HB96" s="20"/>
      <c r="HC96" s="20"/>
      <c r="HD96" s="20"/>
      <c r="HE96" s="20"/>
      <c r="HF96" s="20"/>
      <c r="HG96" s="20"/>
      <c r="HH96" s="20"/>
      <c r="HI96" s="20"/>
      <c r="HJ96" s="20"/>
      <c r="HK96" s="20"/>
      <c r="HL96" s="20"/>
      <c r="HM96" s="20"/>
      <c r="HN96" s="20"/>
      <c r="HO96" s="20"/>
      <c r="HP96" s="20"/>
      <c r="HQ96" s="20"/>
      <c r="HR96" s="20"/>
      <c r="HS96" s="20"/>
      <c r="HT96" s="20"/>
      <c r="HU96" s="20"/>
      <c r="HV96" s="20"/>
      <c r="HW96" s="20"/>
      <c r="HX96" s="20"/>
      <c r="HY96" s="20"/>
      <c r="HZ96" s="20"/>
      <c r="IA96" s="20"/>
      <c r="IB96" s="20"/>
      <c r="IC96" s="20"/>
      <c r="ID96" s="20"/>
      <c r="IE96" s="20"/>
      <c r="IF96" s="20"/>
      <c r="IG96" s="20"/>
      <c r="IH96" s="20"/>
      <c r="II96" s="20"/>
      <c r="IJ96" s="20"/>
      <c r="IK96" s="20"/>
      <c r="IL96" s="20"/>
      <c r="IM96" s="20"/>
      <c r="IN96" s="20"/>
      <c r="IO96" s="20"/>
      <c r="IP96" s="20"/>
      <c r="IQ96" s="20"/>
      <c r="IR96" s="20"/>
      <c r="IS96" s="20"/>
      <c r="IT96" s="20"/>
      <c r="IU96" s="20"/>
      <c r="IV96" s="20"/>
      <c r="IW96" s="20"/>
      <c r="IX96" s="20"/>
      <c r="IY96" s="20"/>
      <c r="IZ96" s="20"/>
      <c r="JA96" s="20"/>
      <c r="JB96" s="20"/>
      <c r="JC96" s="20"/>
      <c r="JD96" s="20"/>
      <c r="JE96" s="20"/>
      <c r="JF96" s="20"/>
      <c r="JG96" s="20"/>
      <c r="JH96" s="20"/>
      <c r="JI96" s="20"/>
    </row>
    <row r="97" spans="1:269" ht="17.25" customHeight="1">
      <c r="A97" s="101">
        <v>2023</v>
      </c>
      <c r="B97" s="20" t="s">
        <v>114</v>
      </c>
      <c r="C97" s="20" t="s">
        <v>135</v>
      </c>
      <c r="D97" s="83">
        <v>1813979</v>
      </c>
      <c r="E97" s="82">
        <v>2E-3</v>
      </c>
      <c r="F97" s="82">
        <v>3.7999999999999999E-2</v>
      </c>
      <c r="G97" s="29"/>
      <c r="H97" s="83">
        <v>2763</v>
      </c>
      <c r="I97" s="104">
        <v>2079</v>
      </c>
      <c r="J97" s="29"/>
      <c r="K97" s="83">
        <v>23586</v>
      </c>
      <c r="L97" s="104">
        <v>5110</v>
      </c>
      <c r="M97" s="29"/>
      <c r="N97" s="162">
        <v>0.06</v>
      </c>
      <c r="O97" s="162">
        <v>0.04</v>
      </c>
      <c r="P97" s="29"/>
      <c r="Q97" s="85">
        <v>0</v>
      </c>
      <c r="R97" s="14"/>
      <c r="S97" s="15"/>
      <c r="T97" s="104">
        <v>7342</v>
      </c>
      <c r="U97" s="82">
        <v>-2.1999999999999999E-2</v>
      </c>
      <c r="V97" s="29"/>
      <c r="W97" s="83">
        <v>17237</v>
      </c>
      <c r="X97" s="82">
        <v>-0.21099999999999999</v>
      </c>
      <c r="Y97" s="29"/>
      <c r="Z97" s="104">
        <v>3485</v>
      </c>
      <c r="AA97" s="82">
        <v>-0.24099999999999999</v>
      </c>
      <c r="AB97" s="29"/>
      <c r="AC97" s="83">
        <v>26484</v>
      </c>
      <c r="AD97" s="82">
        <v>3.5999999999999997E-2</v>
      </c>
      <c r="AE97" s="29"/>
      <c r="AF97" s="104">
        <v>5353</v>
      </c>
      <c r="AG97" s="120">
        <v>1.9E-2</v>
      </c>
      <c r="AH97" s="85">
        <v>4.95</v>
      </c>
      <c r="AI97" s="84">
        <v>59.3</v>
      </c>
      <c r="AJ97" s="162">
        <v>332</v>
      </c>
      <c r="AK97" s="83">
        <v>108</v>
      </c>
      <c r="AL97" s="102">
        <v>21</v>
      </c>
      <c r="AM97" s="29"/>
      <c r="AN97" s="83">
        <v>6496</v>
      </c>
      <c r="AO97" s="83">
        <v>14672</v>
      </c>
      <c r="AP97" s="83">
        <v>5316</v>
      </c>
      <c r="AQ97" s="29"/>
      <c r="AR97" s="104">
        <v>1053</v>
      </c>
      <c r="AS97" s="104">
        <v>3135</v>
      </c>
      <c r="AT97" s="104">
        <v>1165</v>
      </c>
      <c r="AU97" s="29"/>
      <c r="AV97" s="83">
        <v>24779</v>
      </c>
      <c r="AW97" s="104">
        <v>4979</v>
      </c>
      <c r="AX97" s="29"/>
      <c r="AY97" s="120">
        <v>0.67400000000000004</v>
      </c>
      <c r="AZ97" s="120">
        <v>0.29199999999999998</v>
      </c>
      <c r="BA97" s="120">
        <v>5.0000000000000001E-3</v>
      </c>
      <c r="BB97" s="82">
        <v>2.9000000000000001E-2</v>
      </c>
      <c r="BC97" s="29"/>
      <c r="BD97" s="162">
        <v>0</v>
      </c>
      <c r="BE97" s="89"/>
      <c r="BF97" s="94"/>
      <c r="BG97" s="162">
        <v>0</v>
      </c>
      <c r="BH97" s="162" t="s">
        <v>208</v>
      </c>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20"/>
      <c r="DM97" s="20"/>
      <c r="DN97" s="20"/>
      <c r="DO97" s="20"/>
      <c r="DP97" s="20"/>
      <c r="DQ97" s="20"/>
      <c r="DR97" s="20"/>
      <c r="DS97" s="20"/>
      <c r="DT97" s="20"/>
      <c r="DU97" s="20"/>
      <c r="DV97" s="20"/>
      <c r="DW97" s="20"/>
      <c r="DX97" s="20"/>
      <c r="DY97" s="20"/>
      <c r="DZ97" s="20"/>
      <c r="EA97" s="20"/>
      <c r="EB97" s="20"/>
      <c r="EC97" s="20"/>
      <c r="ED97" s="20"/>
      <c r="EE97" s="20"/>
      <c r="EF97" s="20"/>
      <c r="EG97" s="20"/>
      <c r="EH97" s="20"/>
      <c r="EI97" s="20"/>
      <c r="EJ97" s="20"/>
      <c r="EK97" s="20"/>
      <c r="EL97" s="20"/>
      <c r="EM97" s="20"/>
      <c r="EN97" s="20"/>
      <c r="EO97" s="20"/>
      <c r="EP97" s="20"/>
      <c r="EQ97" s="20"/>
      <c r="ER97" s="20"/>
      <c r="ES97" s="20"/>
      <c r="ET97" s="20"/>
      <c r="EU97" s="20"/>
      <c r="EV97" s="20"/>
      <c r="EW97" s="20"/>
      <c r="EX97" s="20"/>
      <c r="EY97" s="20"/>
      <c r="EZ97" s="20"/>
      <c r="FA97" s="20"/>
      <c r="FB97" s="20"/>
      <c r="FC97" s="20"/>
      <c r="FD97" s="20"/>
      <c r="FE97" s="20"/>
      <c r="FF97" s="20"/>
      <c r="FG97" s="20"/>
      <c r="FH97" s="20"/>
      <c r="FI97" s="20"/>
      <c r="FJ97" s="20"/>
      <c r="FK97" s="20"/>
      <c r="FL97" s="20"/>
      <c r="FM97" s="20"/>
      <c r="FN97" s="20"/>
      <c r="FO97" s="20"/>
      <c r="FP97" s="20"/>
      <c r="FQ97" s="20"/>
      <c r="FR97" s="20"/>
      <c r="FS97" s="20"/>
      <c r="FT97" s="20"/>
      <c r="FU97" s="20"/>
      <c r="FV97" s="20"/>
      <c r="FW97" s="20"/>
      <c r="FX97" s="20"/>
      <c r="FY97" s="20"/>
      <c r="FZ97" s="20"/>
      <c r="GA97" s="20"/>
      <c r="GB97" s="20"/>
      <c r="GC97" s="20"/>
      <c r="GD97" s="20"/>
      <c r="GE97" s="20"/>
      <c r="GF97" s="20"/>
      <c r="GG97" s="20"/>
      <c r="GH97" s="20"/>
      <c r="GI97" s="20"/>
      <c r="GJ97" s="20"/>
      <c r="GK97" s="20"/>
      <c r="GL97" s="20"/>
      <c r="GM97" s="20"/>
      <c r="GN97" s="20"/>
      <c r="GO97" s="20"/>
      <c r="GP97" s="20"/>
      <c r="GQ97" s="20"/>
      <c r="GR97" s="20"/>
      <c r="GS97" s="20"/>
      <c r="GT97" s="20"/>
      <c r="GU97" s="20"/>
      <c r="GV97" s="20"/>
      <c r="GW97" s="20"/>
      <c r="GX97" s="20"/>
      <c r="GY97" s="20"/>
      <c r="GZ97" s="20"/>
      <c r="HA97" s="20"/>
      <c r="HB97" s="20"/>
      <c r="HC97" s="20"/>
      <c r="HD97" s="20"/>
      <c r="HE97" s="20"/>
      <c r="HF97" s="20"/>
      <c r="HG97" s="20"/>
      <c r="HH97" s="20"/>
      <c r="HI97" s="20"/>
      <c r="HJ97" s="20"/>
      <c r="HK97" s="20"/>
      <c r="HL97" s="20"/>
      <c r="HM97" s="20"/>
      <c r="HN97" s="20"/>
      <c r="HO97" s="20"/>
      <c r="HP97" s="20"/>
      <c r="HQ97" s="20"/>
      <c r="HR97" s="20"/>
      <c r="HS97" s="20"/>
      <c r="HT97" s="20"/>
      <c r="HU97" s="20"/>
      <c r="HV97" s="20"/>
      <c r="HW97" s="20"/>
      <c r="HX97" s="20"/>
      <c r="HY97" s="20"/>
      <c r="HZ97" s="20"/>
      <c r="IA97" s="20"/>
      <c r="IB97" s="20"/>
      <c r="IC97" s="20"/>
      <c r="ID97" s="20"/>
      <c r="IE97" s="20"/>
      <c r="IF97" s="20"/>
      <c r="IG97" s="20"/>
      <c r="IH97" s="20"/>
      <c r="II97" s="20"/>
      <c r="IJ97" s="20"/>
      <c r="IK97" s="20"/>
      <c r="IL97" s="20"/>
      <c r="IM97" s="20"/>
      <c r="IN97" s="20"/>
      <c r="IO97" s="20"/>
      <c r="IP97" s="20"/>
      <c r="IQ97" s="20"/>
      <c r="IR97" s="20"/>
      <c r="IS97" s="20"/>
      <c r="IT97" s="20"/>
      <c r="IU97" s="20"/>
      <c r="IV97" s="20"/>
      <c r="IW97" s="20"/>
      <c r="IX97" s="20"/>
      <c r="IY97" s="20"/>
      <c r="IZ97" s="20"/>
      <c r="JA97" s="20"/>
      <c r="JB97" s="20"/>
      <c r="JC97" s="20"/>
      <c r="JD97" s="20"/>
      <c r="JE97" s="20"/>
      <c r="JF97" s="20"/>
      <c r="JG97" s="20"/>
      <c r="JH97" s="20"/>
      <c r="JI97" s="20"/>
    </row>
    <row r="98" spans="1:269" ht="17.25" customHeight="1">
      <c r="A98" s="101"/>
      <c r="B98" s="20" t="s">
        <v>113</v>
      </c>
      <c r="C98" s="20" t="s">
        <v>134</v>
      </c>
      <c r="D98" s="83">
        <v>1817765</v>
      </c>
      <c r="E98" s="82">
        <v>2E-3</v>
      </c>
      <c r="F98" s="82">
        <v>3.5999999999999997E-2</v>
      </c>
      <c r="G98" s="29"/>
      <c r="H98" s="83">
        <v>2753</v>
      </c>
      <c r="I98" s="104">
        <v>2035</v>
      </c>
      <c r="J98" s="29"/>
      <c r="K98" s="83">
        <v>23395</v>
      </c>
      <c r="L98" s="104">
        <v>5070</v>
      </c>
      <c r="M98" s="29"/>
      <c r="N98" s="163">
        <v>0.06</v>
      </c>
      <c r="O98" s="163">
        <v>0.04</v>
      </c>
      <c r="P98" s="29"/>
      <c r="Q98" s="85">
        <v>0</v>
      </c>
      <c r="R98" s="14"/>
      <c r="S98" s="15"/>
      <c r="T98" s="104">
        <v>9719</v>
      </c>
      <c r="U98" s="82">
        <v>0.32400000000000001</v>
      </c>
      <c r="V98" s="29"/>
      <c r="W98" s="83">
        <v>17332</v>
      </c>
      <c r="X98" s="82">
        <v>6.0000000000000001E-3</v>
      </c>
      <c r="Y98" s="29"/>
      <c r="Z98" s="104">
        <v>3578</v>
      </c>
      <c r="AA98" s="82">
        <v>2.7E-2</v>
      </c>
      <c r="AB98" s="29"/>
      <c r="AC98" s="83">
        <v>34185</v>
      </c>
      <c r="AD98" s="82">
        <v>0.29099999999999998</v>
      </c>
      <c r="AE98" s="29"/>
      <c r="AF98" s="104">
        <v>7170</v>
      </c>
      <c r="AG98" s="120">
        <v>0.33900000000000002</v>
      </c>
      <c r="AH98" s="85">
        <v>4.7699999999999996</v>
      </c>
      <c r="AI98" s="84">
        <v>60.8</v>
      </c>
      <c r="AJ98" s="163">
        <v>336</v>
      </c>
      <c r="AK98" s="83">
        <v>233</v>
      </c>
      <c r="AL98" s="102">
        <v>40</v>
      </c>
      <c r="AM98" s="29"/>
      <c r="AN98" s="83">
        <v>7691</v>
      </c>
      <c r="AO98" s="83">
        <v>21647</v>
      </c>
      <c r="AP98" s="83">
        <v>4848</v>
      </c>
      <c r="AQ98" s="29"/>
      <c r="AR98" s="104">
        <v>1343</v>
      </c>
      <c r="AS98" s="104">
        <v>4648</v>
      </c>
      <c r="AT98" s="104">
        <v>1179</v>
      </c>
      <c r="AU98" s="29"/>
      <c r="AV98" s="83">
        <v>31293</v>
      </c>
      <c r="AW98" s="104">
        <v>6610</v>
      </c>
      <c r="AX98" s="29"/>
      <c r="AY98" s="120">
        <v>0.76300000000000001</v>
      </c>
      <c r="AZ98" s="120">
        <v>0.21099999999999999</v>
      </c>
      <c r="BA98" s="121">
        <v>0</v>
      </c>
      <c r="BB98" s="82">
        <v>2.5999999999999999E-2</v>
      </c>
      <c r="BC98" s="29"/>
      <c r="BD98" s="163">
        <v>0</v>
      </c>
      <c r="BE98" s="89"/>
      <c r="BF98" s="94"/>
      <c r="BG98" s="163">
        <v>0</v>
      </c>
      <c r="BH98" s="163" t="s">
        <v>208</v>
      </c>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c r="CL98" s="20"/>
      <c r="CM98" s="20"/>
      <c r="CN98" s="20"/>
      <c r="CO98" s="20"/>
      <c r="CP98" s="20"/>
      <c r="CQ98" s="20"/>
      <c r="CR98" s="20"/>
      <c r="CS98" s="20"/>
      <c r="CT98" s="20"/>
      <c r="CU98" s="20"/>
      <c r="CV98" s="20"/>
      <c r="CW98" s="20"/>
      <c r="CX98" s="20"/>
      <c r="CY98" s="20"/>
      <c r="CZ98" s="20"/>
      <c r="DA98" s="20"/>
      <c r="DB98" s="20"/>
      <c r="DC98" s="20"/>
      <c r="DD98" s="20"/>
      <c r="DE98" s="20"/>
      <c r="DF98" s="20"/>
      <c r="DG98" s="20"/>
      <c r="DH98" s="20"/>
      <c r="DI98" s="20"/>
      <c r="DJ98" s="20"/>
      <c r="DK98" s="20"/>
      <c r="DL98" s="20"/>
      <c r="DM98" s="20"/>
      <c r="DN98" s="20"/>
      <c r="DO98" s="20"/>
      <c r="DP98" s="20"/>
      <c r="DQ98" s="20"/>
      <c r="DR98" s="20"/>
      <c r="DS98" s="20"/>
      <c r="DT98" s="20"/>
      <c r="DU98" s="20"/>
      <c r="DV98" s="20"/>
      <c r="DW98" s="20"/>
      <c r="DX98" s="20"/>
      <c r="DY98" s="20"/>
      <c r="DZ98" s="20"/>
      <c r="EA98" s="20"/>
      <c r="EB98" s="20"/>
      <c r="EC98" s="20"/>
      <c r="ED98" s="20"/>
      <c r="EE98" s="20"/>
      <c r="EF98" s="20"/>
      <c r="EG98" s="20"/>
      <c r="EH98" s="20"/>
      <c r="EI98" s="20"/>
      <c r="EJ98" s="20"/>
      <c r="EK98" s="20"/>
      <c r="EL98" s="20"/>
      <c r="EM98" s="20"/>
      <c r="EN98" s="20"/>
      <c r="EO98" s="20"/>
      <c r="EP98" s="20"/>
      <c r="EQ98" s="20"/>
      <c r="ER98" s="20"/>
      <c r="ES98" s="20"/>
      <c r="ET98" s="20"/>
      <c r="EU98" s="20"/>
      <c r="EV98" s="20"/>
      <c r="EW98" s="20"/>
      <c r="EX98" s="20"/>
      <c r="EY98" s="20"/>
      <c r="EZ98" s="20"/>
      <c r="FA98" s="20"/>
      <c r="FB98" s="20"/>
      <c r="FC98" s="20"/>
      <c r="FD98" s="20"/>
      <c r="FE98" s="20"/>
      <c r="FF98" s="20"/>
      <c r="FG98" s="20"/>
      <c r="FH98" s="20"/>
      <c r="FI98" s="20"/>
      <c r="FJ98" s="20"/>
      <c r="FK98" s="20"/>
      <c r="FL98" s="20"/>
      <c r="FM98" s="20"/>
      <c r="FN98" s="20"/>
      <c r="FO98" s="20"/>
      <c r="FP98" s="20"/>
      <c r="FQ98" s="20"/>
      <c r="FR98" s="20"/>
      <c r="FS98" s="20"/>
      <c r="FT98" s="20"/>
      <c r="FU98" s="20"/>
      <c r="FV98" s="20"/>
      <c r="FW98" s="20"/>
      <c r="FX98" s="20"/>
      <c r="FY98" s="20"/>
      <c r="FZ98" s="20"/>
      <c r="GA98" s="20"/>
      <c r="GB98" s="20"/>
      <c r="GC98" s="20"/>
      <c r="GD98" s="20"/>
      <c r="GE98" s="20"/>
      <c r="GF98" s="20"/>
      <c r="GG98" s="20"/>
      <c r="GH98" s="20"/>
      <c r="GI98" s="20"/>
      <c r="GJ98" s="20"/>
      <c r="GK98" s="20"/>
      <c r="GL98" s="20"/>
      <c r="GM98" s="20"/>
      <c r="GN98" s="20"/>
      <c r="GO98" s="20"/>
      <c r="GP98" s="20"/>
      <c r="GQ98" s="20"/>
      <c r="GR98" s="20"/>
      <c r="GS98" s="20"/>
      <c r="GT98" s="20"/>
      <c r="GU98" s="20"/>
      <c r="GV98" s="20"/>
      <c r="GW98" s="20"/>
      <c r="GX98" s="20"/>
      <c r="GY98" s="20"/>
      <c r="GZ98" s="20"/>
      <c r="HA98" s="20"/>
      <c r="HB98" s="20"/>
      <c r="HC98" s="20"/>
      <c r="HD98" s="20"/>
      <c r="HE98" s="20"/>
      <c r="HF98" s="20"/>
      <c r="HG98" s="20"/>
      <c r="HH98" s="20"/>
      <c r="HI98" s="20"/>
      <c r="HJ98" s="20"/>
      <c r="HK98" s="20"/>
      <c r="HL98" s="20"/>
      <c r="HM98" s="20"/>
      <c r="HN98" s="20"/>
      <c r="HO98" s="20"/>
      <c r="HP98" s="20"/>
      <c r="HQ98" s="20"/>
      <c r="HR98" s="20"/>
      <c r="HS98" s="20"/>
      <c r="HT98" s="20"/>
      <c r="HU98" s="20"/>
      <c r="HV98" s="20"/>
      <c r="HW98" s="20"/>
      <c r="HX98" s="20"/>
      <c r="HY98" s="20"/>
      <c r="HZ98" s="20"/>
      <c r="IA98" s="20"/>
      <c r="IB98" s="20"/>
      <c r="IC98" s="20"/>
      <c r="ID98" s="20"/>
      <c r="IE98" s="20"/>
      <c r="IF98" s="20"/>
      <c r="IG98" s="20"/>
      <c r="IH98" s="20"/>
      <c r="II98" s="20"/>
      <c r="IJ98" s="20"/>
      <c r="IK98" s="20"/>
      <c r="IL98" s="20"/>
      <c r="IM98" s="20"/>
      <c r="IN98" s="20"/>
      <c r="IO98" s="20"/>
      <c r="IP98" s="20"/>
      <c r="IQ98" s="20"/>
      <c r="IR98" s="20"/>
      <c r="IS98" s="20"/>
      <c r="IT98" s="20"/>
      <c r="IU98" s="20"/>
      <c r="IV98" s="20"/>
      <c r="IW98" s="20"/>
      <c r="IX98" s="20"/>
      <c r="IY98" s="20"/>
      <c r="IZ98" s="20"/>
      <c r="JA98" s="20"/>
      <c r="JB98" s="20"/>
      <c r="JC98" s="20"/>
      <c r="JD98" s="20"/>
      <c r="JE98" s="20"/>
      <c r="JF98" s="20"/>
      <c r="JG98" s="20"/>
      <c r="JH98" s="20"/>
      <c r="JI98" s="20"/>
    </row>
    <row r="99" spans="1:269" ht="17.25" customHeight="1">
      <c r="A99" s="101"/>
      <c r="B99" s="20" t="s">
        <v>112</v>
      </c>
      <c r="C99" s="20" t="s">
        <v>157</v>
      </c>
      <c r="D99" s="83">
        <v>1819837</v>
      </c>
      <c r="E99" s="82">
        <v>1E-3</v>
      </c>
      <c r="F99" s="82">
        <v>3.4000000000000002E-2</v>
      </c>
      <c r="G99" s="29"/>
      <c r="H99" s="83">
        <v>2745</v>
      </c>
      <c r="I99" s="104">
        <v>1981</v>
      </c>
      <c r="J99" s="29"/>
      <c r="K99" s="83">
        <v>23255</v>
      </c>
      <c r="L99" s="104">
        <v>5042</v>
      </c>
      <c r="M99" s="29"/>
      <c r="N99" s="164">
        <v>0.06</v>
      </c>
      <c r="O99" s="164">
        <v>0.04</v>
      </c>
      <c r="P99" s="29"/>
      <c r="Q99" s="85">
        <v>0</v>
      </c>
      <c r="R99" s="14"/>
      <c r="S99" s="15"/>
      <c r="T99" s="104">
        <v>11553</v>
      </c>
      <c r="U99" s="82">
        <v>0.189</v>
      </c>
      <c r="V99" s="29"/>
      <c r="W99" s="83">
        <v>18235</v>
      </c>
      <c r="X99" s="82">
        <v>5.1999999999999998E-2</v>
      </c>
      <c r="Y99" s="29"/>
      <c r="Z99" s="104">
        <v>4027</v>
      </c>
      <c r="AA99" s="82">
        <v>0.125</v>
      </c>
      <c r="AB99" s="29"/>
      <c r="AC99" s="83">
        <v>44942</v>
      </c>
      <c r="AD99" s="82">
        <v>0.315</v>
      </c>
      <c r="AE99" s="29"/>
      <c r="AF99" s="104">
        <v>9364</v>
      </c>
      <c r="AG99" s="120">
        <v>0.30599999999999999</v>
      </c>
      <c r="AH99" s="85">
        <v>4.8</v>
      </c>
      <c r="AI99" s="84">
        <v>59.6</v>
      </c>
      <c r="AJ99" s="164">
        <v>330</v>
      </c>
      <c r="AK99" s="83">
        <v>237</v>
      </c>
      <c r="AL99" s="102">
        <v>44</v>
      </c>
      <c r="AM99" s="29"/>
      <c r="AN99" s="83">
        <v>9591</v>
      </c>
      <c r="AO99" s="83">
        <v>29976</v>
      </c>
      <c r="AP99" s="83">
        <v>5375</v>
      </c>
      <c r="AQ99" s="29"/>
      <c r="AR99" s="104">
        <v>1747</v>
      </c>
      <c r="AS99" s="104">
        <v>6336</v>
      </c>
      <c r="AT99" s="104">
        <v>1281</v>
      </c>
      <c r="AU99" s="29"/>
      <c r="AV99" s="83">
        <v>41478</v>
      </c>
      <c r="AW99" s="104">
        <v>8576</v>
      </c>
      <c r="AX99" s="29"/>
      <c r="AY99" s="120">
        <v>0.86599999999999999</v>
      </c>
      <c r="AZ99" s="120">
        <v>9.0999999999999998E-2</v>
      </c>
      <c r="BA99" s="121">
        <v>0</v>
      </c>
      <c r="BB99" s="82">
        <v>4.3999999999999997E-2</v>
      </c>
      <c r="BC99" s="29"/>
      <c r="BD99" s="164">
        <v>0</v>
      </c>
      <c r="BE99" s="89"/>
      <c r="BF99" s="94"/>
      <c r="BG99" s="164">
        <v>0</v>
      </c>
      <c r="BH99" s="164" t="s">
        <v>208</v>
      </c>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20"/>
      <c r="CX99" s="20"/>
      <c r="CY99" s="20"/>
      <c r="CZ99" s="20"/>
      <c r="DA99" s="20"/>
      <c r="DB99" s="20"/>
      <c r="DC99" s="20"/>
      <c r="DD99" s="20"/>
      <c r="DE99" s="20"/>
      <c r="DF99" s="20"/>
      <c r="DG99" s="20"/>
      <c r="DH99" s="20"/>
      <c r="DI99" s="20"/>
      <c r="DJ99" s="20"/>
      <c r="DK99" s="20"/>
      <c r="DL99" s="20"/>
      <c r="DM99" s="20"/>
      <c r="DN99" s="20"/>
      <c r="DO99" s="20"/>
      <c r="DP99" s="20"/>
      <c r="DQ99" s="20"/>
      <c r="DR99" s="20"/>
      <c r="DS99" s="20"/>
      <c r="DT99" s="20"/>
      <c r="DU99" s="20"/>
      <c r="DV99" s="20"/>
      <c r="DW99" s="20"/>
      <c r="DX99" s="20"/>
      <c r="DY99" s="20"/>
      <c r="DZ99" s="20"/>
      <c r="EA99" s="20"/>
      <c r="EB99" s="20"/>
      <c r="EC99" s="20"/>
      <c r="ED99" s="20"/>
      <c r="EE99" s="20"/>
      <c r="EF99" s="20"/>
      <c r="EG99" s="20"/>
      <c r="EH99" s="20"/>
      <c r="EI99" s="20"/>
      <c r="EJ99" s="20"/>
      <c r="EK99" s="20"/>
      <c r="EL99" s="20"/>
      <c r="EM99" s="20"/>
      <c r="EN99" s="20"/>
      <c r="EO99" s="20"/>
      <c r="EP99" s="20"/>
      <c r="EQ99" s="20"/>
      <c r="ER99" s="20"/>
      <c r="ES99" s="20"/>
      <c r="ET99" s="20"/>
      <c r="EU99" s="20"/>
      <c r="EV99" s="20"/>
      <c r="EW99" s="20"/>
      <c r="EX99" s="20"/>
      <c r="EY99" s="20"/>
      <c r="EZ99" s="20"/>
      <c r="FA99" s="20"/>
      <c r="FB99" s="20"/>
      <c r="FC99" s="20"/>
      <c r="FD99" s="20"/>
      <c r="FE99" s="20"/>
      <c r="FF99" s="20"/>
      <c r="FG99" s="20"/>
      <c r="FH99" s="20"/>
      <c r="FI99" s="20"/>
      <c r="FJ99" s="20"/>
      <c r="FK99" s="20"/>
      <c r="FL99" s="20"/>
      <c r="FM99" s="20"/>
      <c r="FN99" s="20"/>
      <c r="FO99" s="20"/>
      <c r="FP99" s="20"/>
      <c r="FQ99" s="20"/>
      <c r="FR99" s="20"/>
      <c r="FS99" s="20"/>
      <c r="FT99" s="20"/>
      <c r="FU99" s="20"/>
      <c r="FV99" s="20"/>
      <c r="FW99" s="20"/>
      <c r="FX99" s="20"/>
      <c r="FY99" s="20"/>
      <c r="FZ99" s="20"/>
      <c r="GA99" s="20"/>
      <c r="GB99" s="20"/>
      <c r="GC99" s="20"/>
      <c r="GD99" s="20"/>
      <c r="GE99" s="20"/>
      <c r="GF99" s="20"/>
      <c r="GG99" s="20"/>
      <c r="GH99" s="20"/>
      <c r="GI99" s="20"/>
      <c r="GJ99" s="20"/>
      <c r="GK99" s="20"/>
      <c r="GL99" s="20"/>
      <c r="GM99" s="20"/>
      <c r="GN99" s="20"/>
      <c r="GO99" s="20"/>
      <c r="GP99" s="20"/>
      <c r="GQ99" s="20"/>
      <c r="GR99" s="20"/>
      <c r="GS99" s="20"/>
      <c r="GT99" s="20"/>
      <c r="GU99" s="20"/>
      <c r="GV99" s="20"/>
      <c r="GW99" s="20"/>
      <c r="GX99" s="20"/>
      <c r="GY99" s="20"/>
      <c r="GZ99" s="20"/>
      <c r="HA99" s="20"/>
      <c r="HB99" s="20"/>
      <c r="HC99" s="20"/>
      <c r="HD99" s="20"/>
      <c r="HE99" s="20"/>
      <c r="HF99" s="20"/>
      <c r="HG99" s="20"/>
      <c r="HH99" s="20"/>
      <c r="HI99" s="20"/>
      <c r="HJ99" s="20"/>
      <c r="HK99" s="20"/>
      <c r="HL99" s="20"/>
      <c r="HM99" s="20"/>
      <c r="HN99" s="20"/>
      <c r="HO99" s="20"/>
      <c r="HP99" s="20"/>
      <c r="HQ99" s="20"/>
      <c r="HR99" s="20"/>
      <c r="HS99" s="20"/>
      <c r="HT99" s="20"/>
      <c r="HU99" s="20"/>
      <c r="HV99" s="20"/>
      <c r="HW99" s="20"/>
      <c r="HX99" s="20"/>
      <c r="HY99" s="20"/>
      <c r="HZ99" s="20"/>
      <c r="IA99" s="20"/>
      <c r="IB99" s="20"/>
      <c r="IC99" s="20"/>
      <c r="ID99" s="20"/>
      <c r="IE99" s="20"/>
      <c r="IF99" s="20"/>
      <c r="IG99" s="20"/>
      <c r="IH99" s="20"/>
      <c r="II99" s="20"/>
      <c r="IJ99" s="20"/>
      <c r="IK99" s="20"/>
      <c r="IL99" s="20"/>
      <c r="IM99" s="20"/>
      <c r="IN99" s="20"/>
      <c r="IO99" s="20"/>
      <c r="IP99" s="20"/>
      <c r="IQ99" s="20"/>
      <c r="IR99" s="20"/>
      <c r="IS99" s="20"/>
      <c r="IT99" s="20"/>
      <c r="IU99" s="20"/>
      <c r="IV99" s="20"/>
      <c r="IW99" s="20"/>
      <c r="IX99" s="20"/>
      <c r="IY99" s="20"/>
      <c r="IZ99" s="20"/>
      <c r="JA99" s="20"/>
      <c r="JB99" s="20"/>
      <c r="JC99" s="20"/>
      <c r="JD99" s="20"/>
      <c r="JE99" s="20"/>
      <c r="JF99" s="20"/>
      <c r="JG99" s="20"/>
      <c r="JH99" s="20"/>
      <c r="JI99" s="20"/>
    </row>
    <row r="100" spans="1:269" ht="17.25" customHeight="1">
      <c r="A100" s="101"/>
      <c r="B100" s="20" t="s">
        <v>111</v>
      </c>
      <c r="C100" s="20" t="s">
        <v>153</v>
      </c>
      <c r="D100" s="83">
        <v>1822820</v>
      </c>
      <c r="E100" s="82">
        <v>2E-3</v>
      </c>
      <c r="F100" s="82">
        <v>3.4000000000000002E-2</v>
      </c>
      <c r="G100" s="29"/>
      <c r="H100" s="83">
        <v>2732</v>
      </c>
      <c r="I100" s="104">
        <v>1933</v>
      </c>
      <c r="J100" s="29"/>
      <c r="K100" s="83">
        <v>23130</v>
      </c>
      <c r="L100" s="104">
        <v>5010</v>
      </c>
      <c r="M100" s="29"/>
      <c r="N100" s="165">
        <v>0.06</v>
      </c>
      <c r="O100" s="165">
        <v>0.04</v>
      </c>
      <c r="P100" s="29"/>
      <c r="Q100" s="85">
        <v>0</v>
      </c>
      <c r="R100" s="14"/>
      <c r="S100" s="15"/>
      <c r="T100" s="104">
        <v>8368</v>
      </c>
      <c r="U100" s="82">
        <v>-0.27600000000000002</v>
      </c>
      <c r="V100" s="29"/>
      <c r="W100" s="83">
        <v>17056</v>
      </c>
      <c r="X100" s="82">
        <v>-6.5000000000000002E-2</v>
      </c>
      <c r="Y100" s="29"/>
      <c r="Z100" s="104">
        <v>3832</v>
      </c>
      <c r="AA100" s="82">
        <v>-4.8000000000000001E-2</v>
      </c>
      <c r="AB100" s="29"/>
      <c r="AC100" s="83">
        <v>35396</v>
      </c>
      <c r="AD100" s="82">
        <v>-0.21199999999999999</v>
      </c>
      <c r="AE100" s="29"/>
      <c r="AF100" s="104">
        <v>7132</v>
      </c>
      <c r="AG100" s="120">
        <v>-0.23799999999999999</v>
      </c>
      <c r="AH100" s="85">
        <v>4.96</v>
      </c>
      <c r="AI100" s="84">
        <v>58.9</v>
      </c>
      <c r="AJ100" s="165">
        <v>331</v>
      </c>
      <c r="AK100" s="83">
        <v>312</v>
      </c>
      <c r="AL100" s="102">
        <v>50</v>
      </c>
      <c r="AM100" s="29"/>
      <c r="AN100" s="83">
        <v>9664</v>
      </c>
      <c r="AO100" s="83">
        <v>21297</v>
      </c>
      <c r="AP100" s="83">
        <v>4435</v>
      </c>
      <c r="AQ100" s="29"/>
      <c r="AR100" s="104">
        <v>1735</v>
      </c>
      <c r="AS100" s="104">
        <v>4353</v>
      </c>
      <c r="AT100" s="104">
        <v>1044</v>
      </c>
      <c r="AU100" s="29"/>
      <c r="AV100" s="83">
        <v>33740</v>
      </c>
      <c r="AW100" s="104">
        <v>6766</v>
      </c>
      <c r="AX100" s="29"/>
      <c r="AY100" s="120">
        <v>0.93899999999999995</v>
      </c>
      <c r="AZ100" s="120">
        <v>2.9000000000000001E-2</v>
      </c>
      <c r="BA100" s="121">
        <v>0</v>
      </c>
      <c r="BB100" s="82">
        <v>3.2000000000000001E-2</v>
      </c>
      <c r="BC100" s="29"/>
      <c r="BD100" s="165">
        <v>0</v>
      </c>
      <c r="BE100" s="89"/>
      <c r="BF100" s="94"/>
      <c r="BG100" s="165">
        <v>0</v>
      </c>
      <c r="BH100" s="165" t="s">
        <v>208</v>
      </c>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c r="CL100" s="20"/>
      <c r="CM100" s="20"/>
      <c r="CN100" s="20"/>
      <c r="CO100" s="20"/>
      <c r="CP100" s="20"/>
      <c r="CQ100" s="20"/>
      <c r="CR100" s="20"/>
      <c r="CS100" s="20"/>
      <c r="CT100" s="20"/>
      <c r="CU100" s="20"/>
      <c r="CV100" s="20"/>
      <c r="CW100" s="20"/>
      <c r="CX100" s="20"/>
      <c r="CY100" s="20"/>
      <c r="CZ100" s="20"/>
      <c r="DA100" s="20"/>
      <c r="DB100" s="20"/>
      <c r="DC100" s="20"/>
      <c r="DD100" s="20"/>
      <c r="DE100" s="20"/>
      <c r="DF100" s="20"/>
      <c r="DG100" s="20"/>
      <c r="DH100" s="20"/>
      <c r="DI100" s="20"/>
      <c r="DJ100" s="20"/>
      <c r="DK100" s="20"/>
      <c r="DL100" s="20"/>
      <c r="DM100" s="20"/>
      <c r="DN100" s="20"/>
      <c r="DO100" s="20"/>
      <c r="DP100" s="20"/>
      <c r="DQ100" s="20"/>
      <c r="DR100" s="20"/>
      <c r="DS100" s="20"/>
      <c r="DT100" s="20"/>
      <c r="DU100" s="20"/>
      <c r="DV100" s="20"/>
      <c r="DW100" s="20"/>
      <c r="DX100" s="20"/>
      <c r="DY100" s="20"/>
      <c r="DZ100" s="20"/>
      <c r="EA100" s="20"/>
      <c r="EB100" s="20"/>
      <c r="EC100" s="20"/>
      <c r="ED100" s="20"/>
      <c r="EE100" s="20"/>
      <c r="EF100" s="20"/>
      <c r="EG100" s="20"/>
      <c r="EH100" s="20"/>
      <c r="EI100" s="20"/>
      <c r="EJ100" s="20"/>
      <c r="EK100" s="20"/>
      <c r="EL100" s="20"/>
      <c r="EM100" s="20"/>
      <c r="EN100" s="20"/>
      <c r="EO100" s="20"/>
      <c r="EP100" s="20"/>
      <c r="EQ100" s="20"/>
      <c r="ER100" s="20"/>
      <c r="ES100" s="20"/>
      <c r="ET100" s="20"/>
      <c r="EU100" s="20"/>
      <c r="EV100" s="20"/>
      <c r="EW100" s="20"/>
      <c r="EX100" s="20"/>
      <c r="EY100" s="20"/>
      <c r="EZ100" s="20"/>
      <c r="FA100" s="20"/>
      <c r="FB100" s="20"/>
      <c r="FC100" s="20"/>
      <c r="FD100" s="20"/>
      <c r="FE100" s="20"/>
      <c r="FF100" s="20"/>
      <c r="FG100" s="20"/>
      <c r="FH100" s="20"/>
      <c r="FI100" s="20"/>
      <c r="FJ100" s="20"/>
      <c r="FK100" s="20"/>
      <c r="FL100" s="20"/>
      <c r="FM100" s="20"/>
      <c r="FN100" s="20"/>
      <c r="FO100" s="20"/>
      <c r="FP100" s="20"/>
      <c r="FQ100" s="20"/>
      <c r="FR100" s="20"/>
      <c r="FS100" s="20"/>
      <c r="FT100" s="20"/>
      <c r="FU100" s="20"/>
      <c r="FV100" s="20"/>
      <c r="FW100" s="20"/>
      <c r="FX100" s="20"/>
      <c r="FY100" s="20"/>
      <c r="FZ100" s="20"/>
      <c r="GA100" s="20"/>
      <c r="GB100" s="20"/>
      <c r="GC100" s="20"/>
      <c r="GD100" s="20"/>
      <c r="GE100" s="20"/>
      <c r="GF100" s="20"/>
      <c r="GG100" s="20"/>
      <c r="GH100" s="20"/>
      <c r="GI100" s="20"/>
      <c r="GJ100" s="20"/>
      <c r="GK100" s="20"/>
      <c r="GL100" s="20"/>
      <c r="GM100" s="20"/>
      <c r="GN100" s="20"/>
      <c r="GO100" s="20"/>
      <c r="GP100" s="20"/>
      <c r="GQ100" s="20"/>
      <c r="GR100" s="20"/>
      <c r="GS100" s="20"/>
      <c r="GT100" s="20"/>
      <c r="GU100" s="20"/>
      <c r="GV100" s="20"/>
      <c r="GW100" s="20"/>
      <c r="GX100" s="20"/>
      <c r="GY100" s="20"/>
      <c r="GZ100" s="20"/>
      <c r="HA100" s="20"/>
      <c r="HB100" s="20"/>
      <c r="HC100" s="20"/>
      <c r="HD100" s="20"/>
      <c r="HE100" s="20"/>
      <c r="HF100" s="20"/>
      <c r="HG100" s="20"/>
      <c r="HH100" s="20"/>
      <c r="HI100" s="20"/>
      <c r="HJ100" s="20"/>
      <c r="HK100" s="20"/>
      <c r="HL100" s="20"/>
      <c r="HM100" s="20"/>
      <c r="HN100" s="20"/>
      <c r="HO100" s="20"/>
      <c r="HP100" s="20"/>
      <c r="HQ100" s="20"/>
      <c r="HR100" s="20"/>
      <c r="HS100" s="20"/>
      <c r="HT100" s="20"/>
      <c r="HU100" s="20"/>
      <c r="HV100" s="20"/>
      <c r="HW100" s="20"/>
      <c r="HX100" s="20"/>
      <c r="HY100" s="20"/>
      <c r="HZ100" s="20"/>
      <c r="IA100" s="20"/>
      <c r="IB100" s="20"/>
      <c r="IC100" s="20"/>
      <c r="ID100" s="20"/>
      <c r="IE100" s="20"/>
      <c r="IF100" s="20"/>
      <c r="IG100" s="20"/>
      <c r="IH100" s="20"/>
      <c r="II100" s="20"/>
      <c r="IJ100" s="20"/>
      <c r="IK100" s="20"/>
      <c r="IL100" s="20"/>
      <c r="IM100" s="20"/>
      <c r="IN100" s="20"/>
      <c r="IO100" s="20"/>
      <c r="IP100" s="20"/>
      <c r="IQ100" s="20"/>
      <c r="IR100" s="20"/>
      <c r="IS100" s="20"/>
      <c r="IT100" s="20"/>
      <c r="IU100" s="20"/>
      <c r="IV100" s="20"/>
      <c r="IW100" s="20"/>
      <c r="IX100" s="20"/>
      <c r="IY100" s="20"/>
      <c r="IZ100" s="20"/>
      <c r="JA100" s="20"/>
      <c r="JB100" s="20"/>
      <c r="JC100" s="20"/>
      <c r="JD100" s="20"/>
      <c r="JE100" s="20"/>
      <c r="JF100" s="20"/>
      <c r="JG100" s="20"/>
      <c r="JH100" s="20"/>
      <c r="JI100" s="20"/>
    </row>
    <row r="101" spans="1:269" ht="17.25" customHeight="1">
      <c r="A101" s="101"/>
      <c r="B101" s="20" t="s">
        <v>110</v>
      </c>
      <c r="C101" s="20" t="s">
        <v>133</v>
      </c>
      <c r="D101" s="83">
        <v>1828924</v>
      </c>
      <c r="E101" s="82">
        <v>3.0000000000000001E-3</v>
      </c>
      <c r="F101" s="82">
        <v>3.5000000000000003E-2</v>
      </c>
      <c r="G101" s="29"/>
      <c r="H101" s="83">
        <v>2724</v>
      </c>
      <c r="I101" s="104">
        <v>1882</v>
      </c>
      <c r="J101" s="29"/>
      <c r="K101" s="83">
        <v>22990</v>
      </c>
      <c r="L101" s="104">
        <v>4990</v>
      </c>
      <c r="M101" s="29"/>
      <c r="N101" s="166">
        <v>7.0000000000000007E-2</v>
      </c>
      <c r="O101" s="166">
        <v>0.04</v>
      </c>
      <c r="P101" s="29"/>
      <c r="Q101" s="85">
        <v>0</v>
      </c>
      <c r="R101" s="14"/>
      <c r="S101" s="15"/>
      <c r="T101" s="104">
        <v>9530</v>
      </c>
      <c r="U101" s="82">
        <v>0.13900000000000001</v>
      </c>
      <c r="V101" s="29"/>
      <c r="W101" s="83">
        <v>23919</v>
      </c>
      <c r="X101" s="82">
        <v>0.40200000000000002</v>
      </c>
      <c r="Y101" s="29"/>
      <c r="Z101" s="104">
        <v>5071</v>
      </c>
      <c r="AA101" s="82">
        <v>0.32300000000000001</v>
      </c>
      <c r="AB101" s="29"/>
      <c r="AC101" s="83">
        <v>42589</v>
      </c>
      <c r="AD101" s="82">
        <v>0.20300000000000001</v>
      </c>
      <c r="AE101" s="29"/>
      <c r="AF101" s="104">
        <v>8591</v>
      </c>
      <c r="AG101" s="120">
        <v>0.20499999999999999</v>
      </c>
      <c r="AH101" s="85">
        <v>4.96</v>
      </c>
      <c r="AI101" s="84">
        <v>57.5</v>
      </c>
      <c r="AJ101" s="166">
        <v>330</v>
      </c>
      <c r="AK101" s="83">
        <v>311</v>
      </c>
      <c r="AL101" s="102">
        <v>65</v>
      </c>
      <c r="AM101" s="29"/>
      <c r="AN101" s="83">
        <v>13521</v>
      </c>
      <c r="AO101" s="83">
        <v>22407</v>
      </c>
      <c r="AP101" s="83">
        <v>6662</v>
      </c>
      <c r="AQ101" s="29"/>
      <c r="AR101" s="104">
        <v>2363</v>
      </c>
      <c r="AS101" s="104">
        <v>4643</v>
      </c>
      <c r="AT101" s="104">
        <v>1585</v>
      </c>
      <c r="AU101" s="29"/>
      <c r="AV101" s="83">
        <v>39459</v>
      </c>
      <c r="AW101" s="104">
        <v>7947</v>
      </c>
      <c r="AX101" s="29"/>
      <c r="AY101" s="120">
        <v>0.94</v>
      </c>
      <c r="AZ101" s="120">
        <v>2.8000000000000001E-2</v>
      </c>
      <c r="BA101" s="121">
        <v>0</v>
      </c>
      <c r="BB101" s="82">
        <v>3.2000000000000001E-2</v>
      </c>
      <c r="BC101" s="29"/>
      <c r="BD101" s="166">
        <v>0</v>
      </c>
      <c r="BE101" s="89"/>
      <c r="BF101" s="94"/>
      <c r="BG101" s="166">
        <v>0</v>
      </c>
      <c r="BH101" s="166" t="s">
        <v>208</v>
      </c>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20"/>
      <c r="DS101" s="20"/>
      <c r="DT101" s="20"/>
      <c r="DU101" s="20"/>
      <c r="DV101" s="20"/>
      <c r="DW101" s="20"/>
      <c r="DX101" s="20"/>
      <c r="DY101" s="20"/>
      <c r="DZ101" s="20"/>
      <c r="EA101" s="20"/>
      <c r="EB101" s="20"/>
      <c r="EC101" s="20"/>
      <c r="ED101" s="20"/>
      <c r="EE101" s="20"/>
      <c r="EF101" s="20"/>
      <c r="EG101" s="20"/>
      <c r="EH101" s="20"/>
      <c r="EI101" s="20"/>
      <c r="EJ101" s="20"/>
      <c r="EK101" s="20"/>
      <c r="EL101" s="20"/>
      <c r="EM101" s="20"/>
      <c r="EN101" s="20"/>
      <c r="EO101" s="20"/>
      <c r="EP101" s="20"/>
      <c r="EQ101" s="20"/>
      <c r="ER101" s="20"/>
      <c r="ES101" s="20"/>
      <c r="ET101" s="20"/>
      <c r="EU101" s="20"/>
      <c r="EV101" s="20"/>
      <c r="EW101" s="20"/>
      <c r="EX101" s="20"/>
      <c r="EY101" s="20"/>
      <c r="EZ101" s="20"/>
      <c r="FA101" s="20"/>
      <c r="FB101" s="20"/>
      <c r="FC101" s="20"/>
      <c r="FD101" s="20"/>
      <c r="FE101" s="20"/>
      <c r="FF101" s="20"/>
      <c r="FG101" s="20"/>
      <c r="FH101" s="20"/>
      <c r="FI101" s="20"/>
      <c r="FJ101" s="20"/>
      <c r="FK101" s="20"/>
      <c r="FL101" s="20"/>
      <c r="FM101" s="20"/>
      <c r="FN101" s="20"/>
      <c r="FO101" s="20"/>
      <c r="FP101" s="20"/>
      <c r="FQ101" s="20"/>
      <c r="FR101" s="20"/>
      <c r="FS101" s="20"/>
      <c r="FT101" s="20"/>
      <c r="FU101" s="20"/>
      <c r="FV101" s="20"/>
      <c r="FW101" s="20"/>
      <c r="FX101" s="20"/>
      <c r="FY101" s="20"/>
      <c r="FZ101" s="20"/>
      <c r="GA101" s="20"/>
      <c r="GB101" s="20"/>
      <c r="GC101" s="20"/>
      <c r="GD101" s="20"/>
      <c r="GE101" s="20"/>
      <c r="GF101" s="20"/>
      <c r="GG101" s="20"/>
      <c r="GH101" s="20"/>
      <c r="GI101" s="20"/>
      <c r="GJ101" s="20"/>
      <c r="GK101" s="20"/>
      <c r="GL101" s="20"/>
      <c r="GM101" s="20"/>
      <c r="GN101" s="20"/>
      <c r="GO101" s="20"/>
      <c r="GP101" s="20"/>
      <c r="GQ101" s="20"/>
      <c r="GR101" s="20"/>
      <c r="GS101" s="20"/>
      <c r="GT101" s="20"/>
      <c r="GU101" s="20"/>
      <c r="GV101" s="20"/>
      <c r="GW101" s="20"/>
      <c r="GX101" s="20"/>
      <c r="GY101" s="20"/>
      <c r="GZ101" s="20"/>
      <c r="HA101" s="20"/>
      <c r="HB101" s="20"/>
      <c r="HC101" s="20"/>
      <c r="HD101" s="20"/>
      <c r="HE101" s="20"/>
      <c r="HF101" s="20"/>
      <c r="HG101" s="20"/>
      <c r="HH101" s="20"/>
      <c r="HI101" s="20"/>
      <c r="HJ101" s="20"/>
      <c r="HK101" s="20"/>
      <c r="HL101" s="20"/>
      <c r="HM101" s="20"/>
      <c r="HN101" s="20"/>
      <c r="HO101" s="20"/>
      <c r="HP101" s="20"/>
      <c r="HQ101" s="20"/>
      <c r="HR101" s="20"/>
      <c r="HS101" s="20"/>
      <c r="HT101" s="20"/>
      <c r="HU101" s="20"/>
      <c r="HV101" s="20"/>
      <c r="HW101" s="20"/>
      <c r="HX101" s="20"/>
      <c r="HY101" s="20"/>
      <c r="HZ101" s="20"/>
      <c r="IA101" s="20"/>
      <c r="IB101" s="20"/>
      <c r="IC101" s="20"/>
      <c r="ID101" s="20"/>
      <c r="IE101" s="20"/>
      <c r="IF101" s="20"/>
      <c r="IG101" s="20"/>
      <c r="IH101" s="20"/>
      <c r="II101" s="20"/>
      <c r="IJ101" s="20"/>
      <c r="IK101" s="20"/>
      <c r="IL101" s="20"/>
      <c r="IM101" s="20"/>
      <c r="IN101" s="20"/>
      <c r="IO101" s="20"/>
      <c r="IP101" s="20"/>
      <c r="IQ101" s="20"/>
      <c r="IR101" s="20"/>
      <c r="IS101" s="20"/>
      <c r="IT101" s="20"/>
      <c r="IU101" s="20"/>
      <c r="IV101" s="20"/>
      <c r="IW101" s="20"/>
      <c r="IX101" s="20"/>
      <c r="IY101" s="20"/>
      <c r="IZ101" s="20"/>
      <c r="JA101" s="20"/>
      <c r="JB101" s="20"/>
      <c r="JC101" s="20"/>
      <c r="JD101" s="20"/>
      <c r="JE101" s="20"/>
      <c r="JF101" s="20"/>
      <c r="JG101" s="20"/>
      <c r="JH101" s="20"/>
      <c r="JI101" s="20"/>
    </row>
    <row r="102" spans="1:269" ht="17.25" customHeight="1">
      <c r="A102" s="101"/>
      <c r="B102" s="20" t="s">
        <v>233</v>
      </c>
      <c r="C102" s="20" t="s">
        <v>149</v>
      </c>
      <c r="D102" s="83">
        <v>1841259</v>
      </c>
      <c r="E102" s="82">
        <v>7.0000000000000001E-3</v>
      </c>
      <c r="F102" s="82">
        <v>3.7999999999999999E-2</v>
      </c>
      <c r="G102" s="29"/>
      <c r="H102" s="83">
        <v>2742</v>
      </c>
      <c r="I102" s="104">
        <v>1847</v>
      </c>
      <c r="J102" s="29"/>
      <c r="K102" s="83">
        <v>23016</v>
      </c>
      <c r="L102" s="104">
        <v>4997</v>
      </c>
      <c r="M102" s="29"/>
      <c r="N102" s="167">
        <v>7.0000000000000007E-2</v>
      </c>
      <c r="O102" s="167">
        <v>0.04</v>
      </c>
      <c r="P102" s="29"/>
      <c r="Q102" s="85">
        <v>0</v>
      </c>
      <c r="R102" s="14"/>
      <c r="S102" s="15"/>
      <c r="T102" s="104">
        <v>8250</v>
      </c>
      <c r="U102" s="82">
        <v>-0.13400000000000001</v>
      </c>
      <c r="V102" s="29"/>
      <c r="W102" s="83">
        <v>28527</v>
      </c>
      <c r="X102" s="82">
        <v>0.193</v>
      </c>
      <c r="Y102" s="29"/>
      <c r="Z102" s="104">
        <v>6013</v>
      </c>
      <c r="AA102" s="82">
        <v>0.186</v>
      </c>
      <c r="AB102" s="29"/>
      <c r="AC102" s="83">
        <v>34335</v>
      </c>
      <c r="AD102" s="82">
        <v>-0.19400000000000001</v>
      </c>
      <c r="AE102" s="29"/>
      <c r="AF102" s="104">
        <v>7079</v>
      </c>
      <c r="AG102" s="120">
        <v>-0.17599999999999999</v>
      </c>
      <c r="AH102" s="85">
        <v>4.8499999999999996</v>
      </c>
      <c r="AI102" s="84">
        <v>54.8</v>
      </c>
      <c r="AJ102" s="167">
        <v>326</v>
      </c>
      <c r="AK102" s="83">
        <v>403</v>
      </c>
      <c r="AL102" s="102">
        <v>71</v>
      </c>
      <c r="AM102" s="29"/>
      <c r="AN102" s="83">
        <v>7680</v>
      </c>
      <c r="AO102" s="83">
        <v>17565</v>
      </c>
      <c r="AP102" s="83">
        <v>9091</v>
      </c>
      <c r="AQ102" s="29"/>
      <c r="AR102" s="104">
        <v>1402</v>
      </c>
      <c r="AS102" s="104">
        <v>3589</v>
      </c>
      <c r="AT102" s="104">
        <v>2088</v>
      </c>
      <c r="AU102" s="29"/>
      <c r="AV102" s="83">
        <v>31587</v>
      </c>
      <c r="AW102" s="104">
        <v>6473</v>
      </c>
      <c r="AX102" s="29"/>
      <c r="AY102" s="120">
        <v>0.94799999999999995</v>
      </c>
      <c r="AZ102" s="120">
        <v>2.5000000000000001E-2</v>
      </c>
      <c r="BA102" s="121">
        <v>0</v>
      </c>
      <c r="BB102" s="82">
        <v>2.7E-2</v>
      </c>
      <c r="BC102" s="29"/>
      <c r="BD102" s="167">
        <v>0</v>
      </c>
      <c r="BE102" s="89"/>
      <c r="BF102" s="94"/>
      <c r="BG102" s="167">
        <v>0</v>
      </c>
      <c r="BH102" s="167" t="s">
        <v>208</v>
      </c>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c r="CL102" s="20"/>
      <c r="CM102" s="20"/>
      <c r="CN102" s="20"/>
      <c r="CO102" s="20"/>
      <c r="CP102" s="20"/>
      <c r="CQ102" s="20"/>
      <c r="CR102" s="20"/>
      <c r="CS102" s="20"/>
      <c r="CT102" s="20"/>
      <c r="CU102" s="20"/>
      <c r="CV102" s="20"/>
      <c r="CW102" s="20"/>
      <c r="CX102" s="20"/>
      <c r="CY102" s="20"/>
      <c r="CZ102" s="20"/>
      <c r="DA102" s="20"/>
      <c r="DB102" s="20"/>
      <c r="DC102" s="20"/>
      <c r="DD102" s="20"/>
      <c r="DE102" s="20"/>
      <c r="DF102" s="20"/>
      <c r="DG102" s="20"/>
      <c r="DH102" s="20"/>
      <c r="DI102" s="20"/>
      <c r="DJ102" s="20"/>
      <c r="DK102" s="20"/>
      <c r="DL102" s="20"/>
      <c r="DM102" s="20"/>
      <c r="DN102" s="20"/>
      <c r="DO102" s="20"/>
      <c r="DP102" s="20"/>
      <c r="DQ102" s="20"/>
      <c r="DR102" s="20"/>
      <c r="DS102" s="20"/>
      <c r="DT102" s="20"/>
      <c r="DU102" s="20"/>
      <c r="DV102" s="20"/>
      <c r="DW102" s="20"/>
      <c r="DX102" s="20"/>
      <c r="DY102" s="20"/>
      <c r="DZ102" s="20"/>
      <c r="EA102" s="20"/>
      <c r="EB102" s="20"/>
      <c r="EC102" s="20"/>
      <c r="ED102" s="20"/>
      <c r="EE102" s="20"/>
      <c r="EF102" s="20"/>
      <c r="EG102" s="20"/>
      <c r="EH102" s="20"/>
      <c r="EI102" s="20"/>
      <c r="EJ102" s="20"/>
      <c r="EK102" s="20"/>
      <c r="EL102" s="20"/>
      <c r="EM102" s="20"/>
      <c r="EN102" s="20"/>
      <c r="EO102" s="20"/>
      <c r="EP102" s="20"/>
      <c r="EQ102" s="20"/>
      <c r="ER102" s="20"/>
      <c r="ES102" s="20"/>
      <c r="ET102" s="20"/>
      <c r="EU102" s="20"/>
      <c r="EV102" s="20"/>
      <c r="EW102" s="20"/>
      <c r="EX102" s="20"/>
      <c r="EY102" s="20"/>
      <c r="EZ102" s="20"/>
      <c r="FA102" s="20"/>
      <c r="FB102" s="20"/>
      <c r="FC102" s="20"/>
      <c r="FD102" s="20"/>
      <c r="FE102" s="20"/>
      <c r="FF102" s="20"/>
      <c r="FG102" s="20"/>
      <c r="FH102" s="20"/>
      <c r="FI102" s="20"/>
      <c r="FJ102" s="20"/>
      <c r="FK102" s="20"/>
      <c r="FL102" s="20"/>
      <c r="FM102" s="20"/>
      <c r="FN102" s="20"/>
      <c r="FO102" s="20"/>
      <c r="FP102" s="20"/>
      <c r="FQ102" s="20"/>
      <c r="FR102" s="20"/>
      <c r="FS102" s="20"/>
      <c r="FT102" s="20"/>
      <c r="FU102" s="20"/>
      <c r="FV102" s="20"/>
      <c r="FW102" s="20"/>
      <c r="FX102" s="20"/>
      <c r="FY102" s="20"/>
      <c r="FZ102" s="20"/>
      <c r="GA102" s="20"/>
      <c r="GB102" s="20"/>
      <c r="GC102" s="20"/>
      <c r="GD102" s="20"/>
      <c r="GE102" s="20"/>
      <c r="GF102" s="20"/>
      <c r="GG102" s="20"/>
      <c r="GH102" s="20"/>
      <c r="GI102" s="20"/>
      <c r="GJ102" s="20"/>
      <c r="GK102" s="20"/>
      <c r="GL102" s="20"/>
      <c r="GM102" s="20"/>
      <c r="GN102" s="20"/>
      <c r="GO102" s="20"/>
      <c r="GP102" s="20"/>
      <c r="GQ102" s="20"/>
      <c r="GR102" s="20"/>
      <c r="GS102" s="20"/>
      <c r="GT102" s="20"/>
      <c r="GU102" s="20"/>
      <c r="GV102" s="20"/>
      <c r="GW102" s="20"/>
      <c r="GX102" s="20"/>
      <c r="GY102" s="20"/>
      <c r="GZ102" s="20"/>
      <c r="HA102" s="20"/>
      <c r="HB102" s="20"/>
      <c r="HC102" s="20"/>
      <c r="HD102" s="20"/>
      <c r="HE102" s="20"/>
      <c r="HF102" s="20"/>
      <c r="HG102" s="20"/>
      <c r="HH102" s="20"/>
      <c r="HI102" s="20"/>
      <c r="HJ102" s="20"/>
      <c r="HK102" s="20"/>
      <c r="HL102" s="20"/>
      <c r="HM102" s="20"/>
      <c r="HN102" s="20"/>
      <c r="HO102" s="20"/>
      <c r="HP102" s="20"/>
      <c r="HQ102" s="20"/>
      <c r="HR102" s="20"/>
      <c r="HS102" s="20"/>
      <c r="HT102" s="20"/>
      <c r="HU102" s="20"/>
      <c r="HV102" s="20"/>
      <c r="HW102" s="20"/>
      <c r="HX102" s="20"/>
      <c r="HY102" s="20"/>
      <c r="HZ102" s="20"/>
      <c r="IA102" s="20"/>
      <c r="IB102" s="20"/>
      <c r="IC102" s="20"/>
      <c r="ID102" s="20"/>
      <c r="IE102" s="20"/>
      <c r="IF102" s="20"/>
      <c r="IG102" s="20"/>
      <c r="IH102" s="20"/>
      <c r="II102" s="20"/>
      <c r="IJ102" s="20"/>
      <c r="IK102" s="20"/>
      <c r="IL102" s="20"/>
      <c r="IM102" s="20"/>
      <c r="IN102" s="20"/>
      <c r="IO102" s="20"/>
      <c r="IP102" s="20"/>
      <c r="IQ102" s="20"/>
      <c r="IR102" s="20"/>
      <c r="IS102" s="20"/>
      <c r="IT102" s="20"/>
      <c r="IU102" s="20"/>
      <c r="IV102" s="20"/>
      <c r="IW102" s="20"/>
      <c r="IX102" s="20"/>
      <c r="IY102" s="20"/>
      <c r="IZ102" s="20"/>
      <c r="JA102" s="20"/>
      <c r="JB102" s="20"/>
      <c r="JC102" s="20"/>
      <c r="JD102" s="20"/>
      <c r="JE102" s="20"/>
      <c r="JF102" s="20"/>
      <c r="JG102" s="20"/>
      <c r="JH102" s="20"/>
      <c r="JI102" s="20"/>
    </row>
    <row r="103" spans="1:269" ht="17.25" customHeight="1">
      <c r="A103" s="101"/>
      <c r="B103" s="20" t="s">
        <v>120</v>
      </c>
      <c r="C103" s="20" t="s">
        <v>147</v>
      </c>
      <c r="D103" s="83">
        <v>1851500</v>
      </c>
      <c r="E103" s="82">
        <v>6.0000000000000001E-3</v>
      </c>
      <c r="F103" s="82">
        <v>3.7999999999999999E-2</v>
      </c>
      <c r="G103" s="29"/>
      <c r="H103" s="83">
        <v>2781</v>
      </c>
      <c r="I103" s="104">
        <v>1807</v>
      </c>
      <c r="J103" s="29"/>
      <c r="K103" s="83">
        <v>22976</v>
      </c>
      <c r="L103" s="104">
        <v>4990</v>
      </c>
      <c r="M103" s="29"/>
      <c r="N103" s="168">
        <v>7.0000000000000007E-2</v>
      </c>
      <c r="O103" s="168">
        <v>0.05</v>
      </c>
      <c r="P103" s="29"/>
      <c r="Q103" s="85">
        <v>0</v>
      </c>
      <c r="R103" s="14"/>
      <c r="S103" s="15"/>
      <c r="T103" s="104">
        <v>8086</v>
      </c>
      <c r="U103" s="86">
        <v>-0.02</v>
      </c>
      <c r="V103" s="29"/>
      <c r="W103" s="83">
        <v>26326</v>
      </c>
      <c r="X103" s="82">
        <v>-7.6999999999999999E-2</v>
      </c>
      <c r="Y103" s="29"/>
      <c r="Z103" s="104">
        <v>5401</v>
      </c>
      <c r="AA103" s="82">
        <v>-0.10199999999999999</v>
      </c>
      <c r="AB103" s="29"/>
      <c r="AC103" s="83">
        <v>28076</v>
      </c>
      <c r="AD103" s="82">
        <v>-0.182</v>
      </c>
      <c r="AE103" s="29"/>
      <c r="AF103" s="104">
        <v>5754</v>
      </c>
      <c r="AG103" s="120">
        <v>-0.187</v>
      </c>
      <c r="AH103" s="85">
        <v>4.88</v>
      </c>
      <c r="AI103" s="84">
        <v>53.3</v>
      </c>
      <c r="AJ103" s="168">
        <v>326</v>
      </c>
      <c r="AK103" s="83">
        <v>279</v>
      </c>
      <c r="AL103" s="102">
        <v>61</v>
      </c>
      <c r="AM103" s="29"/>
      <c r="AN103" s="83">
        <v>5869</v>
      </c>
      <c r="AO103" s="83">
        <v>13350</v>
      </c>
      <c r="AP103" s="83">
        <v>8857</v>
      </c>
      <c r="AQ103" s="29"/>
      <c r="AR103" s="104">
        <v>958</v>
      </c>
      <c r="AS103" s="104">
        <v>2820</v>
      </c>
      <c r="AT103" s="104">
        <v>1976</v>
      </c>
      <c r="AU103" s="29"/>
      <c r="AV103" s="83">
        <v>25673</v>
      </c>
      <c r="AW103" s="104">
        <v>5243</v>
      </c>
      <c r="AX103" s="29"/>
      <c r="AY103" s="120">
        <v>0.94599999999999995</v>
      </c>
      <c r="AZ103" s="120">
        <v>1.6E-2</v>
      </c>
      <c r="BA103" s="121">
        <v>0</v>
      </c>
      <c r="BB103" s="82">
        <v>3.7999999999999999E-2</v>
      </c>
      <c r="BC103" s="29"/>
      <c r="BD103" s="168">
        <v>0</v>
      </c>
      <c r="BE103" s="89"/>
      <c r="BF103" s="94"/>
      <c r="BG103" s="168">
        <v>0</v>
      </c>
      <c r="BH103" s="168" t="s">
        <v>208</v>
      </c>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c r="DA103" s="20"/>
      <c r="DB103" s="20"/>
      <c r="DC103" s="20"/>
      <c r="DD103" s="20"/>
      <c r="DE103" s="20"/>
      <c r="DF103" s="20"/>
      <c r="DG103" s="20"/>
      <c r="DH103" s="20"/>
      <c r="DI103" s="20"/>
      <c r="DJ103" s="20"/>
      <c r="DK103" s="20"/>
      <c r="DL103" s="20"/>
      <c r="DM103" s="20"/>
      <c r="DN103" s="20"/>
      <c r="DO103" s="20"/>
      <c r="DP103" s="20"/>
      <c r="DQ103" s="20"/>
      <c r="DR103" s="20"/>
      <c r="DS103" s="20"/>
      <c r="DT103" s="20"/>
      <c r="DU103" s="20"/>
      <c r="DV103" s="20"/>
      <c r="DW103" s="20"/>
      <c r="DX103" s="20"/>
      <c r="DY103" s="20"/>
      <c r="DZ103" s="20"/>
      <c r="EA103" s="20"/>
      <c r="EB103" s="20"/>
      <c r="EC103" s="20"/>
      <c r="ED103" s="20"/>
      <c r="EE103" s="20"/>
      <c r="EF103" s="20"/>
      <c r="EG103" s="20"/>
      <c r="EH103" s="20"/>
      <c r="EI103" s="20"/>
      <c r="EJ103" s="20"/>
      <c r="EK103" s="20"/>
      <c r="EL103" s="20"/>
      <c r="EM103" s="20"/>
      <c r="EN103" s="20"/>
      <c r="EO103" s="20"/>
      <c r="EP103" s="20"/>
      <c r="EQ103" s="20"/>
      <c r="ER103" s="20"/>
      <c r="ES103" s="20"/>
      <c r="ET103" s="20"/>
      <c r="EU103" s="20"/>
      <c r="EV103" s="20"/>
      <c r="EW103" s="20"/>
      <c r="EX103" s="20"/>
      <c r="EY103" s="20"/>
      <c r="EZ103" s="20"/>
      <c r="FA103" s="20"/>
      <c r="FB103" s="20"/>
      <c r="FC103" s="20"/>
      <c r="FD103" s="20"/>
      <c r="FE103" s="20"/>
      <c r="FF103" s="20"/>
      <c r="FG103" s="20"/>
      <c r="FH103" s="20"/>
      <c r="FI103" s="20"/>
      <c r="FJ103" s="20"/>
      <c r="FK103" s="20"/>
      <c r="FL103" s="20"/>
      <c r="FM103" s="20"/>
      <c r="FN103" s="20"/>
      <c r="FO103" s="20"/>
      <c r="FP103" s="20"/>
      <c r="FQ103" s="20"/>
      <c r="FR103" s="20"/>
      <c r="FS103" s="20"/>
      <c r="FT103" s="20"/>
      <c r="FU103" s="20"/>
      <c r="FV103" s="20"/>
      <c r="FW103" s="20"/>
      <c r="FX103" s="20"/>
      <c r="FY103" s="20"/>
      <c r="FZ103" s="20"/>
      <c r="GA103" s="20"/>
      <c r="GB103" s="20"/>
      <c r="GC103" s="20"/>
      <c r="GD103" s="20"/>
      <c r="GE103" s="20"/>
      <c r="GF103" s="20"/>
      <c r="GG103" s="20"/>
      <c r="GH103" s="20"/>
      <c r="GI103" s="20"/>
      <c r="GJ103" s="20"/>
      <c r="GK103" s="20"/>
      <c r="GL103" s="20"/>
      <c r="GM103" s="20"/>
      <c r="GN103" s="20"/>
      <c r="GO103" s="20"/>
      <c r="GP103" s="20"/>
      <c r="GQ103" s="20"/>
      <c r="GR103" s="20"/>
      <c r="GS103" s="20"/>
      <c r="GT103" s="20"/>
      <c r="GU103" s="20"/>
      <c r="GV103" s="20"/>
      <c r="GW103" s="20"/>
      <c r="GX103" s="20"/>
      <c r="GY103" s="20"/>
      <c r="GZ103" s="20"/>
      <c r="HA103" s="20"/>
      <c r="HB103" s="20"/>
      <c r="HC103" s="20"/>
      <c r="HD103" s="20"/>
      <c r="HE103" s="20"/>
      <c r="HF103" s="20"/>
      <c r="HG103" s="20"/>
      <c r="HH103" s="20"/>
      <c r="HI103" s="20"/>
      <c r="HJ103" s="20"/>
      <c r="HK103" s="20"/>
      <c r="HL103" s="20"/>
      <c r="HM103" s="20"/>
      <c r="HN103" s="20"/>
      <c r="HO103" s="20"/>
      <c r="HP103" s="20"/>
      <c r="HQ103" s="20"/>
      <c r="HR103" s="20"/>
      <c r="HS103" s="20"/>
      <c r="HT103" s="20"/>
      <c r="HU103" s="20"/>
      <c r="HV103" s="20"/>
      <c r="HW103" s="20"/>
      <c r="HX103" s="20"/>
      <c r="HY103" s="20"/>
      <c r="HZ103" s="20"/>
      <c r="IA103" s="20"/>
      <c r="IB103" s="20"/>
      <c r="IC103" s="20"/>
      <c r="ID103" s="20"/>
      <c r="IE103" s="20"/>
      <c r="IF103" s="20"/>
      <c r="IG103" s="20"/>
      <c r="IH103" s="20"/>
      <c r="II103" s="20"/>
      <c r="IJ103" s="20"/>
      <c r="IK103" s="20"/>
      <c r="IL103" s="20"/>
      <c r="IM103" s="20"/>
      <c r="IN103" s="20"/>
      <c r="IO103" s="20"/>
      <c r="IP103" s="20"/>
      <c r="IQ103" s="20"/>
      <c r="IR103" s="20"/>
      <c r="IS103" s="20"/>
      <c r="IT103" s="20"/>
      <c r="IU103" s="20"/>
      <c r="IV103" s="20"/>
      <c r="IW103" s="20"/>
      <c r="IX103" s="20"/>
      <c r="IY103" s="20"/>
      <c r="IZ103" s="20"/>
      <c r="JA103" s="20"/>
      <c r="JB103" s="20"/>
      <c r="JC103" s="20"/>
      <c r="JD103" s="20"/>
      <c r="JE103" s="20"/>
      <c r="JF103" s="20"/>
      <c r="JG103" s="20"/>
      <c r="JH103" s="20"/>
      <c r="JI103" s="20"/>
    </row>
    <row r="104" spans="1:269" ht="17.25" customHeight="1">
      <c r="A104" s="101"/>
      <c r="B104" s="20" t="s">
        <v>119</v>
      </c>
      <c r="C104" s="20" t="s">
        <v>145</v>
      </c>
      <c r="D104" s="83">
        <v>1854441</v>
      </c>
      <c r="E104" s="82">
        <v>2E-3</v>
      </c>
      <c r="F104" s="82">
        <v>3.5000000000000003E-2</v>
      </c>
      <c r="G104" s="29"/>
      <c r="H104" s="83">
        <v>2751</v>
      </c>
      <c r="I104" s="104">
        <v>1755</v>
      </c>
      <c r="J104" s="29"/>
      <c r="K104" s="83">
        <v>22776</v>
      </c>
      <c r="L104" s="104">
        <v>4941</v>
      </c>
      <c r="M104" s="29"/>
      <c r="N104" s="169">
        <v>7.0000000000000007E-2</v>
      </c>
      <c r="O104" s="169">
        <v>0.05</v>
      </c>
      <c r="P104" s="29"/>
      <c r="Q104" s="85">
        <v>0</v>
      </c>
      <c r="R104" s="14"/>
      <c r="S104" s="15"/>
      <c r="T104" s="104">
        <v>8617</v>
      </c>
      <c r="U104" s="82">
        <v>6.6000000000000003E-2</v>
      </c>
      <c r="V104" s="29"/>
      <c r="W104" s="83">
        <v>20917</v>
      </c>
      <c r="X104" s="82">
        <v>-0.20499999999999999</v>
      </c>
      <c r="Y104" s="29"/>
      <c r="Z104" s="104">
        <v>4389</v>
      </c>
      <c r="AA104" s="82">
        <v>-0.187</v>
      </c>
      <c r="AB104" s="29"/>
      <c r="AC104" s="83">
        <v>35623</v>
      </c>
      <c r="AD104" s="82">
        <v>0.26900000000000002</v>
      </c>
      <c r="AE104" s="29"/>
      <c r="AF104" s="104">
        <v>7042</v>
      </c>
      <c r="AG104" s="120">
        <v>0.224</v>
      </c>
      <c r="AH104" s="85">
        <v>5.0599999999999996</v>
      </c>
      <c r="AI104" s="84">
        <v>54.7</v>
      </c>
      <c r="AJ104" s="169">
        <v>323</v>
      </c>
      <c r="AK104" s="83">
        <v>433</v>
      </c>
      <c r="AL104" s="102">
        <v>80</v>
      </c>
      <c r="AM104" s="29"/>
      <c r="AN104" s="83">
        <v>4709</v>
      </c>
      <c r="AO104" s="83">
        <v>14361</v>
      </c>
      <c r="AP104" s="83">
        <v>16553</v>
      </c>
      <c r="AQ104" s="29"/>
      <c r="AR104" s="104">
        <v>805</v>
      </c>
      <c r="AS104" s="104">
        <v>2876</v>
      </c>
      <c r="AT104" s="104">
        <v>3361</v>
      </c>
      <c r="AU104" s="29"/>
      <c r="AV104" s="83">
        <v>32454</v>
      </c>
      <c r="AW104" s="104">
        <v>6385</v>
      </c>
      <c r="AX104" s="29"/>
      <c r="AY104" s="120">
        <v>0.95399999999999996</v>
      </c>
      <c r="AZ104" s="120">
        <v>1.4999999999999999E-2</v>
      </c>
      <c r="BA104" s="121">
        <v>0</v>
      </c>
      <c r="BB104" s="82">
        <v>3.1E-2</v>
      </c>
      <c r="BC104" s="29"/>
      <c r="BD104" s="169">
        <v>0</v>
      </c>
      <c r="BE104" s="89"/>
      <c r="BF104" s="94"/>
      <c r="BG104" s="169">
        <v>0</v>
      </c>
      <c r="BH104" s="169" t="s">
        <v>208</v>
      </c>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c r="DB104" s="20"/>
      <c r="DC104" s="20"/>
      <c r="DD104" s="20"/>
      <c r="DE104" s="20"/>
      <c r="DF104" s="20"/>
      <c r="DG104" s="20"/>
      <c r="DH104" s="20"/>
      <c r="DI104" s="20"/>
      <c r="DJ104" s="20"/>
      <c r="DK104" s="20"/>
      <c r="DL104" s="20"/>
      <c r="DM104" s="20"/>
      <c r="DN104" s="20"/>
      <c r="DO104" s="20"/>
      <c r="DP104" s="20"/>
      <c r="DQ104" s="20"/>
      <c r="DR104" s="20"/>
      <c r="DS104" s="20"/>
      <c r="DT104" s="20"/>
      <c r="DU104" s="20"/>
      <c r="DV104" s="20"/>
      <c r="DW104" s="20"/>
      <c r="DX104" s="20"/>
      <c r="DY104" s="20"/>
      <c r="DZ104" s="20"/>
      <c r="EA104" s="20"/>
      <c r="EB104" s="20"/>
      <c r="EC104" s="20"/>
      <c r="ED104" s="20"/>
      <c r="EE104" s="20"/>
      <c r="EF104" s="20"/>
      <c r="EG104" s="20"/>
      <c r="EH104" s="20"/>
      <c r="EI104" s="20"/>
      <c r="EJ104" s="20"/>
      <c r="EK104" s="20"/>
      <c r="EL104" s="20"/>
      <c r="EM104" s="20"/>
      <c r="EN104" s="20"/>
      <c r="EO104" s="20"/>
      <c r="EP104" s="20"/>
      <c r="EQ104" s="20"/>
      <c r="ER104" s="20"/>
      <c r="ES104" s="20"/>
      <c r="ET104" s="20"/>
      <c r="EU104" s="20"/>
      <c r="EV104" s="20"/>
      <c r="EW104" s="20"/>
      <c r="EX104" s="20"/>
      <c r="EY104" s="20"/>
      <c r="EZ104" s="20"/>
      <c r="FA104" s="20"/>
      <c r="FB104" s="20"/>
      <c r="FC104" s="20"/>
      <c r="FD104" s="20"/>
      <c r="FE104" s="20"/>
      <c r="FF104" s="20"/>
      <c r="FG104" s="20"/>
      <c r="FH104" s="20"/>
      <c r="FI104" s="20"/>
      <c r="FJ104" s="20"/>
      <c r="FK104" s="20"/>
      <c r="FL104" s="20"/>
      <c r="FM104" s="20"/>
      <c r="FN104" s="20"/>
      <c r="FO104" s="20"/>
      <c r="FP104" s="20"/>
      <c r="FQ104" s="20"/>
      <c r="FR104" s="20"/>
      <c r="FS104" s="20"/>
      <c r="FT104" s="20"/>
      <c r="FU104" s="20"/>
      <c r="FV104" s="20"/>
      <c r="FW104" s="20"/>
      <c r="FX104" s="20"/>
      <c r="FY104" s="20"/>
      <c r="FZ104" s="20"/>
      <c r="GA104" s="20"/>
      <c r="GB104" s="20"/>
      <c r="GC104" s="20"/>
      <c r="GD104" s="20"/>
      <c r="GE104" s="20"/>
      <c r="GF104" s="20"/>
      <c r="GG104" s="20"/>
      <c r="GH104" s="20"/>
      <c r="GI104" s="20"/>
      <c r="GJ104" s="20"/>
      <c r="GK104" s="20"/>
      <c r="GL104" s="20"/>
      <c r="GM104" s="20"/>
      <c r="GN104" s="20"/>
      <c r="GO104" s="20"/>
      <c r="GP104" s="20"/>
      <c r="GQ104" s="20"/>
      <c r="GR104" s="20"/>
      <c r="GS104" s="20"/>
      <c r="GT104" s="20"/>
      <c r="GU104" s="20"/>
      <c r="GV104" s="20"/>
      <c r="GW104" s="20"/>
      <c r="GX104" s="20"/>
      <c r="GY104" s="20"/>
      <c r="GZ104" s="20"/>
      <c r="HA104" s="20"/>
      <c r="HB104" s="20"/>
      <c r="HC104" s="20"/>
      <c r="HD104" s="20"/>
      <c r="HE104" s="20"/>
      <c r="HF104" s="20"/>
      <c r="HG104" s="20"/>
      <c r="HH104" s="20"/>
      <c r="HI104" s="20"/>
      <c r="HJ104" s="20"/>
      <c r="HK104" s="20"/>
      <c r="HL104" s="20"/>
      <c r="HM104" s="20"/>
      <c r="HN104" s="20"/>
      <c r="HO104" s="20"/>
      <c r="HP104" s="20"/>
      <c r="HQ104" s="20"/>
      <c r="HR104" s="20"/>
      <c r="HS104" s="20"/>
      <c r="HT104" s="20"/>
      <c r="HU104" s="20"/>
      <c r="HV104" s="20"/>
      <c r="HW104" s="20"/>
      <c r="HX104" s="20"/>
      <c r="HY104" s="20"/>
      <c r="HZ104" s="20"/>
      <c r="IA104" s="20"/>
      <c r="IB104" s="20"/>
      <c r="IC104" s="20"/>
      <c r="ID104" s="20"/>
      <c r="IE104" s="20"/>
      <c r="IF104" s="20"/>
      <c r="IG104" s="20"/>
      <c r="IH104" s="20"/>
      <c r="II104" s="20"/>
      <c r="IJ104" s="20"/>
      <c r="IK104" s="20"/>
      <c r="IL104" s="20"/>
      <c r="IM104" s="20"/>
      <c r="IN104" s="20"/>
      <c r="IO104" s="20"/>
      <c r="IP104" s="20"/>
      <c r="IQ104" s="20"/>
      <c r="IR104" s="20"/>
      <c r="IS104" s="20"/>
      <c r="IT104" s="20"/>
      <c r="IU104" s="20"/>
      <c r="IV104" s="20"/>
      <c r="IW104" s="20"/>
      <c r="IX104" s="20"/>
      <c r="IY104" s="20"/>
      <c r="IZ104" s="20"/>
      <c r="JA104" s="20"/>
      <c r="JB104" s="20"/>
      <c r="JC104" s="20"/>
      <c r="JD104" s="20"/>
      <c r="JE104" s="20"/>
      <c r="JF104" s="20"/>
      <c r="JG104" s="20"/>
      <c r="JH104" s="20"/>
      <c r="JI104" s="20"/>
    </row>
    <row r="105" spans="1:269" ht="17.25" customHeight="1">
      <c r="A105" s="101"/>
      <c r="B105" s="20" t="s">
        <v>118</v>
      </c>
      <c r="C105" s="20" t="s">
        <v>143</v>
      </c>
      <c r="D105" s="83">
        <v>1856750</v>
      </c>
      <c r="E105" s="82">
        <v>1E-3</v>
      </c>
      <c r="F105" s="82">
        <v>3.4000000000000002E-2</v>
      </c>
      <c r="G105" s="29"/>
      <c r="H105" s="83">
        <v>2744</v>
      </c>
      <c r="I105" s="104">
        <v>1715</v>
      </c>
      <c r="J105" s="29"/>
      <c r="K105" s="83">
        <v>22604</v>
      </c>
      <c r="L105" s="104">
        <v>4888</v>
      </c>
      <c r="M105" s="29"/>
      <c r="N105" s="170">
        <v>7.0000000000000007E-2</v>
      </c>
      <c r="O105" s="170">
        <v>0.05</v>
      </c>
      <c r="P105" s="29"/>
      <c r="Q105" s="85">
        <v>0</v>
      </c>
      <c r="R105" s="14"/>
      <c r="S105" s="15"/>
      <c r="T105" s="104">
        <v>8787</v>
      </c>
      <c r="U105" s="86">
        <v>0.02</v>
      </c>
      <c r="V105" s="29"/>
      <c r="W105" s="83">
        <v>20096</v>
      </c>
      <c r="X105" s="82">
        <v>-3.9E-2</v>
      </c>
      <c r="Y105" s="29"/>
      <c r="Z105" s="104">
        <v>4164</v>
      </c>
      <c r="AA105" s="82">
        <v>-5.0999999999999997E-2</v>
      </c>
      <c r="AB105" s="29"/>
      <c r="AC105" s="83">
        <v>25516</v>
      </c>
      <c r="AD105" s="82">
        <v>-0.28399999999999997</v>
      </c>
      <c r="AE105" s="29"/>
      <c r="AF105" s="104">
        <v>5130</v>
      </c>
      <c r="AG105" s="120">
        <v>-0.27200000000000002</v>
      </c>
      <c r="AH105" s="85">
        <v>4.97</v>
      </c>
      <c r="AI105" s="84">
        <v>54.5</v>
      </c>
      <c r="AJ105" s="170">
        <v>323</v>
      </c>
      <c r="AK105" s="83">
        <v>197</v>
      </c>
      <c r="AL105" s="102">
        <v>45</v>
      </c>
      <c r="AM105" s="29"/>
      <c r="AN105" s="83">
        <v>3199</v>
      </c>
      <c r="AO105" s="83">
        <v>9277</v>
      </c>
      <c r="AP105" s="83">
        <v>13040</v>
      </c>
      <c r="AQ105" s="29"/>
      <c r="AR105" s="104">
        <v>592</v>
      </c>
      <c r="AS105" s="104">
        <v>1940</v>
      </c>
      <c r="AT105" s="104">
        <v>2598</v>
      </c>
      <c r="AU105" s="29"/>
      <c r="AV105" s="83">
        <v>23608</v>
      </c>
      <c r="AW105" s="104">
        <v>4702</v>
      </c>
      <c r="AX105" s="29"/>
      <c r="AY105" s="120">
        <v>0.94099999999999995</v>
      </c>
      <c r="AZ105" s="120">
        <v>1.7000000000000001E-2</v>
      </c>
      <c r="BA105" s="121">
        <v>0</v>
      </c>
      <c r="BB105" s="82">
        <v>4.2000000000000003E-2</v>
      </c>
      <c r="BC105" s="29"/>
      <c r="BD105" s="170">
        <v>0</v>
      </c>
      <c r="BE105" s="89"/>
      <c r="BF105" s="94"/>
      <c r="BG105" s="170">
        <v>0</v>
      </c>
      <c r="BH105" s="170" t="s">
        <v>208</v>
      </c>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c r="DA105" s="20"/>
      <c r="DB105" s="20"/>
      <c r="DC105" s="20"/>
      <c r="DD105" s="20"/>
      <c r="DE105" s="20"/>
      <c r="DF105" s="20"/>
      <c r="DG105" s="20"/>
      <c r="DH105" s="20"/>
      <c r="DI105" s="20"/>
      <c r="DJ105" s="20"/>
      <c r="DK105" s="20"/>
      <c r="DL105" s="20"/>
      <c r="DM105" s="20"/>
      <c r="DN105" s="20"/>
      <c r="DO105" s="20"/>
      <c r="DP105" s="20"/>
      <c r="DQ105" s="20"/>
      <c r="DR105" s="20"/>
      <c r="DS105" s="20"/>
      <c r="DT105" s="20"/>
      <c r="DU105" s="20"/>
      <c r="DV105" s="20"/>
      <c r="DW105" s="20"/>
      <c r="DX105" s="20"/>
      <c r="DY105" s="20"/>
      <c r="DZ105" s="20"/>
      <c r="EA105" s="20"/>
      <c r="EB105" s="20"/>
      <c r="EC105" s="20"/>
      <c r="ED105" s="20"/>
      <c r="EE105" s="20"/>
      <c r="EF105" s="20"/>
      <c r="EG105" s="20"/>
      <c r="EH105" s="20"/>
      <c r="EI105" s="20"/>
      <c r="EJ105" s="20"/>
      <c r="EK105" s="20"/>
      <c r="EL105" s="20"/>
      <c r="EM105" s="20"/>
      <c r="EN105" s="20"/>
      <c r="EO105" s="20"/>
      <c r="EP105" s="20"/>
      <c r="EQ105" s="20"/>
      <c r="ER105" s="20"/>
      <c r="ES105" s="20"/>
      <c r="ET105" s="20"/>
      <c r="EU105" s="20"/>
      <c r="EV105" s="20"/>
      <c r="EW105" s="20"/>
      <c r="EX105" s="20"/>
      <c r="EY105" s="20"/>
      <c r="EZ105" s="20"/>
      <c r="FA105" s="20"/>
      <c r="FB105" s="20"/>
      <c r="FC105" s="20"/>
      <c r="FD105" s="20"/>
      <c r="FE105" s="20"/>
      <c r="FF105" s="20"/>
      <c r="FG105" s="20"/>
      <c r="FH105" s="20"/>
      <c r="FI105" s="20"/>
      <c r="FJ105" s="20"/>
      <c r="FK105" s="20"/>
      <c r="FL105" s="20"/>
      <c r="FM105" s="20"/>
      <c r="FN105" s="20"/>
      <c r="FO105" s="20"/>
      <c r="FP105" s="20"/>
      <c r="FQ105" s="20"/>
      <c r="FR105" s="20"/>
      <c r="FS105" s="20"/>
      <c r="FT105" s="20"/>
      <c r="FU105" s="20"/>
      <c r="FV105" s="20"/>
      <c r="FW105" s="20"/>
      <c r="FX105" s="20"/>
      <c r="FY105" s="20"/>
      <c r="FZ105" s="20"/>
      <c r="GA105" s="20"/>
      <c r="GB105" s="20"/>
      <c r="GC105" s="20"/>
      <c r="GD105" s="20"/>
      <c r="GE105" s="20"/>
      <c r="GF105" s="20"/>
      <c r="GG105" s="20"/>
      <c r="GH105" s="20"/>
      <c r="GI105" s="20"/>
      <c r="GJ105" s="20"/>
      <c r="GK105" s="20"/>
      <c r="GL105" s="20"/>
      <c r="GM105" s="20"/>
      <c r="GN105" s="20"/>
      <c r="GO105" s="20"/>
      <c r="GP105" s="20"/>
      <c r="GQ105" s="20"/>
      <c r="GR105" s="20"/>
      <c r="GS105" s="20"/>
      <c r="GT105" s="20"/>
      <c r="GU105" s="20"/>
      <c r="GV105" s="20"/>
      <c r="GW105" s="20"/>
      <c r="GX105" s="20"/>
      <c r="GY105" s="20"/>
      <c r="GZ105" s="20"/>
      <c r="HA105" s="20"/>
      <c r="HB105" s="20"/>
      <c r="HC105" s="20"/>
      <c r="HD105" s="20"/>
      <c r="HE105" s="20"/>
      <c r="HF105" s="20"/>
      <c r="HG105" s="20"/>
      <c r="HH105" s="20"/>
      <c r="HI105" s="20"/>
      <c r="HJ105" s="20"/>
      <c r="HK105" s="20"/>
      <c r="HL105" s="20"/>
      <c r="HM105" s="20"/>
      <c r="HN105" s="20"/>
      <c r="HO105" s="20"/>
      <c r="HP105" s="20"/>
      <c r="HQ105" s="20"/>
      <c r="HR105" s="20"/>
      <c r="HS105" s="20"/>
      <c r="HT105" s="20"/>
      <c r="HU105" s="20"/>
      <c r="HV105" s="20"/>
      <c r="HW105" s="20"/>
      <c r="HX105" s="20"/>
      <c r="HY105" s="20"/>
      <c r="HZ105" s="20"/>
      <c r="IA105" s="20"/>
      <c r="IB105" s="20"/>
      <c r="IC105" s="20"/>
      <c r="ID105" s="20"/>
      <c r="IE105" s="20"/>
      <c r="IF105" s="20"/>
      <c r="IG105" s="20"/>
      <c r="IH105" s="20"/>
      <c r="II105" s="20"/>
      <c r="IJ105" s="20"/>
      <c r="IK105" s="20"/>
      <c r="IL105" s="20"/>
      <c r="IM105" s="20"/>
      <c r="IN105" s="20"/>
      <c r="IO105" s="20"/>
      <c r="IP105" s="20"/>
      <c r="IQ105" s="20"/>
      <c r="IR105" s="20"/>
      <c r="IS105" s="20"/>
      <c r="IT105" s="20"/>
      <c r="IU105" s="20"/>
      <c r="IV105" s="20"/>
      <c r="IW105" s="20"/>
      <c r="IX105" s="20"/>
      <c r="IY105" s="20"/>
      <c r="IZ105" s="20"/>
      <c r="JA105" s="20"/>
      <c r="JB105" s="20"/>
      <c r="JC105" s="20"/>
      <c r="JD105" s="20"/>
      <c r="JE105" s="20"/>
      <c r="JF105" s="20"/>
      <c r="JG105" s="20"/>
      <c r="JH105" s="20"/>
      <c r="JI105" s="20"/>
    </row>
    <row r="106" spans="1:269" ht="17.25" customHeight="1">
      <c r="A106" s="101"/>
      <c r="B106" s="20" t="s">
        <v>117</v>
      </c>
      <c r="C106" s="20" t="s">
        <v>141</v>
      </c>
      <c r="D106" s="83">
        <v>1858174</v>
      </c>
      <c r="E106" s="82">
        <v>1E-3</v>
      </c>
      <c r="F106" s="82">
        <v>3.3000000000000002E-2</v>
      </c>
      <c r="G106" s="29"/>
      <c r="H106" s="83">
        <v>2734</v>
      </c>
      <c r="I106" s="104">
        <v>1680</v>
      </c>
      <c r="J106" s="29"/>
      <c r="K106" s="83">
        <v>22241</v>
      </c>
      <c r="L106" s="104">
        <v>4817</v>
      </c>
      <c r="M106" s="29"/>
      <c r="N106" s="171">
        <v>7.0000000000000007E-2</v>
      </c>
      <c r="O106" s="171">
        <v>0.05</v>
      </c>
      <c r="P106" s="29"/>
      <c r="Q106" s="85">
        <v>0</v>
      </c>
      <c r="R106" s="14"/>
      <c r="S106" s="15"/>
      <c r="T106" s="104">
        <v>5359</v>
      </c>
      <c r="U106" s="86">
        <v>-0.39</v>
      </c>
      <c r="V106" s="29"/>
      <c r="W106" s="83">
        <v>20204</v>
      </c>
      <c r="X106" s="82">
        <v>5.0000000000000001E-3</v>
      </c>
      <c r="Y106" s="29"/>
      <c r="Z106" s="104">
        <v>4054</v>
      </c>
      <c r="AA106" s="82">
        <v>-2.5999999999999999E-2</v>
      </c>
      <c r="AB106" s="29"/>
      <c r="AC106" s="83">
        <v>24944</v>
      </c>
      <c r="AD106" s="82">
        <v>-2.1999999999999999E-2</v>
      </c>
      <c r="AE106" s="29"/>
      <c r="AF106" s="104">
        <v>5016</v>
      </c>
      <c r="AG106" s="120">
        <v>-2.1999999999999999E-2</v>
      </c>
      <c r="AH106" s="85">
        <v>4.97</v>
      </c>
      <c r="AI106" s="84">
        <v>55.2</v>
      </c>
      <c r="AJ106" s="171">
        <v>326</v>
      </c>
      <c r="AK106" s="83">
        <v>247</v>
      </c>
      <c r="AL106" s="102">
        <v>46</v>
      </c>
      <c r="AM106" s="29"/>
      <c r="AN106" s="83">
        <v>5611</v>
      </c>
      <c r="AO106" s="83">
        <v>8011</v>
      </c>
      <c r="AP106" s="83">
        <v>11322</v>
      </c>
      <c r="AQ106" s="29"/>
      <c r="AR106" s="104">
        <v>984</v>
      </c>
      <c r="AS106" s="104">
        <v>1766</v>
      </c>
      <c r="AT106" s="104">
        <v>2266</v>
      </c>
      <c r="AU106" s="29"/>
      <c r="AV106" s="83">
        <v>22938</v>
      </c>
      <c r="AW106" s="104">
        <v>4613</v>
      </c>
      <c r="AX106" s="29"/>
      <c r="AY106" s="120">
        <v>0.95499999999999996</v>
      </c>
      <c r="AZ106" s="120">
        <v>1.4E-2</v>
      </c>
      <c r="BA106" s="121">
        <v>0</v>
      </c>
      <c r="BB106" s="86">
        <v>0.03</v>
      </c>
      <c r="BC106" s="29"/>
      <c r="BD106" s="171">
        <v>0</v>
      </c>
      <c r="BE106" s="89"/>
      <c r="BF106" s="94"/>
      <c r="BG106" s="171">
        <v>0</v>
      </c>
      <c r="BH106" s="171" t="s">
        <v>208</v>
      </c>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20"/>
      <c r="DK106" s="20"/>
      <c r="DL106" s="20"/>
      <c r="DM106" s="20"/>
      <c r="DN106" s="20"/>
      <c r="DO106" s="20"/>
      <c r="DP106" s="20"/>
      <c r="DQ106" s="20"/>
      <c r="DR106" s="20"/>
      <c r="DS106" s="20"/>
      <c r="DT106" s="20"/>
      <c r="DU106" s="20"/>
      <c r="DV106" s="20"/>
      <c r="DW106" s="20"/>
      <c r="DX106" s="20"/>
      <c r="DY106" s="20"/>
      <c r="DZ106" s="20"/>
      <c r="EA106" s="20"/>
      <c r="EB106" s="20"/>
      <c r="EC106" s="20"/>
      <c r="ED106" s="20"/>
      <c r="EE106" s="20"/>
      <c r="EF106" s="20"/>
      <c r="EG106" s="20"/>
      <c r="EH106" s="20"/>
      <c r="EI106" s="20"/>
      <c r="EJ106" s="20"/>
      <c r="EK106" s="20"/>
      <c r="EL106" s="20"/>
      <c r="EM106" s="20"/>
      <c r="EN106" s="20"/>
      <c r="EO106" s="20"/>
      <c r="EP106" s="20"/>
      <c r="EQ106" s="20"/>
      <c r="ER106" s="20"/>
      <c r="ES106" s="20"/>
      <c r="ET106" s="20"/>
      <c r="EU106" s="20"/>
      <c r="EV106" s="20"/>
      <c r="EW106" s="20"/>
      <c r="EX106" s="20"/>
      <c r="EY106" s="20"/>
      <c r="EZ106" s="20"/>
      <c r="FA106" s="20"/>
      <c r="FB106" s="20"/>
      <c r="FC106" s="20"/>
      <c r="FD106" s="20"/>
      <c r="FE106" s="20"/>
      <c r="FF106" s="20"/>
      <c r="FG106" s="20"/>
      <c r="FH106" s="20"/>
      <c r="FI106" s="20"/>
      <c r="FJ106" s="20"/>
      <c r="FK106" s="20"/>
      <c r="FL106" s="20"/>
      <c r="FM106" s="20"/>
      <c r="FN106" s="20"/>
      <c r="FO106" s="20"/>
      <c r="FP106" s="20"/>
      <c r="FQ106" s="20"/>
      <c r="FR106" s="20"/>
      <c r="FS106" s="20"/>
      <c r="FT106" s="20"/>
      <c r="FU106" s="20"/>
      <c r="FV106" s="20"/>
      <c r="FW106" s="20"/>
      <c r="FX106" s="20"/>
      <c r="FY106" s="20"/>
      <c r="FZ106" s="20"/>
      <c r="GA106" s="20"/>
      <c r="GB106" s="20"/>
      <c r="GC106" s="20"/>
      <c r="GD106" s="20"/>
      <c r="GE106" s="20"/>
      <c r="GF106" s="20"/>
      <c r="GG106" s="20"/>
      <c r="GH106" s="20"/>
      <c r="GI106" s="20"/>
      <c r="GJ106" s="20"/>
      <c r="GK106" s="20"/>
      <c r="GL106" s="20"/>
      <c r="GM106" s="20"/>
      <c r="GN106" s="20"/>
      <c r="GO106" s="20"/>
      <c r="GP106" s="20"/>
      <c r="GQ106" s="20"/>
      <c r="GR106" s="20"/>
      <c r="GS106" s="20"/>
      <c r="GT106" s="20"/>
      <c r="GU106" s="20"/>
      <c r="GV106" s="20"/>
      <c r="GW106" s="20"/>
      <c r="GX106" s="20"/>
      <c r="GY106" s="20"/>
      <c r="GZ106" s="20"/>
      <c r="HA106" s="20"/>
      <c r="HB106" s="20"/>
      <c r="HC106" s="20"/>
      <c r="HD106" s="20"/>
      <c r="HE106" s="20"/>
      <c r="HF106" s="20"/>
      <c r="HG106" s="20"/>
      <c r="HH106" s="20"/>
      <c r="HI106" s="20"/>
      <c r="HJ106" s="20"/>
      <c r="HK106" s="20"/>
      <c r="HL106" s="20"/>
      <c r="HM106" s="20"/>
      <c r="HN106" s="20"/>
      <c r="HO106" s="20"/>
      <c r="HP106" s="20"/>
      <c r="HQ106" s="20"/>
      <c r="HR106" s="20"/>
      <c r="HS106" s="20"/>
      <c r="HT106" s="20"/>
      <c r="HU106" s="20"/>
      <c r="HV106" s="20"/>
      <c r="HW106" s="20"/>
      <c r="HX106" s="20"/>
      <c r="HY106" s="20"/>
      <c r="HZ106" s="20"/>
      <c r="IA106" s="20"/>
      <c r="IB106" s="20"/>
      <c r="IC106" s="20"/>
      <c r="ID106" s="20"/>
      <c r="IE106" s="20"/>
      <c r="IF106" s="20"/>
      <c r="IG106" s="20"/>
      <c r="IH106" s="20"/>
      <c r="II106" s="20"/>
      <c r="IJ106" s="20"/>
      <c r="IK106" s="20"/>
      <c r="IL106" s="20"/>
      <c r="IM106" s="20"/>
      <c r="IN106" s="20"/>
      <c r="IO106" s="20"/>
      <c r="IP106" s="20"/>
      <c r="IQ106" s="20"/>
      <c r="IR106" s="20"/>
      <c r="IS106" s="20"/>
      <c r="IT106" s="20"/>
      <c r="IU106" s="20"/>
      <c r="IV106" s="20"/>
      <c r="IW106" s="20"/>
      <c r="IX106" s="20"/>
      <c r="IY106" s="20"/>
      <c r="IZ106" s="20"/>
      <c r="JA106" s="20"/>
      <c r="JB106" s="20"/>
      <c r="JC106" s="20"/>
      <c r="JD106" s="20"/>
      <c r="JE106" s="20"/>
      <c r="JF106" s="20"/>
      <c r="JG106" s="20"/>
      <c r="JH106" s="20"/>
      <c r="JI106" s="20"/>
    </row>
    <row r="107" spans="1:269" ht="17.25" customHeight="1">
      <c r="A107" s="101"/>
      <c r="B107" s="20" t="s">
        <v>116</v>
      </c>
      <c r="C107" s="20" t="s">
        <v>139</v>
      </c>
      <c r="D107" s="83">
        <v>1857469</v>
      </c>
      <c r="E107" s="172">
        <v>-4.0000000000000002E-4</v>
      </c>
      <c r="F107" s="86">
        <v>0.03</v>
      </c>
      <c r="G107" s="29"/>
      <c r="H107" s="83">
        <v>2709</v>
      </c>
      <c r="I107" s="104">
        <v>1637</v>
      </c>
      <c r="J107" s="29"/>
      <c r="K107" s="83">
        <v>21967</v>
      </c>
      <c r="L107" s="104">
        <v>4762</v>
      </c>
      <c r="M107" s="29"/>
      <c r="N107" s="173">
        <v>0.08</v>
      </c>
      <c r="O107" s="173">
        <v>0.05</v>
      </c>
      <c r="P107" s="29"/>
      <c r="Q107" s="85">
        <v>0</v>
      </c>
      <c r="R107" s="14"/>
      <c r="S107" s="15"/>
      <c r="T107" s="104">
        <v>6000</v>
      </c>
      <c r="U107" s="86">
        <v>0.12</v>
      </c>
      <c r="V107" s="29"/>
      <c r="W107" s="83">
        <v>16150</v>
      </c>
      <c r="X107" s="82">
        <v>-0.20100000000000001</v>
      </c>
      <c r="Y107" s="29"/>
      <c r="Z107" s="104">
        <v>3384</v>
      </c>
      <c r="AA107" s="82">
        <v>-0.16500000000000001</v>
      </c>
      <c r="AB107" s="29"/>
      <c r="AC107" s="83">
        <v>24530</v>
      </c>
      <c r="AD107" s="82">
        <v>-1.7000000000000001E-2</v>
      </c>
      <c r="AE107" s="29"/>
      <c r="AF107" s="104">
        <v>5124</v>
      </c>
      <c r="AG107" s="120">
        <v>2.1999999999999999E-2</v>
      </c>
      <c r="AH107" s="85">
        <v>4.79</v>
      </c>
      <c r="AI107" s="84">
        <v>57.1</v>
      </c>
      <c r="AJ107" s="173">
        <v>326</v>
      </c>
      <c r="AK107" s="83">
        <v>231</v>
      </c>
      <c r="AL107" s="102">
        <v>36</v>
      </c>
      <c r="AM107" s="29"/>
      <c r="AN107" s="83">
        <v>6180</v>
      </c>
      <c r="AO107" s="83">
        <v>9382</v>
      </c>
      <c r="AP107" s="83">
        <v>8968</v>
      </c>
      <c r="AQ107" s="29"/>
      <c r="AR107" s="104">
        <v>1130</v>
      </c>
      <c r="AS107" s="104">
        <v>2153</v>
      </c>
      <c r="AT107" s="104">
        <v>1841</v>
      </c>
      <c r="AU107" s="29"/>
      <c r="AV107" s="83">
        <v>23206</v>
      </c>
      <c r="AW107" s="104">
        <v>4806</v>
      </c>
      <c r="AX107" s="29"/>
      <c r="AY107" s="120">
        <v>0.94599999999999995</v>
      </c>
      <c r="AZ107" s="120">
        <v>1.4999999999999999E-2</v>
      </c>
      <c r="BA107" s="121">
        <v>0</v>
      </c>
      <c r="BB107" s="82">
        <v>3.9E-2</v>
      </c>
      <c r="BC107" s="29"/>
      <c r="BD107" s="173">
        <v>0</v>
      </c>
      <c r="BE107" s="89"/>
      <c r="BF107" s="94"/>
      <c r="BG107" s="173">
        <v>0</v>
      </c>
      <c r="BH107" s="173" t="s">
        <v>208</v>
      </c>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c r="DB107" s="20"/>
      <c r="DC107" s="20"/>
      <c r="DD107" s="20"/>
      <c r="DE107" s="20"/>
      <c r="DF107" s="20"/>
      <c r="DG107" s="20"/>
      <c r="DH107" s="20"/>
      <c r="DI107" s="20"/>
      <c r="DJ107" s="20"/>
      <c r="DK107" s="20"/>
      <c r="DL107" s="20"/>
      <c r="DM107" s="20"/>
      <c r="DN107" s="20"/>
      <c r="DO107" s="20"/>
      <c r="DP107" s="20"/>
      <c r="DQ107" s="20"/>
      <c r="DR107" s="20"/>
      <c r="DS107" s="20"/>
      <c r="DT107" s="20"/>
      <c r="DU107" s="20"/>
      <c r="DV107" s="20"/>
      <c r="DW107" s="20"/>
      <c r="DX107" s="20"/>
      <c r="DY107" s="20"/>
      <c r="DZ107" s="20"/>
      <c r="EA107" s="20"/>
      <c r="EB107" s="20"/>
      <c r="EC107" s="20"/>
      <c r="ED107" s="20"/>
      <c r="EE107" s="20"/>
      <c r="EF107" s="20"/>
      <c r="EG107" s="20"/>
      <c r="EH107" s="20"/>
      <c r="EI107" s="20"/>
      <c r="EJ107" s="20"/>
      <c r="EK107" s="20"/>
      <c r="EL107" s="20"/>
      <c r="EM107" s="20"/>
      <c r="EN107" s="20"/>
      <c r="EO107" s="20"/>
      <c r="EP107" s="20"/>
      <c r="EQ107" s="20"/>
      <c r="ER107" s="20"/>
      <c r="ES107" s="20"/>
      <c r="ET107" s="20"/>
      <c r="EU107" s="20"/>
      <c r="EV107" s="20"/>
      <c r="EW107" s="20"/>
      <c r="EX107" s="20"/>
      <c r="EY107" s="20"/>
      <c r="EZ107" s="20"/>
      <c r="FA107" s="20"/>
      <c r="FB107" s="20"/>
      <c r="FC107" s="20"/>
      <c r="FD107" s="20"/>
      <c r="FE107" s="20"/>
      <c r="FF107" s="20"/>
      <c r="FG107" s="20"/>
      <c r="FH107" s="20"/>
      <c r="FI107" s="20"/>
      <c r="FJ107" s="20"/>
      <c r="FK107" s="20"/>
      <c r="FL107" s="20"/>
      <c r="FM107" s="20"/>
      <c r="FN107" s="20"/>
      <c r="FO107" s="20"/>
      <c r="FP107" s="20"/>
      <c r="FQ107" s="20"/>
      <c r="FR107" s="20"/>
      <c r="FS107" s="20"/>
      <c r="FT107" s="20"/>
      <c r="FU107" s="20"/>
      <c r="FV107" s="20"/>
      <c r="FW107" s="20"/>
      <c r="FX107" s="20"/>
      <c r="FY107" s="20"/>
      <c r="FZ107" s="20"/>
      <c r="GA107" s="20"/>
      <c r="GB107" s="20"/>
      <c r="GC107" s="20"/>
      <c r="GD107" s="20"/>
      <c r="GE107" s="20"/>
      <c r="GF107" s="20"/>
      <c r="GG107" s="20"/>
      <c r="GH107" s="20"/>
      <c r="GI107" s="20"/>
      <c r="GJ107" s="20"/>
      <c r="GK107" s="20"/>
      <c r="GL107" s="20"/>
      <c r="GM107" s="20"/>
      <c r="GN107" s="20"/>
      <c r="GO107" s="20"/>
      <c r="GP107" s="20"/>
      <c r="GQ107" s="20"/>
      <c r="GR107" s="20"/>
      <c r="GS107" s="20"/>
      <c r="GT107" s="20"/>
      <c r="GU107" s="20"/>
      <c r="GV107" s="20"/>
      <c r="GW107" s="20"/>
      <c r="GX107" s="20"/>
      <c r="GY107" s="20"/>
      <c r="GZ107" s="20"/>
      <c r="HA107" s="20"/>
      <c r="HB107" s="20"/>
      <c r="HC107" s="20"/>
      <c r="HD107" s="20"/>
      <c r="HE107" s="20"/>
      <c r="HF107" s="20"/>
      <c r="HG107" s="20"/>
      <c r="HH107" s="20"/>
      <c r="HI107" s="20"/>
      <c r="HJ107" s="20"/>
      <c r="HK107" s="20"/>
      <c r="HL107" s="20"/>
      <c r="HM107" s="20"/>
      <c r="HN107" s="20"/>
      <c r="HO107" s="20"/>
      <c r="HP107" s="20"/>
      <c r="HQ107" s="20"/>
      <c r="HR107" s="20"/>
      <c r="HS107" s="20"/>
      <c r="HT107" s="20"/>
      <c r="HU107" s="20"/>
      <c r="HV107" s="20"/>
      <c r="HW107" s="20"/>
      <c r="HX107" s="20"/>
      <c r="HY107" s="20"/>
      <c r="HZ107" s="20"/>
      <c r="IA107" s="20"/>
      <c r="IB107" s="20"/>
      <c r="IC107" s="20"/>
      <c r="ID107" s="20"/>
      <c r="IE107" s="20"/>
      <c r="IF107" s="20"/>
      <c r="IG107" s="20"/>
      <c r="IH107" s="20"/>
      <c r="II107" s="20"/>
      <c r="IJ107" s="20"/>
      <c r="IK107" s="20"/>
      <c r="IL107" s="20"/>
      <c r="IM107" s="20"/>
      <c r="IN107" s="20"/>
      <c r="IO107" s="20"/>
      <c r="IP107" s="20"/>
      <c r="IQ107" s="20"/>
      <c r="IR107" s="20"/>
      <c r="IS107" s="20"/>
      <c r="IT107" s="20"/>
      <c r="IU107" s="20"/>
      <c r="IV107" s="20"/>
      <c r="IW107" s="20"/>
      <c r="IX107" s="20"/>
      <c r="IY107" s="20"/>
      <c r="IZ107" s="20"/>
      <c r="JA107" s="20"/>
      <c r="JB107" s="20"/>
      <c r="JC107" s="20"/>
      <c r="JD107" s="20"/>
      <c r="JE107" s="20"/>
      <c r="JF107" s="20"/>
      <c r="JG107" s="20"/>
      <c r="JH107" s="20"/>
      <c r="JI107" s="20"/>
    </row>
    <row r="108" spans="1:269" ht="17.25" customHeight="1">
      <c r="A108" s="101"/>
      <c r="B108" s="20" t="s">
        <v>115</v>
      </c>
      <c r="C108" s="20" t="s">
        <v>137</v>
      </c>
      <c r="D108" s="83">
        <v>1855080</v>
      </c>
      <c r="E108" s="82">
        <v>-1E-3</v>
      </c>
      <c r="F108" s="86">
        <v>2.5000000000000001E-2</v>
      </c>
      <c r="G108" s="29"/>
      <c r="H108" s="83">
        <v>2654</v>
      </c>
      <c r="I108" s="104">
        <v>1593</v>
      </c>
      <c r="J108" s="29"/>
      <c r="K108" s="83">
        <v>21755</v>
      </c>
      <c r="L108" s="104">
        <v>4730</v>
      </c>
      <c r="M108" s="29"/>
      <c r="N108" s="174">
        <v>0.08</v>
      </c>
      <c r="O108" s="174">
        <v>0.05</v>
      </c>
      <c r="P108" s="29"/>
      <c r="Q108" s="85">
        <v>0</v>
      </c>
      <c r="R108" s="14"/>
      <c r="S108" s="15"/>
      <c r="T108" s="104">
        <v>4768</v>
      </c>
      <c r="U108" s="86">
        <v>-0.20499999999999999</v>
      </c>
      <c r="V108" s="29"/>
      <c r="W108" s="83">
        <v>12366</v>
      </c>
      <c r="X108" s="82">
        <v>-0.23400000000000001</v>
      </c>
      <c r="Y108" s="29"/>
      <c r="Z108" s="104">
        <v>2661</v>
      </c>
      <c r="AA108" s="82">
        <v>-0.214</v>
      </c>
      <c r="AB108" s="29"/>
      <c r="AC108" s="83">
        <v>18332</v>
      </c>
      <c r="AD108" s="82">
        <v>-0.253</v>
      </c>
      <c r="AE108" s="29"/>
      <c r="AF108" s="104">
        <v>3997</v>
      </c>
      <c r="AG108" s="121">
        <v>-0.22</v>
      </c>
      <c r="AH108" s="85">
        <v>4.59</v>
      </c>
      <c r="AI108" s="84">
        <v>58.7</v>
      </c>
      <c r="AJ108" s="174">
        <v>329</v>
      </c>
      <c r="AK108" s="83">
        <v>84</v>
      </c>
      <c r="AL108" s="102">
        <v>18</v>
      </c>
      <c r="AM108" s="29"/>
      <c r="AN108" s="83">
        <v>5171</v>
      </c>
      <c r="AO108" s="83">
        <v>8907</v>
      </c>
      <c r="AP108" s="83">
        <v>4253</v>
      </c>
      <c r="AQ108" s="29"/>
      <c r="AR108" s="104">
        <v>977</v>
      </c>
      <c r="AS108" s="104">
        <v>2026</v>
      </c>
      <c r="AT108" s="104">
        <v>994</v>
      </c>
      <c r="AU108" s="29"/>
      <c r="AV108" s="83">
        <v>17444</v>
      </c>
      <c r="AW108" s="104">
        <v>3777</v>
      </c>
      <c r="AX108" s="29"/>
      <c r="AY108" s="120">
        <v>0.94599999999999995</v>
      </c>
      <c r="AZ108" s="120">
        <v>1.7000000000000001E-2</v>
      </c>
      <c r="BA108" s="121">
        <v>1E-3</v>
      </c>
      <c r="BB108" s="82">
        <v>3.5999999999999997E-2</v>
      </c>
      <c r="BC108" s="29"/>
      <c r="BD108" s="174">
        <v>0</v>
      </c>
      <c r="BE108" s="89"/>
      <c r="BF108" s="94"/>
      <c r="BG108" s="174">
        <v>0</v>
      </c>
      <c r="BH108" s="174" t="s">
        <v>208</v>
      </c>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c r="FY108" s="20"/>
      <c r="FZ108" s="20"/>
      <c r="GA108" s="20"/>
      <c r="GB108" s="20"/>
      <c r="GC108" s="20"/>
      <c r="GD108" s="20"/>
      <c r="GE108" s="20"/>
      <c r="GF108" s="20"/>
      <c r="GG108" s="20"/>
      <c r="GH108" s="20"/>
      <c r="GI108" s="20"/>
      <c r="GJ108" s="20"/>
      <c r="GK108" s="20"/>
      <c r="GL108" s="20"/>
      <c r="GM108" s="20"/>
      <c r="GN108" s="20"/>
      <c r="GO108" s="20"/>
      <c r="GP108" s="20"/>
      <c r="GQ108" s="20"/>
      <c r="GR108" s="20"/>
      <c r="GS108" s="20"/>
      <c r="GT108" s="20"/>
      <c r="GU108" s="20"/>
      <c r="GV108" s="20"/>
      <c r="GW108" s="20"/>
      <c r="GX108" s="20"/>
      <c r="GY108" s="20"/>
      <c r="GZ108" s="20"/>
      <c r="HA108" s="20"/>
      <c r="HB108" s="20"/>
      <c r="HC108" s="20"/>
      <c r="HD108" s="20"/>
      <c r="HE108" s="20"/>
      <c r="HF108" s="20"/>
      <c r="HG108" s="20"/>
      <c r="HH108" s="20"/>
      <c r="HI108" s="20"/>
      <c r="HJ108" s="20"/>
      <c r="HK108" s="20"/>
      <c r="HL108" s="20"/>
      <c r="HM108" s="20"/>
      <c r="HN108" s="20"/>
      <c r="HO108" s="20"/>
      <c r="HP108" s="20"/>
      <c r="HQ108" s="20"/>
      <c r="HR108" s="20"/>
      <c r="HS108" s="20"/>
      <c r="HT108" s="20"/>
      <c r="HU108" s="20"/>
      <c r="HV108" s="20"/>
      <c r="HW108" s="20"/>
      <c r="HX108" s="20"/>
      <c r="HY108" s="20"/>
      <c r="HZ108" s="20"/>
      <c r="IA108" s="20"/>
      <c r="IB108" s="20"/>
      <c r="IC108" s="20"/>
      <c r="ID108" s="20"/>
      <c r="IE108" s="20"/>
      <c r="IF108" s="20"/>
      <c r="IG108" s="20"/>
      <c r="IH108" s="20"/>
      <c r="II108" s="20"/>
      <c r="IJ108" s="20"/>
      <c r="IK108" s="20"/>
      <c r="IL108" s="20"/>
      <c r="IM108" s="20"/>
      <c r="IN108" s="20"/>
      <c r="IO108" s="20"/>
      <c r="IP108" s="20"/>
      <c r="IQ108" s="20"/>
      <c r="IR108" s="20"/>
      <c r="IS108" s="20"/>
      <c r="IT108" s="20"/>
      <c r="IU108" s="20"/>
      <c r="IV108" s="20"/>
      <c r="IW108" s="20"/>
      <c r="IX108" s="20"/>
      <c r="IY108" s="20"/>
      <c r="IZ108" s="20"/>
      <c r="JA108" s="20"/>
      <c r="JB108" s="20"/>
      <c r="JC108" s="20"/>
      <c r="JD108" s="20"/>
      <c r="JE108" s="20"/>
      <c r="JF108" s="20"/>
      <c r="JG108" s="20"/>
      <c r="JH108" s="20"/>
      <c r="JI108" s="20"/>
    </row>
    <row r="109" spans="1:269" ht="17.25" customHeight="1">
      <c r="A109" s="101"/>
      <c r="B109" s="20"/>
      <c r="C109" s="20"/>
      <c r="D109" s="83"/>
      <c r="E109" s="172"/>
      <c r="F109" s="86"/>
      <c r="G109" s="29"/>
      <c r="H109" s="83"/>
      <c r="I109" s="104"/>
      <c r="J109" s="29"/>
      <c r="K109" s="83"/>
      <c r="L109" s="104"/>
      <c r="M109" s="29"/>
      <c r="N109" s="174"/>
      <c r="O109" s="174"/>
      <c r="P109" s="29"/>
      <c r="Q109" s="85"/>
      <c r="R109" s="14"/>
      <c r="S109" s="15"/>
      <c r="T109" s="104"/>
      <c r="U109" s="86"/>
      <c r="V109" s="29"/>
      <c r="W109" s="83"/>
      <c r="X109" s="82"/>
      <c r="Y109" s="29"/>
      <c r="Z109" s="104"/>
      <c r="AA109" s="82"/>
      <c r="AB109" s="29"/>
      <c r="AC109" s="83"/>
      <c r="AD109" s="82"/>
      <c r="AE109" s="29"/>
      <c r="AF109" s="104"/>
      <c r="AG109" s="120"/>
      <c r="AH109" s="85"/>
      <c r="AI109" s="84"/>
      <c r="AJ109" s="174"/>
      <c r="AK109" s="83"/>
      <c r="AL109" s="102"/>
      <c r="AM109" s="29"/>
      <c r="AN109" s="83"/>
      <c r="AO109" s="83"/>
      <c r="AP109" s="83"/>
      <c r="AQ109" s="29"/>
      <c r="AR109" s="104"/>
      <c r="AS109" s="104"/>
      <c r="AT109" s="104"/>
      <c r="AU109" s="29"/>
      <c r="AV109" s="83"/>
      <c r="AW109" s="104"/>
      <c r="AX109" s="29"/>
      <c r="AY109" s="120"/>
      <c r="AZ109" s="120"/>
      <c r="BA109" s="121"/>
      <c r="BB109" s="82"/>
      <c r="BC109" s="29"/>
      <c r="BD109" s="174"/>
      <c r="BE109" s="89"/>
      <c r="BF109" s="94"/>
      <c r="BG109" s="174"/>
      <c r="BH109" s="174"/>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c r="DA109" s="20"/>
      <c r="DB109" s="20"/>
      <c r="DC109" s="20"/>
      <c r="DD109" s="20"/>
      <c r="DE109" s="20"/>
      <c r="DF109" s="20"/>
      <c r="DG109" s="20"/>
      <c r="DH109" s="20"/>
      <c r="DI109" s="20"/>
      <c r="DJ109" s="20"/>
      <c r="DK109" s="20"/>
      <c r="DL109" s="20"/>
      <c r="DM109" s="20"/>
      <c r="DN109" s="20"/>
      <c r="DO109" s="20"/>
      <c r="DP109" s="20"/>
      <c r="DQ109" s="20"/>
      <c r="DR109" s="20"/>
      <c r="DS109" s="20"/>
      <c r="DT109" s="20"/>
      <c r="DU109" s="20"/>
      <c r="DV109" s="20"/>
      <c r="DW109" s="20"/>
      <c r="DX109" s="20"/>
      <c r="DY109" s="20"/>
      <c r="DZ109" s="20"/>
      <c r="EA109" s="20"/>
      <c r="EB109" s="20"/>
      <c r="EC109" s="20"/>
      <c r="ED109" s="20"/>
      <c r="EE109" s="20"/>
      <c r="EF109" s="20"/>
      <c r="EG109" s="20"/>
      <c r="EH109" s="20"/>
      <c r="EI109" s="20"/>
      <c r="EJ109" s="20"/>
      <c r="EK109" s="20"/>
      <c r="EL109" s="20"/>
      <c r="EM109" s="20"/>
      <c r="EN109" s="20"/>
      <c r="EO109" s="20"/>
      <c r="EP109" s="20"/>
      <c r="EQ109" s="20"/>
      <c r="ER109" s="20"/>
      <c r="ES109" s="20"/>
      <c r="ET109" s="20"/>
      <c r="EU109" s="20"/>
      <c r="EV109" s="20"/>
      <c r="EW109" s="20"/>
      <c r="EX109" s="20"/>
      <c r="EY109" s="20"/>
      <c r="EZ109" s="20"/>
      <c r="FA109" s="20"/>
      <c r="FB109" s="20"/>
      <c r="FC109" s="20"/>
      <c r="FD109" s="20"/>
      <c r="FE109" s="20"/>
      <c r="FF109" s="20"/>
      <c r="FG109" s="20"/>
      <c r="FH109" s="20"/>
      <c r="FI109" s="20"/>
      <c r="FJ109" s="20"/>
      <c r="FK109" s="20"/>
      <c r="FL109" s="20"/>
      <c r="FM109" s="20"/>
      <c r="FN109" s="20"/>
      <c r="FO109" s="20"/>
      <c r="FP109" s="20"/>
      <c r="FQ109" s="20"/>
      <c r="FR109" s="20"/>
      <c r="FS109" s="20"/>
      <c r="FT109" s="20"/>
      <c r="FU109" s="20"/>
      <c r="FV109" s="20"/>
      <c r="FW109" s="20"/>
      <c r="FX109" s="20"/>
      <c r="FY109" s="20"/>
      <c r="FZ109" s="20"/>
      <c r="GA109" s="20"/>
      <c r="GB109" s="20"/>
      <c r="GC109" s="20"/>
      <c r="GD109" s="20"/>
      <c r="GE109" s="20"/>
      <c r="GF109" s="20"/>
      <c r="GG109" s="20"/>
      <c r="GH109" s="20"/>
      <c r="GI109" s="20"/>
      <c r="GJ109" s="20"/>
      <c r="GK109" s="20"/>
      <c r="GL109" s="20"/>
      <c r="GM109" s="20"/>
      <c r="GN109" s="20"/>
      <c r="GO109" s="20"/>
      <c r="GP109" s="20"/>
      <c r="GQ109" s="20"/>
      <c r="GR109" s="20"/>
      <c r="GS109" s="20"/>
      <c r="GT109" s="20"/>
      <c r="GU109" s="20"/>
      <c r="GV109" s="20"/>
      <c r="GW109" s="20"/>
      <c r="GX109" s="20"/>
      <c r="GY109" s="20"/>
      <c r="GZ109" s="20"/>
      <c r="HA109" s="20"/>
      <c r="HB109" s="20"/>
      <c r="HC109" s="20"/>
      <c r="HD109" s="20"/>
      <c r="HE109" s="20"/>
      <c r="HF109" s="20"/>
      <c r="HG109" s="20"/>
      <c r="HH109" s="20"/>
      <c r="HI109" s="20"/>
      <c r="HJ109" s="20"/>
      <c r="HK109" s="20"/>
      <c r="HL109" s="20"/>
      <c r="HM109" s="20"/>
      <c r="HN109" s="20"/>
      <c r="HO109" s="20"/>
      <c r="HP109" s="20"/>
      <c r="HQ109" s="20"/>
      <c r="HR109" s="20"/>
      <c r="HS109" s="20"/>
      <c r="HT109" s="20"/>
      <c r="HU109" s="20"/>
      <c r="HV109" s="20"/>
      <c r="HW109" s="20"/>
      <c r="HX109" s="20"/>
      <c r="HY109" s="20"/>
      <c r="HZ109" s="20"/>
      <c r="IA109" s="20"/>
      <c r="IB109" s="20"/>
      <c r="IC109" s="20"/>
      <c r="ID109" s="20"/>
      <c r="IE109" s="20"/>
      <c r="IF109" s="20"/>
      <c r="IG109" s="20"/>
      <c r="IH109" s="20"/>
      <c r="II109" s="20"/>
      <c r="IJ109" s="20"/>
      <c r="IK109" s="20"/>
      <c r="IL109" s="20"/>
      <c r="IM109" s="20"/>
      <c r="IN109" s="20"/>
      <c r="IO109" s="20"/>
      <c r="IP109" s="20"/>
      <c r="IQ109" s="20"/>
      <c r="IR109" s="20"/>
      <c r="IS109" s="20"/>
      <c r="IT109" s="20"/>
      <c r="IU109" s="20"/>
      <c r="IV109" s="20"/>
      <c r="IW109" s="20"/>
      <c r="IX109" s="20"/>
      <c r="IY109" s="20"/>
      <c r="IZ109" s="20"/>
      <c r="JA109" s="20"/>
      <c r="JB109" s="20"/>
      <c r="JC109" s="20"/>
      <c r="JD109" s="20"/>
      <c r="JE109" s="20"/>
      <c r="JF109" s="20"/>
      <c r="JG109" s="20"/>
      <c r="JH109" s="20"/>
      <c r="JI109" s="20"/>
    </row>
    <row r="110" spans="1:269" ht="17.25" customHeight="1">
      <c r="A110" s="101">
        <v>2024</v>
      </c>
      <c r="B110" s="20" t="s">
        <v>114</v>
      </c>
      <c r="C110" s="20" t="s">
        <v>135</v>
      </c>
      <c r="D110" s="83">
        <v>1854237</v>
      </c>
      <c r="E110" s="82">
        <v>0</v>
      </c>
      <c r="F110" s="82">
        <v>2.1999999999999999E-2</v>
      </c>
      <c r="G110" s="29"/>
      <c r="H110" s="83">
        <v>2649</v>
      </c>
      <c r="I110" s="104">
        <v>1547</v>
      </c>
      <c r="J110" s="29"/>
      <c r="K110" s="83">
        <v>21341</v>
      </c>
      <c r="L110" s="104">
        <v>4656</v>
      </c>
      <c r="M110" s="29"/>
      <c r="N110" s="175">
        <v>0.08</v>
      </c>
      <c r="O110" s="175">
        <v>0.05</v>
      </c>
      <c r="P110" s="29"/>
      <c r="Q110" s="85">
        <v>0</v>
      </c>
      <c r="R110" s="14"/>
      <c r="S110" s="15"/>
      <c r="T110" s="104">
        <v>6523</v>
      </c>
      <c r="U110" s="82">
        <v>0.36799999999999999</v>
      </c>
      <c r="V110" s="29"/>
      <c r="W110" s="83">
        <v>16054</v>
      </c>
      <c r="X110" s="82">
        <v>0.29799999999999999</v>
      </c>
      <c r="Y110" s="29"/>
      <c r="Z110" s="104">
        <v>3403</v>
      </c>
      <c r="AA110" s="82">
        <v>0.27900000000000003</v>
      </c>
      <c r="AB110" s="29"/>
      <c r="AC110" s="83">
        <v>21104</v>
      </c>
      <c r="AD110" s="82">
        <v>0.151</v>
      </c>
      <c r="AE110" s="29"/>
      <c r="AF110" s="104">
        <v>4869</v>
      </c>
      <c r="AG110" s="120">
        <v>0.218</v>
      </c>
      <c r="AH110" s="85">
        <v>4.33</v>
      </c>
      <c r="AI110" s="84">
        <v>58.9</v>
      </c>
      <c r="AJ110" s="175">
        <v>323</v>
      </c>
      <c r="AK110" s="83">
        <v>118</v>
      </c>
      <c r="AL110" s="102">
        <v>26</v>
      </c>
      <c r="AM110" s="29"/>
      <c r="AN110" s="83">
        <v>6252</v>
      </c>
      <c r="AO110" s="83">
        <v>11276</v>
      </c>
      <c r="AP110" s="83">
        <v>3577</v>
      </c>
      <c r="AQ110" s="29"/>
      <c r="AR110" s="104">
        <v>1365</v>
      </c>
      <c r="AS110" s="104">
        <v>2606</v>
      </c>
      <c r="AT110" s="104">
        <v>898</v>
      </c>
      <c r="AU110" s="29"/>
      <c r="AV110" s="83">
        <v>19456</v>
      </c>
      <c r="AW110" s="104">
        <v>4464</v>
      </c>
      <c r="AX110" s="29"/>
      <c r="AY110" s="120">
        <v>0.93400000000000005</v>
      </c>
      <c r="AZ110" s="120">
        <v>1.6E-2</v>
      </c>
      <c r="BA110" s="121">
        <v>0</v>
      </c>
      <c r="BB110" s="82">
        <v>5.0999999999999997E-2</v>
      </c>
      <c r="BC110" s="29"/>
      <c r="BD110" s="175">
        <v>0</v>
      </c>
      <c r="BE110" s="89"/>
      <c r="BF110" s="94"/>
      <c r="BG110" s="175">
        <v>0</v>
      </c>
      <c r="BH110" s="175" t="s">
        <v>208</v>
      </c>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c r="DV110" s="20"/>
      <c r="DW110" s="20"/>
      <c r="DX110" s="20"/>
      <c r="DY110" s="20"/>
      <c r="DZ110" s="20"/>
      <c r="EA110" s="20"/>
      <c r="EB110" s="20"/>
      <c r="EC110" s="20"/>
      <c r="ED110" s="20"/>
      <c r="EE110" s="20"/>
      <c r="EF110" s="20"/>
      <c r="EG110" s="20"/>
      <c r="EH110" s="20"/>
      <c r="EI110" s="20"/>
      <c r="EJ110" s="20"/>
      <c r="EK110" s="20"/>
      <c r="EL110" s="20"/>
      <c r="EM110" s="20"/>
      <c r="EN110" s="20"/>
      <c r="EO110" s="20"/>
      <c r="EP110" s="20"/>
      <c r="EQ110" s="20"/>
      <c r="ER110" s="20"/>
      <c r="ES110" s="20"/>
      <c r="ET110" s="20"/>
      <c r="EU110" s="20"/>
      <c r="EV110" s="20"/>
      <c r="EW110" s="20"/>
      <c r="EX110" s="20"/>
      <c r="EY110" s="20"/>
      <c r="EZ110" s="20"/>
      <c r="FA110" s="20"/>
      <c r="FB110" s="20"/>
      <c r="FC110" s="20"/>
      <c r="FD110" s="20"/>
      <c r="FE110" s="20"/>
      <c r="FF110" s="20"/>
      <c r="FG110" s="20"/>
      <c r="FH110" s="20"/>
      <c r="FI110" s="20"/>
      <c r="FJ110" s="20"/>
      <c r="FK110" s="20"/>
      <c r="FL110" s="20"/>
      <c r="FM110" s="20"/>
      <c r="FN110" s="20"/>
      <c r="FO110" s="20"/>
      <c r="FP110" s="20"/>
      <c r="FQ110" s="20"/>
      <c r="FR110" s="20"/>
      <c r="FS110" s="20"/>
      <c r="FT110" s="20"/>
      <c r="FU110" s="20"/>
      <c r="FV110" s="20"/>
      <c r="FW110" s="20"/>
      <c r="FX110" s="20"/>
      <c r="FY110" s="20"/>
      <c r="FZ110" s="20"/>
      <c r="GA110" s="20"/>
      <c r="GB110" s="20"/>
      <c r="GC110" s="20"/>
      <c r="GD110" s="20"/>
      <c r="GE110" s="20"/>
      <c r="GF110" s="20"/>
      <c r="GG110" s="20"/>
      <c r="GH110" s="20"/>
      <c r="GI110" s="20"/>
      <c r="GJ110" s="20"/>
      <c r="GK110" s="20"/>
      <c r="GL110" s="20"/>
      <c r="GM110" s="20"/>
      <c r="GN110" s="20"/>
      <c r="GO110" s="20"/>
      <c r="GP110" s="20"/>
      <c r="GQ110" s="20"/>
      <c r="GR110" s="20"/>
      <c r="GS110" s="20"/>
      <c r="GT110" s="20"/>
      <c r="GU110" s="20"/>
      <c r="GV110" s="20"/>
      <c r="GW110" s="20"/>
      <c r="GX110" s="20"/>
      <c r="GY110" s="20"/>
      <c r="GZ110" s="20"/>
      <c r="HA110" s="20"/>
      <c r="HB110" s="20"/>
      <c r="HC110" s="20"/>
      <c r="HD110" s="20"/>
      <c r="HE110" s="20"/>
      <c r="HF110" s="20"/>
      <c r="HG110" s="20"/>
      <c r="HH110" s="20"/>
      <c r="HI110" s="20"/>
      <c r="HJ110" s="20"/>
      <c r="HK110" s="20"/>
      <c r="HL110" s="20"/>
      <c r="HM110" s="20"/>
      <c r="HN110" s="20"/>
      <c r="HO110" s="20"/>
      <c r="HP110" s="20"/>
      <c r="HQ110" s="20"/>
      <c r="HR110" s="20"/>
      <c r="HS110" s="20"/>
      <c r="HT110" s="20"/>
      <c r="HU110" s="20"/>
      <c r="HV110" s="20"/>
      <c r="HW110" s="20"/>
      <c r="HX110" s="20"/>
      <c r="HY110" s="20"/>
      <c r="HZ110" s="20"/>
      <c r="IA110" s="20"/>
      <c r="IB110" s="20"/>
      <c r="IC110" s="20"/>
      <c r="ID110" s="20"/>
      <c r="IE110" s="20"/>
      <c r="IF110" s="20"/>
      <c r="IG110" s="20"/>
      <c r="IH110" s="20"/>
      <c r="II110" s="20"/>
      <c r="IJ110" s="20"/>
      <c r="IK110" s="20"/>
      <c r="IL110" s="20"/>
      <c r="IM110" s="20"/>
      <c r="IN110" s="20"/>
      <c r="IO110" s="20"/>
      <c r="IP110" s="20"/>
      <c r="IQ110" s="20"/>
      <c r="IR110" s="20"/>
      <c r="IS110" s="20"/>
      <c r="IT110" s="20"/>
      <c r="IU110" s="20"/>
      <c r="IV110" s="20"/>
      <c r="IW110" s="20"/>
      <c r="IX110" s="20"/>
      <c r="IY110" s="20"/>
      <c r="IZ110" s="20"/>
      <c r="JA110" s="20"/>
      <c r="JB110" s="20"/>
      <c r="JC110" s="20"/>
      <c r="JD110" s="20"/>
      <c r="JE110" s="20"/>
      <c r="JF110" s="20"/>
      <c r="JG110" s="20"/>
      <c r="JH110" s="20"/>
      <c r="JI110" s="20"/>
    </row>
    <row r="111" spans="1:269" ht="17.25" customHeight="1">
      <c r="A111" s="101"/>
      <c r="B111" s="20" t="s">
        <v>113</v>
      </c>
      <c r="C111" s="20" t="s">
        <v>134</v>
      </c>
      <c r="D111" s="83">
        <v>1853336</v>
      </c>
      <c r="E111" s="82">
        <v>0</v>
      </c>
      <c r="F111" s="86">
        <v>0.02</v>
      </c>
      <c r="G111" s="29"/>
      <c r="H111" s="83">
        <v>2633</v>
      </c>
      <c r="I111" s="104">
        <v>1514</v>
      </c>
      <c r="J111" s="29"/>
      <c r="K111" s="83">
        <v>21210</v>
      </c>
      <c r="L111" s="104">
        <v>4629</v>
      </c>
      <c r="M111" s="29"/>
      <c r="N111" s="176">
        <v>0.09</v>
      </c>
      <c r="O111" s="176">
        <v>0.06</v>
      </c>
      <c r="P111" s="29"/>
      <c r="Q111" s="85">
        <v>0</v>
      </c>
      <c r="R111" s="14"/>
      <c r="S111" s="15"/>
      <c r="T111" s="104">
        <v>5070</v>
      </c>
      <c r="U111" s="82">
        <v>-0.223</v>
      </c>
      <c r="V111" s="29"/>
      <c r="W111" s="83">
        <v>11400</v>
      </c>
      <c r="X111" s="86">
        <v>-0.28999999999999998</v>
      </c>
      <c r="Y111" s="29"/>
      <c r="Z111" s="104">
        <v>2505</v>
      </c>
      <c r="AA111" s="82">
        <v>-0.26400000000000001</v>
      </c>
      <c r="AB111" s="29"/>
      <c r="AC111" s="83">
        <v>17946</v>
      </c>
      <c r="AD111" s="86">
        <v>-0.15</v>
      </c>
      <c r="AE111" s="29"/>
      <c r="AF111" s="104">
        <v>3916</v>
      </c>
      <c r="AG111" s="120">
        <v>-0.19600000000000001</v>
      </c>
      <c r="AH111" s="85">
        <v>4.58</v>
      </c>
      <c r="AI111" s="84">
        <v>60.3</v>
      </c>
      <c r="AJ111" s="176">
        <v>326</v>
      </c>
      <c r="AK111" s="83">
        <v>94</v>
      </c>
      <c r="AL111" s="102">
        <v>19</v>
      </c>
      <c r="AM111" s="29"/>
      <c r="AN111" s="83">
        <v>5313</v>
      </c>
      <c r="AO111" s="83">
        <v>9566</v>
      </c>
      <c r="AP111" s="83">
        <v>3066</v>
      </c>
      <c r="AQ111" s="29"/>
      <c r="AR111" s="104">
        <v>1148</v>
      </c>
      <c r="AS111" s="104">
        <v>2131</v>
      </c>
      <c r="AT111" s="104">
        <v>637</v>
      </c>
      <c r="AU111" s="29"/>
      <c r="AV111" s="83">
        <v>16741</v>
      </c>
      <c r="AW111" s="104">
        <v>3674</v>
      </c>
      <c r="AX111" s="29"/>
      <c r="AY111" s="121">
        <v>0.94</v>
      </c>
      <c r="AZ111" s="121">
        <v>0.02</v>
      </c>
      <c r="BA111" s="121">
        <v>0</v>
      </c>
      <c r="BB111" s="86">
        <v>0.04</v>
      </c>
      <c r="BC111" s="29"/>
      <c r="BD111" s="176">
        <v>0</v>
      </c>
      <c r="BE111" s="89"/>
      <c r="BF111" s="94"/>
      <c r="BG111" s="176">
        <v>0</v>
      </c>
      <c r="BH111" s="176" t="s">
        <v>208</v>
      </c>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c r="DR111" s="20"/>
      <c r="DS111" s="20"/>
      <c r="DT111" s="20"/>
      <c r="DU111" s="20"/>
      <c r="DV111" s="20"/>
      <c r="DW111" s="20"/>
      <c r="DX111" s="20"/>
      <c r="DY111" s="20"/>
      <c r="DZ111" s="20"/>
      <c r="EA111" s="20"/>
      <c r="EB111" s="20"/>
      <c r="EC111" s="20"/>
      <c r="ED111" s="20"/>
      <c r="EE111" s="20"/>
      <c r="EF111" s="20"/>
      <c r="EG111" s="20"/>
      <c r="EH111" s="20"/>
      <c r="EI111" s="20"/>
      <c r="EJ111" s="20"/>
      <c r="EK111" s="20"/>
      <c r="EL111" s="20"/>
      <c r="EM111" s="20"/>
      <c r="EN111" s="20"/>
      <c r="EO111" s="20"/>
      <c r="EP111" s="20"/>
      <c r="EQ111" s="20"/>
      <c r="ER111" s="20"/>
      <c r="ES111" s="20"/>
      <c r="ET111" s="20"/>
      <c r="EU111" s="20"/>
      <c r="EV111" s="20"/>
      <c r="EW111" s="20"/>
      <c r="EX111" s="20"/>
      <c r="EY111" s="20"/>
      <c r="EZ111" s="20"/>
      <c r="FA111" s="20"/>
      <c r="FB111" s="20"/>
      <c r="FC111" s="20"/>
      <c r="FD111" s="20"/>
      <c r="FE111" s="20"/>
      <c r="FF111" s="20"/>
      <c r="FG111" s="20"/>
      <c r="FH111" s="20"/>
      <c r="FI111" s="20"/>
      <c r="FJ111" s="20"/>
      <c r="FK111" s="20"/>
      <c r="FL111" s="20"/>
      <c r="FM111" s="20"/>
      <c r="FN111" s="20"/>
      <c r="FO111" s="20"/>
      <c r="FP111" s="20"/>
      <c r="FQ111" s="20"/>
      <c r="FR111" s="20"/>
      <c r="FS111" s="20"/>
      <c r="FT111" s="20"/>
      <c r="FU111" s="20"/>
      <c r="FV111" s="20"/>
      <c r="FW111" s="20"/>
      <c r="FX111" s="20"/>
      <c r="FY111" s="20"/>
      <c r="FZ111" s="20"/>
      <c r="GA111" s="20"/>
      <c r="GB111" s="20"/>
      <c r="GC111" s="20"/>
      <c r="GD111" s="20"/>
      <c r="GE111" s="20"/>
      <c r="GF111" s="20"/>
      <c r="GG111" s="20"/>
      <c r="GH111" s="20"/>
      <c r="GI111" s="20"/>
      <c r="GJ111" s="20"/>
      <c r="GK111" s="20"/>
      <c r="GL111" s="20"/>
      <c r="GM111" s="20"/>
      <c r="GN111" s="20"/>
      <c r="GO111" s="20"/>
      <c r="GP111" s="20"/>
      <c r="GQ111" s="20"/>
      <c r="GR111" s="20"/>
      <c r="GS111" s="20"/>
      <c r="GT111" s="20"/>
      <c r="GU111" s="20"/>
      <c r="GV111" s="20"/>
      <c r="GW111" s="20"/>
      <c r="GX111" s="20"/>
      <c r="GY111" s="20"/>
      <c r="GZ111" s="20"/>
      <c r="HA111" s="20"/>
      <c r="HB111" s="20"/>
      <c r="HC111" s="20"/>
      <c r="HD111" s="20"/>
      <c r="HE111" s="20"/>
      <c r="HF111" s="20"/>
      <c r="HG111" s="20"/>
      <c r="HH111" s="20"/>
      <c r="HI111" s="20"/>
      <c r="HJ111" s="20"/>
      <c r="HK111" s="20"/>
      <c r="HL111" s="20"/>
      <c r="HM111" s="20"/>
      <c r="HN111" s="20"/>
      <c r="HO111" s="20"/>
      <c r="HP111" s="20"/>
      <c r="HQ111" s="20"/>
      <c r="HR111" s="20"/>
      <c r="HS111" s="20"/>
      <c r="HT111" s="20"/>
      <c r="HU111" s="20"/>
      <c r="HV111" s="20"/>
      <c r="HW111" s="20"/>
      <c r="HX111" s="20"/>
      <c r="HY111" s="20"/>
      <c r="HZ111" s="20"/>
      <c r="IA111" s="20"/>
      <c r="IB111" s="20"/>
      <c r="IC111" s="20"/>
      <c r="ID111" s="20"/>
      <c r="IE111" s="20"/>
      <c r="IF111" s="20"/>
      <c r="IG111" s="20"/>
      <c r="IH111" s="20"/>
      <c r="II111" s="20"/>
      <c r="IJ111" s="20"/>
      <c r="IK111" s="20"/>
      <c r="IL111" s="20"/>
      <c r="IM111" s="20"/>
      <c r="IN111" s="20"/>
      <c r="IO111" s="20"/>
      <c r="IP111" s="20"/>
      <c r="IQ111" s="20"/>
      <c r="IR111" s="20"/>
      <c r="IS111" s="20"/>
      <c r="IT111" s="20"/>
      <c r="IU111" s="20"/>
      <c r="IV111" s="20"/>
      <c r="IW111" s="20"/>
      <c r="IX111" s="20"/>
      <c r="IY111" s="20"/>
      <c r="IZ111" s="20"/>
      <c r="JA111" s="20"/>
      <c r="JB111" s="20"/>
      <c r="JC111" s="20"/>
      <c r="JD111" s="20"/>
      <c r="JE111" s="20"/>
      <c r="JF111" s="20"/>
      <c r="JG111" s="20"/>
      <c r="JH111" s="20"/>
      <c r="JI111" s="20"/>
    </row>
    <row r="112" spans="1:269" ht="17.25" customHeight="1">
      <c r="A112" s="101"/>
      <c r="B112" s="20" t="s">
        <v>112</v>
      </c>
      <c r="C112" s="20" t="s">
        <v>157</v>
      </c>
      <c r="D112" s="83">
        <v>1853353</v>
      </c>
      <c r="E112" s="82">
        <v>0</v>
      </c>
      <c r="F112" s="82">
        <v>1.7999999999999999E-2</v>
      </c>
      <c r="G112" s="29"/>
      <c r="H112" s="83">
        <v>2612</v>
      </c>
      <c r="I112" s="104">
        <v>1489</v>
      </c>
      <c r="J112" s="29"/>
      <c r="K112" s="83">
        <v>21053</v>
      </c>
      <c r="L112" s="104">
        <v>4619</v>
      </c>
      <c r="M112" s="29"/>
      <c r="N112" s="177">
        <v>0.09</v>
      </c>
      <c r="O112" s="177">
        <v>0.06</v>
      </c>
      <c r="P112" s="29"/>
      <c r="Q112" s="85">
        <v>0</v>
      </c>
      <c r="R112" s="14"/>
      <c r="S112" s="15"/>
      <c r="T112" s="104">
        <v>8622</v>
      </c>
      <c r="U112" s="82">
        <v>0.70099999999999996</v>
      </c>
      <c r="V112" s="29"/>
      <c r="W112" s="83">
        <v>11836</v>
      </c>
      <c r="X112" s="82">
        <v>3.7999999999999999E-2</v>
      </c>
      <c r="Y112" s="29"/>
      <c r="Z112" s="104">
        <v>2611</v>
      </c>
      <c r="AA112" s="82">
        <v>4.2000000000000003E-2</v>
      </c>
      <c r="AB112" s="29"/>
      <c r="AC112" s="83">
        <v>19051</v>
      </c>
      <c r="AD112" s="82">
        <v>6.2E-2</v>
      </c>
      <c r="AE112" s="29"/>
      <c r="AF112" s="104">
        <v>4369</v>
      </c>
      <c r="AG112" s="120">
        <v>0.11600000000000001</v>
      </c>
      <c r="AH112" s="85">
        <v>4.3600000000000003</v>
      </c>
      <c r="AI112" s="84">
        <v>60.1</v>
      </c>
      <c r="AJ112" s="177">
        <v>326</v>
      </c>
      <c r="AK112" s="83">
        <v>67</v>
      </c>
      <c r="AL112" s="102">
        <v>18</v>
      </c>
      <c r="AM112" s="29"/>
      <c r="AN112" s="83">
        <v>6750</v>
      </c>
      <c r="AO112" s="83">
        <v>9306</v>
      </c>
      <c r="AP112" s="83">
        <v>2994</v>
      </c>
      <c r="AQ112" s="29"/>
      <c r="AR112" s="104">
        <v>1513</v>
      </c>
      <c r="AS112" s="104">
        <v>2229</v>
      </c>
      <c r="AT112" s="104">
        <v>627</v>
      </c>
      <c r="AU112" s="29"/>
      <c r="AV112" s="83">
        <v>17236</v>
      </c>
      <c r="AW112" s="104">
        <v>4020</v>
      </c>
      <c r="AX112" s="29"/>
      <c r="AY112" s="120">
        <v>0.93100000000000005</v>
      </c>
      <c r="AZ112" s="120">
        <v>2.5000000000000001E-2</v>
      </c>
      <c r="BA112" s="121">
        <v>0</v>
      </c>
      <c r="BB112" s="82">
        <v>4.4999999999999998E-2</v>
      </c>
      <c r="BC112" s="29"/>
      <c r="BD112" s="177">
        <v>0</v>
      </c>
      <c r="BE112" s="89"/>
      <c r="BF112" s="94"/>
      <c r="BG112" s="177">
        <v>0</v>
      </c>
      <c r="BH112" s="177" t="s">
        <v>208</v>
      </c>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c r="DB112" s="20"/>
      <c r="DC112" s="20"/>
      <c r="DD112" s="20"/>
      <c r="DE112" s="20"/>
      <c r="DF112" s="20"/>
      <c r="DG112" s="20"/>
      <c r="DH112" s="20"/>
      <c r="DI112" s="20"/>
      <c r="DJ112" s="20"/>
      <c r="DK112" s="20"/>
      <c r="DL112" s="20"/>
      <c r="DM112" s="20"/>
      <c r="DN112" s="20"/>
      <c r="DO112" s="20"/>
      <c r="DP112" s="20"/>
      <c r="DQ112" s="20"/>
      <c r="DR112" s="20"/>
      <c r="DS112" s="20"/>
      <c r="DT112" s="20"/>
      <c r="DU112" s="20"/>
      <c r="DV112" s="20"/>
      <c r="DW112" s="20"/>
      <c r="DX112" s="20"/>
      <c r="DY112" s="20"/>
      <c r="DZ112" s="20"/>
      <c r="EA112" s="20"/>
      <c r="EB112" s="20"/>
      <c r="EC112" s="20"/>
      <c r="ED112" s="20"/>
      <c r="EE112" s="20"/>
      <c r="EF112" s="20"/>
      <c r="EG112" s="20"/>
      <c r="EH112" s="20"/>
      <c r="EI112" s="20"/>
      <c r="EJ112" s="20"/>
      <c r="EK112" s="20"/>
      <c r="EL112" s="20"/>
      <c r="EM112" s="20"/>
      <c r="EN112" s="20"/>
      <c r="EO112" s="20"/>
      <c r="EP112" s="20"/>
      <c r="EQ112" s="20"/>
      <c r="ER112" s="20"/>
      <c r="ES112" s="20"/>
      <c r="ET112" s="20"/>
      <c r="EU112" s="20"/>
      <c r="EV112" s="20"/>
      <c r="EW112" s="20"/>
      <c r="EX112" s="20"/>
      <c r="EY112" s="20"/>
      <c r="EZ112" s="20"/>
      <c r="FA112" s="20"/>
      <c r="FB112" s="20"/>
      <c r="FC112" s="20"/>
      <c r="FD112" s="20"/>
      <c r="FE112" s="20"/>
      <c r="FF112" s="20"/>
      <c r="FG112" s="20"/>
      <c r="FH112" s="20"/>
      <c r="FI112" s="20"/>
      <c r="FJ112" s="20"/>
      <c r="FK112" s="20"/>
      <c r="FL112" s="20"/>
      <c r="FM112" s="20"/>
      <c r="FN112" s="20"/>
      <c r="FO112" s="20"/>
      <c r="FP112" s="20"/>
      <c r="FQ112" s="20"/>
      <c r="FR112" s="20"/>
      <c r="FS112" s="20"/>
      <c r="FT112" s="20"/>
      <c r="FU112" s="20"/>
      <c r="FV112" s="20"/>
      <c r="FW112" s="20"/>
      <c r="FX112" s="20"/>
      <c r="FY112" s="20"/>
      <c r="FZ112" s="20"/>
      <c r="GA112" s="20"/>
      <c r="GB112" s="20"/>
      <c r="GC112" s="20"/>
      <c r="GD112" s="20"/>
      <c r="GE112" s="20"/>
      <c r="GF112" s="20"/>
      <c r="GG112" s="20"/>
      <c r="GH112" s="20"/>
      <c r="GI112" s="20"/>
      <c r="GJ112" s="20"/>
      <c r="GK112" s="20"/>
      <c r="GL112" s="20"/>
      <c r="GM112" s="20"/>
      <c r="GN112" s="20"/>
      <c r="GO112" s="20"/>
      <c r="GP112" s="20"/>
      <c r="GQ112" s="20"/>
      <c r="GR112" s="20"/>
      <c r="GS112" s="20"/>
      <c r="GT112" s="20"/>
      <c r="GU112" s="20"/>
      <c r="GV112" s="20"/>
      <c r="GW112" s="20"/>
      <c r="GX112" s="20"/>
      <c r="GY112" s="20"/>
      <c r="GZ112" s="20"/>
      <c r="HA112" s="20"/>
      <c r="HB112" s="20"/>
      <c r="HC112" s="20"/>
      <c r="HD112" s="20"/>
      <c r="HE112" s="20"/>
      <c r="HF112" s="20"/>
      <c r="HG112" s="20"/>
      <c r="HH112" s="20"/>
      <c r="HI112" s="20"/>
      <c r="HJ112" s="20"/>
      <c r="HK112" s="20"/>
      <c r="HL112" s="20"/>
      <c r="HM112" s="20"/>
      <c r="HN112" s="20"/>
      <c r="HO112" s="20"/>
      <c r="HP112" s="20"/>
      <c r="HQ112" s="20"/>
      <c r="HR112" s="20"/>
      <c r="HS112" s="20"/>
      <c r="HT112" s="20"/>
      <c r="HU112" s="20"/>
      <c r="HV112" s="20"/>
      <c r="HW112" s="20"/>
      <c r="HX112" s="20"/>
      <c r="HY112" s="20"/>
      <c r="HZ112" s="20"/>
      <c r="IA112" s="20"/>
      <c r="IB112" s="20"/>
      <c r="IC112" s="20"/>
      <c r="ID112" s="20"/>
      <c r="IE112" s="20"/>
      <c r="IF112" s="20"/>
      <c r="IG112" s="20"/>
      <c r="IH112" s="20"/>
      <c r="II112" s="20"/>
      <c r="IJ112" s="20"/>
      <c r="IK112" s="20"/>
      <c r="IL112" s="20"/>
      <c r="IM112" s="20"/>
      <c r="IN112" s="20"/>
      <c r="IO112" s="20"/>
      <c r="IP112" s="20"/>
      <c r="IQ112" s="20"/>
      <c r="IR112" s="20"/>
      <c r="IS112" s="20"/>
      <c r="IT112" s="20"/>
      <c r="IU112" s="20"/>
      <c r="IV112" s="20"/>
      <c r="IW112" s="20"/>
      <c r="IX112" s="20"/>
      <c r="IY112" s="20"/>
      <c r="IZ112" s="20"/>
      <c r="JA112" s="20"/>
      <c r="JB112" s="20"/>
      <c r="JC112" s="20"/>
      <c r="JD112" s="20"/>
      <c r="JE112" s="20"/>
      <c r="JF112" s="20"/>
      <c r="JG112" s="20"/>
      <c r="JH112" s="20"/>
      <c r="JI112" s="20"/>
    </row>
    <row r="113" spans="1:269" ht="17.25" customHeight="1">
      <c r="A113" s="101"/>
      <c r="B113" s="20" t="s">
        <v>111</v>
      </c>
      <c r="C113" s="20" t="s">
        <v>153</v>
      </c>
      <c r="D113" s="83">
        <v>1853191</v>
      </c>
      <c r="E113" s="82">
        <v>0</v>
      </c>
      <c r="F113" s="82">
        <v>1.7000000000000001E-2</v>
      </c>
      <c r="G113" s="29"/>
      <c r="H113" s="83">
        <v>2589</v>
      </c>
      <c r="I113" s="104">
        <v>1471</v>
      </c>
      <c r="J113" s="29"/>
      <c r="K113" s="83">
        <v>20897</v>
      </c>
      <c r="L113" s="104">
        <v>4586</v>
      </c>
      <c r="M113" s="29"/>
      <c r="N113" s="178">
        <v>0.09</v>
      </c>
      <c r="O113" s="178">
        <v>0.06</v>
      </c>
      <c r="P113" s="29"/>
      <c r="Q113" s="85">
        <v>0</v>
      </c>
      <c r="R113" s="14"/>
      <c r="S113" s="15"/>
      <c r="T113" s="104">
        <v>9629</v>
      </c>
      <c r="U113" s="82">
        <v>0.11700000000000001</v>
      </c>
      <c r="V113" s="29"/>
      <c r="W113" s="83">
        <v>13005</v>
      </c>
      <c r="X113" s="82">
        <v>9.9000000000000005E-2</v>
      </c>
      <c r="Y113" s="29"/>
      <c r="Z113" s="104">
        <v>2817</v>
      </c>
      <c r="AA113" s="82">
        <v>7.9000000000000001E-2</v>
      </c>
      <c r="AB113" s="29"/>
      <c r="AC113" s="83">
        <v>29025</v>
      </c>
      <c r="AD113" s="82">
        <v>0.52400000000000002</v>
      </c>
      <c r="AE113" s="29"/>
      <c r="AF113" s="104">
        <v>6551</v>
      </c>
      <c r="AG113" s="120">
        <v>0.499</v>
      </c>
      <c r="AH113" s="85">
        <v>4.43</v>
      </c>
      <c r="AI113" s="84">
        <v>61.2</v>
      </c>
      <c r="AJ113" s="178">
        <v>327</v>
      </c>
      <c r="AK113" s="83">
        <v>156</v>
      </c>
      <c r="AL113" s="102">
        <v>36</v>
      </c>
      <c r="AM113" s="29"/>
      <c r="AN113" s="83">
        <v>11127</v>
      </c>
      <c r="AO113" s="83">
        <v>15284</v>
      </c>
      <c r="AP113" s="83">
        <v>2615</v>
      </c>
      <c r="AQ113" s="29"/>
      <c r="AR113" s="104">
        <v>2342</v>
      </c>
      <c r="AS113" s="104">
        <v>3598</v>
      </c>
      <c r="AT113" s="104">
        <v>611</v>
      </c>
      <c r="AU113" s="29"/>
      <c r="AV113" s="83">
        <v>26988</v>
      </c>
      <c r="AW113" s="104">
        <v>6137</v>
      </c>
      <c r="AX113" s="29"/>
      <c r="AY113" s="121">
        <v>0.93</v>
      </c>
      <c r="AZ113" s="120">
        <v>2.1999999999999999E-2</v>
      </c>
      <c r="BA113" s="121">
        <v>0</v>
      </c>
      <c r="BB113" s="82">
        <v>4.8000000000000001E-2</v>
      </c>
      <c r="BC113" s="29"/>
      <c r="BD113" s="178">
        <v>0</v>
      </c>
      <c r="BE113" s="89"/>
      <c r="BF113" s="94"/>
      <c r="BG113" s="178">
        <v>0</v>
      </c>
      <c r="BH113" s="178" t="s">
        <v>208</v>
      </c>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c r="DA113" s="20"/>
      <c r="DB113" s="20"/>
      <c r="DC113" s="20"/>
      <c r="DD113" s="20"/>
      <c r="DE113" s="20"/>
      <c r="DF113" s="20"/>
      <c r="DG113" s="20"/>
      <c r="DH113" s="20"/>
      <c r="DI113" s="20"/>
      <c r="DJ113" s="20"/>
      <c r="DK113" s="20"/>
      <c r="DL113" s="20"/>
      <c r="DM113" s="20"/>
      <c r="DN113" s="20"/>
      <c r="DO113" s="20"/>
      <c r="DP113" s="20"/>
      <c r="DQ113" s="20"/>
      <c r="DR113" s="20"/>
      <c r="DS113" s="20"/>
      <c r="DT113" s="20"/>
      <c r="DU113" s="20"/>
      <c r="DV113" s="20"/>
      <c r="DW113" s="20"/>
      <c r="DX113" s="20"/>
      <c r="DY113" s="20"/>
      <c r="DZ113" s="20"/>
      <c r="EA113" s="20"/>
      <c r="EB113" s="20"/>
      <c r="EC113" s="20"/>
      <c r="ED113" s="20"/>
      <c r="EE113" s="20"/>
      <c r="EF113" s="20"/>
      <c r="EG113" s="20"/>
      <c r="EH113" s="20"/>
      <c r="EI113" s="20"/>
      <c r="EJ113" s="20"/>
      <c r="EK113" s="20"/>
      <c r="EL113" s="20"/>
      <c r="EM113" s="20"/>
      <c r="EN113" s="20"/>
      <c r="EO113" s="20"/>
      <c r="EP113" s="20"/>
      <c r="EQ113" s="20"/>
      <c r="ER113" s="20"/>
      <c r="ES113" s="20"/>
      <c r="ET113" s="20"/>
      <c r="EU113" s="20"/>
      <c r="EV113" s="20"/>
      <c r="EW113" s="20"/>
      <c r="EX113" s="20"/>
      <c r="EY113" s="20"/>
      <c r="EZ113" s="20"/>
      <c r="FA113" s="20"/>
      <c r="FB113" s="20"/>
      <c r="FC113" s="20"/>
      <c r="FD113" s="20"/>
      <c r="FE113" s="20"/>
      <c r="FF113" s="20"/>
      <c r="FG113" s="20"/>
      <c r="FH113" s="20"/>
      <c r="FI113" s="20"/>
      <c r="FJ113" s="20"/>
      <c r="FK113" s="20"/>
      <c r="FL113" s="20"/>
      <c r="FM113" s="20"/>
      <c r="FN113" s="20"/>
      <c r="FO113" s="20"/>
      <c r="FP113" s="20"/>
      <c r="FQ113" s="20"/>
      <c r="FR113" s="20"/>
      <c r="FS113" s="20"/>
      <c r="FT113" s="20"/>
      <c r="FU113" s="20"/>
      <c r="FV113" s="20"/>
      <c r="FW113" s="20"/>
      <c r="FX113" s="20"/>
      <c r="FY113" s="20"/>
      <c r="FZ113" s="20"/>
      <c r="GA113" s="20"/>
      <c r="GB113" s="20"/>
      <c r="GC113" s="20"/>
      <c r="GD113" s="20"/>
      <c r="GE113" s="20"/>
      <c r="GF113" s="20"/>
      <c r="GG113" s="20"/>
      <c r="GH113" s="20"/>
      <c r="GI113" s="20"/>
      <c r="GJ113" s="20"/>
      <c r="GK113" s="20"/>
      <c r="GL113" s="20"/>
      <c r="GM113" s="20"/>
      <c r="GN113" s="20"/>
      <c r="GO113" s="20"/>
      <c r="GP113" s="20"/>
      <c r="GQ113" s="20"/>
      <c r="GR113" s="20"/>
      <c r="GS113" s="20"/>
      <c r="GT113" s="20"/>
      <c r="GU113" s="20"/>
      <c r="GV113" s="20"/>
      <c r="GW113" s="20"/>
      <c r="GX113" s="20"/>
      <c r="GY113" s="20"/>
      <c r="GZ113" s="20"/>
      <c r="HA113" s="20"/>
      <c r="HB113" s="20"/>
      <c r="HC113" s="20"/>
      <c r="HD113" s="20"/>
      <c r="HE113" s="20"/>
      <c r="HF113" s="20"/>
      <c r="HG113" s="20"/>
      <c r="HH113" s="20"/>
      <c r="HI113" s="20"/>
      <c r="HJ113" s="20"/>
      <c r="HK113" s="20"/>
      <c r="HL113" s="20"/>
      <c r="HM113" s="20"/>
      <c r="HN113" s="20"/>
      <c r="HO113" s="20"/>
      <c r="HP113" s="20"/>
      <c r="HQ113" s="20"/>
      <c r="HR113" s="20"/>
      <c r="HS113" s="20"/>
      <c r="HT113" s="20"/>
      <c r="HU113" s="20"/>
      <c r="HV113" s="20"/>
      <c r="HW113" s="20"/>
      <c r="HX113" s="20"/>
      <c r="HY113" s="20"/>
      <c r="HZ113" s="20"/>
      <c r="IA113" s="20"/>
      <c r="IB113" s="20"/>
      <c r="IC113" s="20"/>
      <c r="ID113" s="20"/>
      <c r="IE113" s="20"/>
      <c r="IF113" s="20"/>
      <c r="IG113" s="20"/>
      <c r="IH113" s="20"/>
      <c r="II113" s="20"/>
      <c r="IJ113" s="20"/>
      <c r="IK113" s="20"/>
      <c r="IL113" s="20"/>
      <c r="IM113" s="20"/>
      <c r="IN113" s="20"/>
      <c r="IO113" s="20"/>
      <c r="IP113" s="20"/>
      <c r="IQ113" s="20"/>
      <c r="IR113" s="20"/>
      <c r="IS113" s="20"/>
      <c r="IT113" s="20"/>
      <c r="IU113" s="20"/>
      <c r="IV113" s="20"/>
      <c r="IW113" s="20"/>
      <c r="IX113" s="20"/>
      <c r="IY113" s="20"/>
      <c r="IZ113" s="20"/>
      <c r="JA113" s="20"/>
      <c r="JB113" s="20"/>
      <c r="JC113" s="20"/>
      <c r="JD113" s="20"/>
      <c r="JE113" s="20"/>
      <c r="JF113" s="20"/>
      <c r="JG113" s="20"/>
      <c r="JH113" s="20"/>
      <c r="JI113" s="20"/>
    </row>
    <row r="114" spans="1:269" ht="17.25" customHeight="1">
      <c r="A114" s="101"/>
      <c r="B114" s="20" t="s">
        <v>110</v>
      </c>
      <c r="C114" s="20" t="s">
        <v>133</v>
      </c>
      <c r="D114" s="83">
        <v>1856054</v>
      </c>
      <c r="E114" s="82">
        <v>2E-3</v>
      </c>
      <c r="F114" s="82">
        <v>1.4999999999999999E-2</v>
      </c>
      <c r="G114" s="29"/>
      <c r="H114" s="83">
        <v>2613</v>
      </c>
      <c r="I114" s="104">
        <v>1458</v>
      </c>
      <c r="J114" s="29"/>
      <c r="K114" s="83">
        <v>20803</v>
      </c>
      <c r="L114" s="104">
        <v>4567</v>
      </c>
      <c r="M114" s="29"/>
      <c r="N114" s="179">
        <v>0.09</v>
      </c>
      <c r="O114" s="179">
        <v>0.06</v>
      </c>
      <c r="P114" s="29"/>
      <c r="Q114" s="85">
        <v>0</v>
      </c>
      <c r="R114" s="14"/>
      <c r="S114" s="15"/>
      <c r="T114" s="104">
        <v>8077</v>
      </c>
      <c r="U114" s="82">
        <v>-0.161</v>
      </c>
      <c r="V114" s="29"/>
      <c r="W114" s="83">
        <v>16517</v>
      </c>
      <c r="X114" s="86">
        <v>0.27</v>
      </c>
      <c r="Y114" s="29"/>
      <c r="Z114" s="104">
        <v>3997</v>
      </c>
      <c r="AA114" s="82">
        <v>0.41899999999999998</v>
      </c>
      <c r="AB114" s="29"/>
      <c r="AC114" s="83">
        <v>31587</v>
      </c>
      <c r="AD114" s="82">
        <v>8.7999999999999995E-2</v>
      </c>
      <c r="AE114" s="29"/>
      <c r="AF114" s="104">
        <v>6963</v>
      </c>
      <c r="AG114" s="120">
        <v>6.3E-2</v>
      </c>
      <c r="AH114" s="85">
        <v>4.54</v>
      </c>
      <c r="AI114" s="84">
        <v>60.2</v>
      </c>
      <c r="AJ114" s="179">
        <v>323</v>
      </c>
      <c r="AK114" s="83">
        <v>213</v>
      </c>
      <c r="AL114" s="102">
        <v>40</v>
      </c>
      <c r="AM114" s="29"/>
      <c r="AN114" s="83">
        <v>11537</v>
      </c>
      <c r="AO114" s="83">
        <v>17560</v>
      </c>
      <c r="AP114" s="83">
        <v>2490</v>
      </c>
      <c r="AQ114" s="29"/>
      <c r="AR114" s="104">
        <v>2310</v>
      </c>
      <c r="AS114" s="104">
        <v>4032</v>
      </c>
      <c r="AT114" s="104">
        <v>621</v>
      </c>
      <c r="AU114" s="29"/>
      <c r="AV114" s="83">
        <v>28394</v>
      </c>
      <c r="AW114" s="104">
        <v>6243</v>
      </c>
      <c r="AX114" s="29"/>
      <c r="AY114" s="121">
        <v>0.92</v>
      </c>
      <c r="AZ114" s="120">
        <v>3.5000000000000003E-2</v>
      </c>
      <c r="BA114" s="121">
        <v>0</v>
      </c>
      <c r="BB114" s="82">
        <v>4.4999999999999998E-2</v>
      </c>
      <c r="BC114" s="29"/>
      <c r="BD114" s="179">
        <v>1</v>
      </c>
      <c r="BE114" s="89"/>
      <c r="BF114" s="94"/>
      <c r="BG114" s="179">
        <v>1</v>
      </c>
      <c r="BH114" s="179" t="s">
        <v>208</v>
      </c>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c r="DA114" s="20"/>
      <c r="DB114" s="20"/>
      <c r="DC114" s="20"/>
      <c r="DD114" s="20"/>
      <c r="DE114" s="20"/>
      <c r="DF114" s="20"/>
      <c r="DG114" s="20"/>
      <c r="DH114" s="20"/>
      <c r="DI114" s="20"/>
      <c r="DJ114" s="20"/>
      <c r="DK114" s="20"/>
      <c r="DL114" s="20"/>
      <c r="DM114" s="20"/>
      <c r="DN114" s="20"/>
      <c r="DO114" s="20"/>
      <c r="DP114" s="20"/>
      <c r="DQ114" s="20"/>
      <c r="DR114" s="20"/>
      <c r="DS114" s="20"/>
      <c r="DT114" s="20"/>
      <c r="DU114" s="20"/>
      <c r="DV114" s="20"/>
      <c r="DW114" s="20"/>
      <c r="DX114" s="20"/>
      <c r="DY114" s="20"/>
      <c r="DZ114" s="20"/>
      <c r="EA114" s="20"/>
      <c r="EB114" s="20"/>
      <c r="EC114" s="20"/>
      <c r="ED114" s="20"/>
      <c r="EE114" s="20"/>
      <c r="EF114" s="20"/>
      <c r="EG114" s="20"/>
      <c r="EH114" s="20"/>
      <c r="EI114" s="20"/>
      <c r="EJ114" s="20"/>
      <c r="EK114" s="20"/>
      <c r="EL114" s="20"/>
      <c r="EM114" s="20"/>
      <c r="EN114" s="20"/>
      <c r="EO114" s="20"/>
      <c r="EP114" s="20"/>
      <c r="EQ114" s="20"/>
      <c r="ER114" s="20"/>
      <c r="ES114" s="20"/>
      <c r="ET114" s="20"/>
      <c r="EU114" s="20"/>
      <c r="EV114" s="20"/>
      <c r="EW114" s="20"/>
      <c r="EX114" s="20"/>
      <c r="EY114" s="20"/>
      <c r="EZ114" s="20"/>
      <c r="FA114" s="20"/>
      <c r="FB114" s="20"/>
      <c r="FC114" s="20"/>
      <c r="FD114" s="20"/>
      <c r="FE114" s="20"/>
      <c r="FF114" s="20"/>
      <c r="FG114" s="20"/>
      <c r="FH114" s="20"/>
      <c r="FI114" s="20"/>
      <c r="FJ114" s="20"/>
      <c r="FK114" s="20"/>
      <c r="FL114" s="20"/>
      <c r="FM114" s="20"/>
      <c r="FN114" s="20"/>
      <c r="FO114" s="20"/>
      <c r="FP114" s="20"/>
      <c r="FQ114" s="20"/>
      <c r="FR114" s="20"/>
      <c r="FS114" s="20"/>
      <c r="FT114" s="20"/>
      <c r="FU114" s="20"/>
      <c r="FV114" s="20"/>
      <c r="FW114" s="20"/>
      <c r="FX114" s="20"/>
      <c r="FY114" s="20"/>
      <c r="FZ114" s="20"/>
      <c r="GA114" s="20"/>
      <c r="GB114" s="20"/>
      <c r="GC114" s="20"/>
      <c r="GD114" s="20"/>
      <c r="GE114" s="20"/>
      <c r="GF114" s="20"/>
      <c r="GG114" s="20"/>
      <c r="GH114" s="20"/>
      <c r="GI114" s="20"/>
      <c r="GJ114" s="20"/>
      <c r="GK114" s="20"/>
      <c r="GL114" s="20"/>
      <c r="GM114" s="20"/>
      <c r="GN114" s="20"/>
      <c r="GO114" s="20"/>
      <c r="GP114" s="20"/>
      <c r="GQ114" s="20"/>
      <c r="GR114" s="20"/>
      <c r="GS114" s="20"/>
      <c r="GT114" s="20"/>
      <c r="GU114" s="20"/>
      <c r="GV114" s="20"/>
      <c r="GW114" s="20"/>
      <c r="GX114" s="20"/>
      <c r="GY114" s="20"/>
      <c r="GZ114" s="20"/>
      <c r="HA114" s="20"/>
      <c r="HB114" s="20"/>
      <c r="HC114" s="20"/>
      <c r="HD114" s="20"/>
      <c r="HE114" s="20"/>
      <c r="HF114" s="20"/>
      <c r="HG114" s="20"/>
      <c r="HH114" s="20"/>
      <c r="HI114" s="20"/>
      <c r="HJ114" s="20"/>
      <c r="HK114" s="20"/>
      <c r="HL114" s="20"/>
      <c r="HM114" s="20"/>
      <c r="HN114" s="20"/>
      <c r="HO114" s="20"/>
      <c r="HP114" s="20"/>
      <c r="HQ114" s="20"/>
      <c r="HR114" s="20"/>
      <c r="HS114" s="20"/>
      <c r="HT114" s="20"/>
      <c r="HU114" s="20"/>
      <c r="HV114" s="20"/>
      <c r="HW114" s="20"/>
      <c r="HX114" s="20"/>
      <c r="HY114" s="20"/>
      <c r="HZ114" s="20"/>
      <c r="IA114" s="20"/>
      <c r="IB114" s="20"/>
      <c r="IC114" s="20"/>
      <c r="ID114" s="20"/>
      <c r="IE114" s="20"/>
      <c r="IF114" s="20"/>
      <c r="IG114" s="20"/>
      <c r="IH114" s="20"/>
      <c r="II114" s="20"/>
      <c r="IJ114" s="20"/>
      <c r="IK114" s="20"/>
      <c r="IL114" s="20"/>
      <c r="IM114" s="20"/>
      <c r="IN114" s="20"/>
      <c r="IO114" s="20"/>
      <c r="IP114" s="20"/>
      <c r="IQ114" s="20"/>
      <c r="IR114" s="20"/>
      <c r="IS114" s="20"/>
      <c r="IT114" s="20"/>
      <c r="IU114" s="20"/>
      <c r="IV114" s="20"/>
      <c r="IW114" s="20"/>
      <c r="IX114" s="20"/>
      <c r="IY114" s="20"/>
      <c r="IZ114" s="20"/>
      <c r="JA114" s="20"/>
      <c r="JB114" s="20"/>
      <c r="JC114" s="20"/>
      <c r="JD114" s="20"/>
      <c r="JE114" s="20"/>
      <c r="JF114" s="20"/>
      <c r="JG114" s="20"/>
      <c r="JH114" s="20"/>
      <c r="JI114" s="20"/>
    </row>
    <row r="115" spans="1:269" ht="17.25" customHeight="1">
      <c r="A115" s="101"/>
      <c r="B115" s="20" t="s">
        <v>233</v>
      </c>
      <c r="C115" s="20" t="s">
        <v>149</v>
      </c>
      <c r="D115" s="83">
        <v>1866777</v>
      </c>
      <c r="E115" s="82">
        <v>6.0000000000000001E-3</v>
      </c>
      <c r="F115" s="82">
        <v>1.4E-2</v>
      </c>
      <c r="G115" s="29"/>
      <c r="H115" s="83">
        <v>2605</v>
      </c>
      <c r="I115" s="104">
        <v>1431</v>
      </c>
      <c r="J115" s="29"/>
      <c r="K115" s="83">
        <v>20650</v>
      </c>
      <c r="L115" s="104">
        <v>4551</v>
      </c>
      <c r="M115" s="29"/>
      <c r="N115" s="85">
        <v>0.1</v>
      </c>
      <c r="O115" s="180">
        <v>0.06</v>
      </c>
      <c r="P115" s="29"/>
      <c r="Q115" s="85">
        <v>0</v>
      </c>
      <c r="R115" s="14"/>
      <c r="S115" s="15"/>
      <c r="T115" s="104">
        <v>6690</v>
      </c>
      <c r="U115" s="82">
        <v>-0.17199999999999999</v>
      </c>
      <c r="V115" s="29"/>
      <c r="W115" s="83">
        <v>24260</v>
      </c>
      <c r="X115" s="82">
        <v>0.46899999999999997</v>
      </c>
      <c r="Y115" s="29"/>
      <c r="Z115" s="104">
        <v>5572</v>
      </c>
      <c r="AA115" s="82">
        <v>0.39400000000000002</v>
      </c>
      <c r="AB115" s="29"/>
      <c r="AC115" s="83">
        <v>24476</v>
      </c>
      <c r="AD115" s="82">
        <v>-0.22500000000000001</v>
      </c>
      <c r="AE115" s="29"/>
      <c r="AF115" s="104">
        <v>5221</v>
      </c>
      <c r="AG115" s="121">
        <v>-0.25</v>
      </c>
      <c r="AH115" s="85">
        <v>4.6900000000000004</v>
      </c>
      <c r="AI115" s="84">
        <v>58.9</v>
      </c>
      <c r="AJ115" s="180">
        <v>322</v>
      </c>
      <c r="AK115" s="83">
        <v>108</v>
      </c>
      <c r="AL115" s="102">
        <v>19</v>
      </c>
      <c r="AM115" s="29"/>
      <c r="AN115" s="83">
        <v>8582</v>
      </c>
      <c r="AO115" s="83">
        <v>13819</v>
      </c>
      <c r="AP115" s="83">
        <v>2077</v>
      </c>
      <c r="AQ115" s="29"/>
      <c r="AR115" s="104">
        <v>1585</v>
      </c>
      <c r="AS115" s="104">
        <v>3071</v>
      </c>
      <c r="AT115" s="104">
        <v>565</v>
      </c>
      <c r="AU115" s="29"/>
      <c r="AV115" s="83">
        <v>21453</v>
      </c>
      <c r="AW115" s="104">
        <v>4566</v>
      </c>
      <c r="AX115" s="29"/>
      <c r="AY115" s="120">
        <v>0.90400000000000003</v>
      </c>
      <c r="AZ115" s="120">
        <v>4.2999999999999997E-2</v>
      </c>
      <c r="BA115" s="121">
        <v>0</v>
      </c>
      <c r="BB115" s="82">
        <v>5.2999999999999999E-2</v>
      </c>
      <c r="BC115" s="29"/>
      <c r="BD115" s="180">
        <v>0</v>
      </c>
      <c r="BE115" s="89"/>
      <c r="BF115" s="94"/>
      <c r="BG115" s="180">
        <v>1</v>
      </c>
      <c r="BH115" s="180" t="s">
        <v>208</v>
      </c>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c r="DA115" s="20"/>
      <c r="DB115" s="20"/>
      <c r="DC115" s="20"/>
      <c r="DD115" s="20"/>
      <c r="DE115" s="20"/>
      <c r="DF115" s="20"/>
      <c r="DG115" s="20"/>
      <c r="DH115" s="20"/>
      <c r="DI115" s="20"/>
      <c r="DJ115" s="20"/>
      <c r="DK115" s="20"/>
      <c r="DL115" s="20"/>
      <c r="DM115" s="20"/>
      <c r="DN115" s="20"/>
      <c r="DO115" s="20"/>
      <c r="DP115" s="20"/>
      <c r="DQ115" s="20"/>
      <c r="DR115" s="20"/>
      <c r="DS115" s="20"/>
      <c r="DT115" s="20"/>
      <c r="DU115" s="20"/>
      <c r="DV115" s="20"/>
      <c r="DW115" s="20"/>
      <c r="DX115" s="20"/>
      <c r="DY115" s="20"/>
      <c r="DZ115" s="20"/>
      <c r="EA115" s="20"/>
      <c r="EB115" s="20"/>
      <c r="EC115" s="20"/>
      <c r="ED115" s="20"/>
      <c r="EE115" s="20"/>
      <c r="EF115" s="20"/>
      <c r="EG115" s="20"/>
      <c r="EH115" s="20"/>
      <c r="EI115" s="20"/>
      <c r="EJ115" s="20"/>
      <c r="EK115" s="20"/>
      <c r="EL115" s="20"/>
      <c r="EM115" s="20"/>
      <c r="EN115" s="20"/>
      <c r="EO115" s="20"/>
      <c r="EP115" s="20"/>
      <c r="EQ115" s="20"/>
      <c r="ER115" s="20"/>
      <c r="ES115" s="20"/>
      <c r="ET115" s="20"/>
      <c r="EU115" s="20"/>
      <c r="EV115" s="20"/>
      <c r="EW115" s="20"/>
      <c r="EX115" s="20"/>
      <c r="EY115" s="20"/>
      <c r="EZ115" s="20"/>
      <c r="FA115" s="20"/>
      <c r="FB115" s="20"/>
      <c r="FC115" s="20"/>
      <c r="FD115" s="20"/>
      <c r="FE115" s="20"/>
      <c r="FF115" s="20"/>
      <c r="FG115" s="20"/>
      <c r="FH115" s="20"/>
      <c r="FI115" s="20"/>
      <c r="FJ115" s="20"/>
      <c r="FK115" s="20"/>
      <c r="FL115" s="20"/>
      <c r="FM115" s="20"/>
      <c r="FN115" s="20"/>
      <c r="FO115" s="20"/>
      <c r="FP115" s="20"/>
      <c r="FQ115" s="20"/>
      <c r="FR115" s="20"/>
      <c r="FS115" s="20"/>
      <c r="FT115" s="20"/>
      <c r="FU115" s="20"/>
      <c r="FV115" s="20"/>
      <c r="FW115" s="20"/>
      <c r="FX115" s="20"/>
      <c r="FY115" s="20"/>
      <c r="FZ115" s="20"/>
      <c r="GA115" s="20"/>
      <c r="GB115" s="20"/>
      <c r="GC115" s="20"/>
      <c r="GD115" s="20"/>
      <c r="GE115" s="20"/>
      <c r="GF115" s="20"/>
      <c r="GG115" s="20"/>
      <c r="GH115" s="20"/>
      <c r="GI115" s="20"/>
      <c r="GJ115" s="20"/>
      <c r="GK115" s="20"/>
      <c r="GL115" s="20"/>
      <c r="GM115" s="20"/>
      <c r="GN115" s="20"/>
      <c r="GO115" s="20"/>
      <c r="GP115" s="20"/>
      <c r="GQ115" s="20"/>
      <c r="GR115" s="20"/>
      <c r="GS115" s="20"/>
      <c r="GT115" s="20"/>
      <c r="GU115" s="20"/>
      <c r="GV115" s="20"/>
      <c r="GW115" s="20"/>
      <c r="GX115" s="20"/>
      <c r="GY115" s="20"/>
      <c r="GZ115" s="20"/>
      <c r="HA115" s="20"/>
      <c r="HB115" s="20"/>
      <c r="HC115" s="20"/>
      <c r="HD115" s="20"/>
      <c r="HE115" s="20"/>
      <c r="HF115" s="20"/>
      <c r="HG115" s="20"/>
      <c r="HH115" s="20"/>
      <c r="HI115" s="20"/>
      <c r="HJ115" s="20"/>
      <c r="HK115" s="20"/>
      <c r="HL115" s="20"/>
      <c r="HM115" s="20"/>
      <c r="HN115" s="20"/>
      <c r="HO115" s="20"/>
      <c r="HP115" s="20"/>
      <c r="HQ115" s="20"/>
      <c r="HR115" s="20"/>
      <c r="HS115" s="20"/>
      <c r="HT115" s="20"/>
      <c r="HU115" s="20"/>
      <c r="HV115" s="20"/>
      <c r="HW115" s="20"/>
      <c r="HX115" s="20"/>
      <c r="HY115" s="20"/>
      <c r="HZ115" s="20"/>
      <c r="IA115" s="20"/>
      <c r="IB115" s="20"/>
      <c r="IC115" s="20"/>
      <c r="ID115" s="20"/>
      <c r="IE115" s="20"/>
      <c r="IF115" s="20"/>
      <c r="IG115" s="20"/>
      <c r="IH115" s="20"/>
      <c r="II115" s="20"/>
      <c r="IJ115" s="20"/>
      <c r="IK115" s="20"/>
      <c r="IL115" s="20"/>
      <c r="IM115" s="20"/>
      <c r="IN115" s="20"/>
      <c r="IO115" s="20"/>
      <c r="IP115" s="20"/>
      <c r="IQ115" s="20"/>
      <c r="IR115" s="20"/>
      <c r="IS115" s="20"/>
      <c r="IT115" s="20"/>
      <c r="IU115" s="20"/>
      <c r="IV115" s="20"/>
      <c r="IW115" s="20"/>
      <c r="IX115" s="20"/>
      <c r="IY115" s="20"/>
      <c r="IZ115" s="20"/>
      <c r="JA115" s="20"/>
      <c r="JB115" s="20"/>
      <c r="JC115" s="20"/>
      <c r="JD115" s="20"/>
      <c r="JE115" s="20"/>
      <c r="JF115" s="20"/>
      <c r="JG115" s="20"/>
      <c r="JH115" s="20"/>
      <c r="JI115" s="20"/>
    </row>
    <row r="116" spans="1:269" ht="17.25" customHeight="1">
      <c r="A116" s="101"/>
      <c r="B116" s="20" t="s">
        <v>120</v>
      </c>
      <c r="C116" s="20" t="s">
        <v>147</v>
      </c>
      <c r="D116" s="83">
        <v>1868026</v>
      </c>
      <c r="E116" s="82">
        <v>1E-3</v>
      </c>
      <c r="F116" s="82">
        <v>8.9999999999999993E-3</v>
      </c>
      <c r="G116" s="29"/>
      <c r="H116" s="83">
        <v>2629</v>
      </c>
      <c r="I116" s="104">
        <v>1410</v>
      </c>
      <c r="J116" s="29"/>
      <c r="K116" s="83">
        <v>20457</v>
      </c>
      <c r="L116" s="104">
        <v>4513</v>
      </c>
      <c r="M116" s="29"/>
      <c r="N116" s="85">
        <v>0.1</v>
      </c>
      <c r="O116" s="181">
        <v>0.06</v>
      </c>
      <c r="P116" s="29"/>
      <c r="Q116" s="85">
        <v>0</v>
      </c>
      <c r="R116" s="14"/>
      <c r="S116" s="15"/>
      <c r="T116" s="104">
        <v>6740</v>
      </c>
      <c r="U116" s="82">
        <v>7.0000000000000001E-3</v>
      </c>
      <c r="V116" s="29"/>
      <c r="W116" s="83">
        <v>16414</v>
      </c>
      <c r="X116" s="82">
        <v>-0.32300000000000001</v>
      </c>
      <c r="Y116" s="29"/>
      <c r="Z116" s="104">
        <v>3604</v>
      </c>
      <c r="AA116" s="82">
        <v>-0.35299999999999998</v>
      </c>
      <c r="AB116" s="29"/>
      <c r="AC116" s="83">
        <v>24841</v>
      </c>
      <c r="AD116" s="82">
        <v>1.4999999999999999E-2</v>
      </c>
      <c r="AE116" s="29"/>
      <c r="AF116" s="104">
        <v>5491</v>
      </c>
      <c r="AG116" s="120">
        <v>5.1999999999999998E-2</v>
      </c>
      <c r="AH116" s="85">
        <v>4.53</v>
      </c>
      <c r="AI116" s="84">
        <v>60.6</v>
      </c>
      <c r="AJ116" s="181">
        <v>322</v>
      </c>
      <c r="AK116" s="83">
        <v>103</v>
      </c>
      <c r="AL116" s="102">
        <v>22</v>
      </c>
      <c r="AM116" s="29"/>
      <c r="AN116" s="83">
        <v>8641</v>
      </c>
      <c r="AO116" s="83">
        <v>13676</v>
      </c>
      <c r="AP116" s="83">
        <v>2524</v>
      </c>
      <c r="AQ116" s="29"/>
      <c r="AR116" s="104">
        <v>1712</v>
      </c>
      <c r="AS116" s="104">
        <v>3110</v>
      </c>
      <c r="AT116" s="104">
        <v>669</v>
      </c>
      <c r="AU116" s="29"/>
      <c r="AV116" s="83">
        <v>22474</v>
      </c>
      <c r="AW116" s="104">
        <v>4974</v>
      </c>
      <c r="AX116" s="29"/>
      <c r="AY116" s="120">
        <v>0.89800000000000002</v>
      </c>
      <c r="AZ116" s="120">
        <v>4.5999999999999999E-2</v>
      </c>
      <c r="BA116" s="121">
        <v>0</v>
      </c>
      <c r="BB116" s="82">
        <v>5.5E-2</v>
      </c>
      <c r="BC116" s="29"/>
      <c r="BD116" s="181">
        <v>0</v>
      </c>
      <c r="BE116" s="89"/>
      <c r="BF116" s="94"/>
      <c r="BG116" s="181">
        <v>1</v>
      </c>
      <c r="BH116" s="181" t="s">
        <v>208</v>
      </c>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c r="DA116" s="20"/>
      <c r="DB116" s="20"/>
      <c r="DC116" s="20"/>
      <c r="DD116" s="20"/>
      <c r="DE116" s="20"/>
      <c r="DF116" s="20"/>
      <c r="DG116" s="20"/>
      <c r="DH116" s="20"/>
      <c r="DI116" s="20"/>
      <c r="DJ116" s="20"/>
      <c r="DK116" s="20"/>
      <c r="DL116" s="20"/>
      <c r="DM116" s="20"/>
      <c r="DN116" s="20"/>
      <c r="DO116" s="20"/>
      <c r="DP116" s="20"/>
      <c r="DQ116" s="20"/>
      <c r="DR116" s="20"/>
      <c r="DS116" s="20"/>
      <c r="DT116" s="20"/>
      <c r="DU116" s="20"/>
      <c r="DV116" s="20"/>
      <c r="DW116" s="20"/>
      <c r="DX116" s="20"/>
      <c r="DY116" s="20"/>
      <c r="DZ116" s="20"/>
      <c r="EA116" s="20"/>
      <c r="EB116" s="20"/>
      <c r="EC116" s="20"/>
      <c r="ED116" s="20"/>
      <c r="EE116" s="20"/>
      <c r="EF116" s="20"/>
      <c r="EG116" s="20"/>
      <c r="EH116" s="20"/>
      <c r="EI116" s="20"/>
      <c r="EJ116" s="20"/>
      <c r="EK116" s="20"/>
      <c r="EL116" s="20"/>
      <c r="EM116" s="20"/>
      <c r="EN116" s="20"/>
      <c r="EO116" s="20"/>
      <c r="EP116" s="20"/>
      <c r="EQ116" s="20"/>
      <c r="ER116" s="20"/>
      <c r="ES116" s="20"/>
      <c r="ET116" s="20"/>
      <c r="EU116" s="20"/>
      <c r="EV116" s="20"/>
      <c r="EW116" s="20"/>
      <c r="EX116" s="20"/>
      <c r="EY116" s="20"/>
      <c r="EZ116" s="20"/>
      <c r="FA116" s="20"/>
      <c r="FB116" s="20"/>
      <c r="FC116" s="20"/>
      <c r="FD116" s="20"/>
      <c r="FE116" s="20"/>
      <c r="FF116" s="20"/>
      <c r="FG116" s="20"/>
      <c r="FH116" s="20"/>
      <c r="FI116" s="20"/>
      <c r="FJ116" s="20"/>
      <c r="FK116" s="20"/>
      <c r="FL116" s="20"/>
      <c r="FM116" s="20"/>
      <c r="FN116" s="20"/>
      <c r="FO116" s="20"/>
      <c r="FP116" s="20"/>
      <c r="FQ116" s="20"/>
      <c r="FR116" s="20"/>
      <c r="FS116" s="20"/>
      <c r="FT116" s="20"/>
      <c r="FU116" s="20"/>
      <c r="FV116" s="20"/>
      <c r="FW116" s="20"/>
      <c r="FX116" s="20"/>
      <c r="FY116" s="20"/>
      <c r="FZ116" s="20"/>
      <c r="GA116" s="20"/>
      <c r="GB116" s="20"/>
      <c r="GC116" s="20"/>
      <c r="GD116" s="20"/>
      <c r="GE116" s="20"/>
      <c r="GF116" s="20"/>
      <c r="GG116" s="20"/>
      <c r="GH116" s="20"/>
      <c r="GI116" s="20"/>
      <c r="GJ116" s="20"/>
      <c r="GK116" s="20"/>
      <c r="GL116" s="20"/>
      <c r="GM116" s="20"/>
      <c r="GN116" s="20"/>
      <c r="GO116" s="20"/>
      <c r="GP116" s="20"/>
      <c r="GQ116" s="20"/>
      <c r="GR116" s="20"/>
      <c r="GS116" s="20"/>
      <c r="GT116" s="20"/>
      <c r="GU116" s="20"/>
      <c r="GV116" s="20"/>
      <c r="GW116" s="20"/>
      <c r="GX116" s="20"/>
      <c r="GY116" s="20"/>
      <c r="GZ116" s="20"/>
      <c r="HA116" s="20"/>
      <c r="HB116" s="20"/>
      <c r="HC116" s="20"/>
      <c r="HD116" s="20"/>
      <c r="HE116" s="20"/>
      <c r="HF116" s="20"/>
      <c r="HG116" s="20"/>
      <c r="HH116" s="20"/>
      <c r="HI116" s="20"/>
      <c r="HJ116" s="20"/>
      <c r="HK116" s="20"/>
      <c r="HL116" s="20"/>
      <c r="HM116" s="20"/>
      <c r="HN116" s="20"/>
      <c r="HO116" s="20"/>
      <c r="HP116" s="20"/>
      <c r="HQ116" s="20"/>
      <c r="HR116" s="20"/>
      <c r="HS116" s="20"/>
      <c r="HT116" s="20"/>
      <c r="HU116" s="20"/>
      <c r="HV116" s="20"/>
      <c r="HW116" s="20"/>
      <c r="HX116" s="20"/>
      <c r="HY116" s="20"/>
      <c r="HZ116" s="20"/>
      <c r="IA116" s="20"/>
      <c r="IB116" s="20"/>
      <c r="IC116" s="20"/>
      <c r="ID116" s="20"/>
      <c r="IE116" s="20"/>
      <c r="IF116" s="20"/>
      <c r="IG116" s="20"/>
      <c r="IH116" s="20"/>
      <c r="II116" s="20"/>
      <c r="IJ116" s="20"/>
      <c r="IK116" s="20"/>
      <c r="IL116" s="20"/>
      <c r="IM116" s="20"/>
      <c r="IN116" s="20"/>
      <c r="IO116" s="20"/>
      <c r="IP116" s="20"/>
      <c r="IQ116" s="20"/>
      <c r="IR116" s="20"/>
      <c r="IS116" s="20"/>
      <c r="IT116" s="20"/>
      <c r="IU116" s="20"/>
      <c r="IV116" s="20"/>
      <c r="IW116" s="20"/>
      <c r="IX116" s="20"/>
      <c r="IY116" s="20"/>
      <c r="IZ116" s="20"/>
      <c r="JA116" s="20"/>
      <c r="JB116" s="20"/>
      <c r="JC116" s="20"/>
      <c r="JD116" s="20"/>
      <c r="JE116" s="20"/>
      <c r="JF116" s="20"/>
      <c r="JG116" s="20"/>
      <c r="JH116" s="20"/>
      <c r="JI116" s="20"/>
    </row>
    <row r="117" spans="1:269" ht="17.25" customHeight="1">
      <c r="A117" s="101"/>
      <c r="B117" s="20" t="s">
        <v>119</v>
      </c>
      <c r="C117" s="20" t="s">
        <v>145</v>
      </c>
      <c r="D117" s="83">
        <v>1870337</v>
      </c>
      <c r="E117" s="82">
        <v>1E-3</v>
      </c>
      <c r="F117" s="82">
        <v>8.9999999999999993E-3</v>
      </c>
      <c r="G117" s="29"/>
      <c r="H117" s="83">
        <v>2616</v>
      </c>
      <c r="I117" s="104">
        <v>1371</v>
      </c>
      <c r="J117" s="29"/>
      <c r="K117" s="83">
        <v>20200</v>
      </c>
      <c r="L117" s="104">
        <v>4461</v>
      </c>
      <c r="M117" s="29"/>
      <c r="N117" s="85">
        <v>0.1</v>
      </c>
      <c r="O117" s="182">
        <v>7.0000000000000007E-2</v>
      </c>
      <c r="P117" s="29"/>
      <c r="Q117" s="85">
        <v>0</v>
      </c>
      <c r="R117" s="14"/>
      <c r="S117" s="15"/>
      <c r="T117" s="104">
        <v>5919</v>
      </c>
      <c r="U117" s="82">
        <v>-0.122</v>
      </c>
      <c r="V117" s="29"/>
      <c r="W117" s="83">
        <v>15934</v>
      </c>
      <c r="X117" s="82">
        <v>-2.9000000000000001E-2</v>
      </c>
      <c r="Y117" s="29"/>
      <c r="Z117" s="104">
        <v>3443</v>
      </c>
      <c r="AA117" s="82">
        <v>-4.4999999999999998E-2</v>
      </c>
      <c r="AB117" s="29"/>
      <c r="AC117" s="83">
        <v>21812</v>
      </c>
      <c r="AD117" s="82">
        <v>-0.122</v>
      </c>
      <c r="AE117" s="29"/>
      <c r="AF117" s="104">
        <v>4794</v>
      </c>
      <c r="AG117" s="120">
        <v>-0.127</v>
      </c>
      <c r="AH117" s="85">
        <v>4.55</v>
      </c>
      <c r="AI117" s="84">
        <v>59.9</v>
      </c>
      <c r="AJ117" s="182">
        <v>321</v>
      </c>
      <c r="AK117" s="83">
        <v>92</v>
      </c>
      <c r="AL117" s="102">
        <v>17</v>
      </c>
      <c r="AM117" s="29"/>
      <c r="AN117" s="83">
        <v>7631</v>
      </c>
      <c r="AO117" s="83">
        <v>11799</v>
      </c>
      <c r="AP117" s="83">
        <v>2382</v>
      </c>
      <c r="AQ117" s="29"/>
      <c r="AR117" s="104">
        <v>1533</v>
      </c>
      <c r="AS117" s="104">
        <v>2673</v>
      </c>
      <c r="AT117" s="104">
        <v>588</v>
      </c>
      <c r="AU117" s="29"/>
      <c r="AV117" s="83">
        <v>19808</v>
      </c>
      <c r="AW117" s="104">
        <v>4364</v>
      </c>
      <c r="AX117" s="29"/>
      <c r="AY117" s="120">
        <v>0.88600000000000001</v>
      </c>
      <c r="AZ117" s="121">
        <v>0.06</v>
      </c>
      <c r="BA117" s="121">
        <v>0</v>
      </c>
      <c r="BB117" s="82">
        <v>5.3999999999999999E-2</v>
      </c>
      <c r="BC117" s="29"/>
      <c r="BD117" s="182">
        <v>0</v>
      </c>
      <c r="BE117" s="89"/>
      <c r="BF117" s="94"/>
      <c r="BG117" s="182">
        <v>1</v>
      </c>
      <c r="BH117" s="182" t="s">
        <v>208</v>
      </c>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c r="DA117" s="20"/>
      <c r="DB117" s="20"/>
      <c r="DC117" s="20"/>
      <c r="DD117" s="20"/>
      <c r="DE117" s="20"/>
      <c r="DF117" s="20"/>
      <c r="DG117" s="20"/>
      <c r="DH117" s="20"/>
      <c r="DI117" s="20"/>
      <c r="DJ117" s="20"/>
      <c r="DK117" s="20"/>
      <c r="DL117" s="20"/>
      <c r="DM117" s="20"/>
      <c r="DN117" s="20"/>
      <c r="DO117" s="20"/>
      <c r="DP117" s="20"/>
      <c r="DQ117" s="20"/>
      <c r="DR117" s="20"/>
      <c r="DS117" s="20"/>
      <c r="DT117" s="20"/>
      <c r="DU117" s="20"/>
      <c r="DV117" s="20"/>
      <c r="DW117" s="20"/>
      <c r="DX117" s="20"/>
      <c r="DY117" s="20"/>
      <c r="DZ117" s="20"/>
      <c r="EA117" s="20"/>
      <c r="EB117" s="20"/>
      <c r="EC117" s="20"/>
      <c r="ED117" s="20"/>
      <c r="EE117" s="20"/>
      <c r="EF117" s="20"/>
      <c r="EG117" s="20"/>
      <c r="EH117" s="20"/>
      <c r="EI117" s="20"/>
      <c r="EJ117" s="20"/>
      <c r="EK117" s="20"/>
      <c r="EL117" s="20"/>
      <c r="EM117" s="20"/>
      <c r="EN117" s="20"/>
      <c r="EO117" s="20"/>
      <c r="EP117" s="20"/>
      <c r="EQ117" s="20"/>
      <c r="ER117" s="20"/>
      <c r="ES117" s="20"/>
      <c r="ET117" s="20"/>
      <c r="EU117" s="20"/>
      <c r="EV117" s="20"/>
      <c r="EW117" s="20"/>
      <c r="EX117" s="20"/>
      <c r="EY117" s="20"/>
      <c r="EZ117" s="20"/>
      <c r="FA117" s="20"/>
      <c r="FB117" s="20"/>
      <c r="FC117" s="20"/>
      <c r="FD117" s="20"/>
      <c r="FE117" s="20"/>
      <c r="FF117" s="20"/>
      <c r="FG117" s="20"/>
      <c r="FH117" s="20"/>
      <c r="FI117" s="20"/>
      <c r="FJ117" s="20"/>
      <c r="FK117" s="20"/>
      <c r="FL117" s="20"/>
      <c r="FM117" s="20"/>
      <c r="FN117" s="20"/>
      <c r="FO117" s="20"/>
      <c r="FP117" s="20"/>
      <c r="FQ117" s="20"/>
      <c r="FR117" s="20"/>
      <c r="FS117" s="20"/>
      <c r="FT117" s="20"/>
      <c r="FU117" s="20"/>
      <c r="FV117" s="20"/>
      <c r="FW117" s="20"/>
      <c r="FX117" s="20"/>
      <c r="FY117" s="20"/>
      <c r="FZ117" s="20"/>
      <c r="GA117" s="20"/>
      <c r="GB117" s="20"/>
      <c r="GC117" s="20"/>
      <c r="GD117" s="20"/>
      <c r="GE117" s="20"/>
      <c r="GF117" s="20"/>
      <c r="GG117" s="20"/>
      <c r="GH117" s="20"/>
      <c r="GI117" s="20"/>
      <c r="GJ117" s="20"/>
      <c r="GK117" s="20"/>
      <c r="GL117" s="20"/>
      <c r="GM117" s="20"/>
      <c r="GN117" s="20"/>
      <c r="GO117" s="20"/>
      <c r="GP117" s="20"/>
      <c r="GQ117" s="20"/>
      <c r="GR117" s="20"/>
      <c r="GS117" s="20"/>
      <c r="GT117" s="20"/>
      <c r="GU117" s="20"/>
      <c r="GV117" s="20"/>
      <c r="GW117" s="20"/>
      <c r="GX117" s="20"/>
      <c r="GY117" s="20"/>
      <c r="GZ117" s="20"/>
      <c r="HA117" s="20"/>
      <c r="HB117" s="20"/>
      <c r="HC117" s="20"/>
      <c r="HD117" s="20"/>
      <c r="HE117" s="20"/>
      <c r="HF117" s="20"/>
      <c r="HG117" s="20"/>
      <c r="HH117" s="20"/>
      <c r="HI117" s="20"/>
      <c r="HJ117" s="20"/>
      <c r="HK117" s="20"/>
      <c r="HL117" s="20"/>
      <c r="HM117" s="20"/>
      <c r="HN117" s="20"/>
      <c r="HO117" s="20"/>
      <c r="HP117" s="20"/>
      <c r="HQ117" s="20"/>
      <c r="HR117" s="20"/>
      <c r="HS117" s="20"/>
      <c r="HT117" s="20"/>
      <c r="HU117" s="20"/>
      <c r="HV117" s="20"/>
      <c r="HW117" s="20"/>
      <c r="HX117" s="20"/>
      <c r="HY117" s="20"/>
      <c r="HZ117" s="20"/>
      <c r="IA117" s="20"/>
      <c r="IB117" s="20"/>
      <c r="IC117" s="20"/>
      <c r="ID117" s="20"/>
      <c r="IE117" s="20"/>
      <c r="IF117" s="20"/>
      <c r="IG117" s="20"/>
      <c r="IH117" s="20"/>
      <c r="II117" s="20"/>
      <c r="IJ117" s="20"/>
      <c r="IK117" s="20"/>
      <c r="IL117" s="20"/>
      <c r="IM117" s="20"/>
      <c r="IN117" s="20"/>
      <c r="IO117" s="20"/>
      <c r="IP117" s="20"/>
      <c r="IQ117" s="20"/>
      <c r="IR117" s="20"/>
      <c r="IS117" s="20"/>
      <c r="IT117" s="20"/>
      <c r="IU117" s="20"/>
      <c r="IV117" s="20"/>
      <c r="IW117" s="20"/>
      <c r="IX117" s="20"/>
      <c r="IY117" s="20"/>
      <c r="IZ117" s="20"/>
      <c r="JA117" s="20"/>
      <c r="JB117" s="20"/>
      <c r="JC117" s="20"/>
      <c r="JD117" s="20"/>
      <c r="JE117" s="20"/>
      <c r="JF117" s="20"/>
      <c r="JG117" s="20"/>
      <c r="JH117" s="20"/>
      <c r="JI117" s="20"/>
    </row>
    <row r="118" spans="1:269" ht="17.25" customHeight="1">
      <c r="A118" s="101"/>
      <c r="B118" s="20" t="s">
        <v>118</v>
      </c>
      <c r="C118" s="20" t="s">
        <v>143</v>
      </c>
      <c r="D118" s="83">
        <v>1872774</v>
      </c>
      <c r="E118" s="82">
        <v>1E-3</v>
      </c>
      <c r="F118" s="82">
        <v>8.9999999999999993E-3</v>
      </c>
      <c r="G118" s="29"/>
      <c r="H118" s="83">
        <v>2618</v>
      </c>
      <c r="I118" s="104">
        <v>1359</v>
      </c>
      <c r="J118" s="29"/>
      <c r="K118" s="83">
        <v>20029</v>
      </c>
      <c r="L118" s="104">
        <v>4428</v>
      </c>
      <c r="M118" s="29"/>
      <c r="N118" s="85">
        <v>0.11</v>
      </c>
      <c r="O118" s="183">
        <v>7.0000000000000007E-2</v>
      </c>
      <c r="P118" s="29"/>
      <c r="Q118" s="85">
        <v>0</v>
      </c>
      <c r="R118" s="14"/>
      <c r="S118" s="15"/>
      <c r="T118" s="104">
        <v>4977</v>
      </c>
      <c r="U118" s="82">
        <v>-0.159</v>
      </c>
      <c r="V118" s="29"/>
      <c r="W118" s="83">
        <v>15353</v>
      </c>
      <c r="X118" s="82">
        <v>-3.5999999999999997E-2</v>
      </c>
      <c r="Y118" s="29"/>
      <c r="Z118" s="104">
        <v>3457</v>
      </c>
      <c r="AA118" s="82">
        <v>4.0000000000000001E-3</v>
      </c>
      <c r="AB118" s="29"/>
      <c r="AC118" s="83">
        <v>17322</v>
      </c>
      <c r="AD118" s="82">
        <v>-0.20599999999999999</v>
      </c>
      <c r="AE118" s="29"/>
      <c r="AF118" s="104">
        <v>3771</v>
      </c>
      <c r="AG118" s="120">
        <v>-0.21299999999999999</v>
      </c>
      <c r="AH118" s="85">
        <v>4.59</v>
      </c>
      <c r="AI118" s="84">
        <v>59.6</v>
      </c>
      <c r="AJ118" s="183">
        <v>320</v>
      </c>
      <c r="AK118" s="83">
        <v>61</v>
      </c>
      <c r="AL118" s="102">
        <v>16</v>
      </c>
      <c r="AM118" s="29"/>
      <c r="AN118" s="83">
        <v>5555</v>
      </c>
      <c r="AO118" s="83">
        <v>9983</v>
      </c>
      <c r="AP118" s="83">
        <v>1784</v>
      </c>
      <c r="AQ118" s="29"/>
      <c r="AR118" s="104">
        <v>1005</v>
      </c>
      <c r="AS118" s="104">
        <v>2292</v>
      </c>
      <c r="AT118" s="104">
        <v>474</v>
      </c>
      <c r="AU118" s="29"/>
      <c r="AV118" s="83">
        <v>15253</v>
      </c>
      <c r="AW118" s="104">
        <v>3390</v>
      </c>
      <c r="AX118" s="29"/>
      <c r="AY118" s="120">
        <v>0.88600000000000001</v>
      </c>
      <c r="AZ118" s="120">
        <v>4.2000000000000003E-2</v>
      </c>
      <c r="BA118" s="121">
        <v>0</v>
      </c>
      <c r="BB118" s="82">
        <v>7.0999999999999994E-2</v>
      </c>
      <c r="BC118" s="29"/>
      <c r="BD118" s="183">
        <v>0</v>
      </c>
      <c r="BE118" s="89"/>
      <c r="BF118" s="94"/>
      <c r="BG118" s="183">
        <v>1</v>
      </c>
      <c r="BH118" s="183" t="s">
        <v>208</v>
      </c>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c r="DB118" s="20"/>
      <c r="DC118" s="20"/>
      <c r="DD118" s="20"/>
      <c r="DE118" s="20"/>
      <c r="DF118" s="20"/>
      <c r="DG118" s="20"/>
      <c r="DH118" s="20"/>
      <c r="DI118" s="20"/>
      <c r="DJ118" s="20"/>
      <c r="DK118" s="20"/>
      <c r="DL118" s="20"/>
      <c r="DM118" s="20"/>
      <c r="DN118" s="20"/>
      <c r="DO118" s="20"/>
      <c r="DP118" s="20"/>
      <c r="DQ118" s="20"/>
      <c r="DR118" s="20"/>
      <c r="DS118" s="20"/>
      <c r="DT118" s="20"/>
      <c r="DU118" s="20"/>
      <c r="DV118" s="20"/>
      <c r="DW118" s="20"/>
      <c r="DX118" s="20"/>
      <c r="DY118" s="20"/>
      <c r="DZ118" s="20"/>
      <c r="EA118" s="20"/>
      <c r="EB118" s="20"/>
      <c r="EC118" s="20"/>
      <c r="ED118" s="20"/>
      <c r="EE118" s="20"/>
      <c r="EF118" s="20"/>
      <c r="EG118" s="20"/>
      <c r="EH118" s="20"/>
      <c r="EI118" s="20"/>
      <c r="EJ118" s="20"/>
      <c r="EK118" s="20"/>
      <c r="EL118" s="20"/>
      <c r="EM118" s="20"/>
      <c r="EN118" s="20"/>
      <c r="EO118" s="20"/>
      <c r="EP118" s="20"/>
      <c r="EQ118" s="20"/>
      <c r="ER118" s="20"/>
      <c r="ES118" s="20"/>
      <c r="ET118" s="20"/>
      <c r="EU118" s="20"/>
      <c r="EV118" s="20"/>
      <c r="EW118" s="20"/>
      <c r="EX118" s="20"/>
      <c r="EY118" s="20"/>
      <c r="EZ118" s="20"/>
      <c r="FA118" s="20"/>
      <c r="FB118" s="20"/>
      <c r="FC118" s="20"/>
      <c r="FD118" s="20"/>
      <c r="FE118" s="20"/>
      <c r="FF118" s="20"/>
      <c r="FG118" s="20"/>
      <c r="FH118" s="20"/>
      <c r="FI118" s="20"/>
      <c r="FJ118" s="20"/>
      <c r="FK118" s="20"/>
      <c r="FL118" s="20"/>
      <c r="FM118" s="20"/>
      <c r="FN118" s="20"/>
      <c r="FO118" s="20"/>
      <c r="FP118" s="20"/>
      <c r="FQ118" s="20"/>
      <c r="FR118" s="20"/>
      <c r="FS118" s="20"/>
      <c r="FT118" s="20"/>
      <c r="FU118" s="20"/>
      <c r="FV118" s="20"/>
      <c r="FW118" s="20"/>
      <c r="FX118" s="20"/>
      <c r="FY118" s="20"/>
      <c r="FZ118" s="20"/>
      <c r="GA118" s="20"/>
      <c r="GB118" s="20"/>
      <c r="GC118" s="20"/>
      <c r="GD118" s="20"/>
      <c r="GE118" s="20"/>
      <c r="GF118" s="20"/>
      <c r="GG118" s="20"/>
      <c r="GH118" s="20"/>
      <c r="GI118" s="20"/>
      <c r="GJ118" s="20"/>
      <c r="GK118" s="20"/>
      <c r="GL118" s="20"/>
      <c r="GM118" s="20"/>
      <c r="GN118" s="20"/>
      <c r="GO118" s="20"/>
      <c r="GP118" s="20"/>
      <c r="GQ118" s="20"/>
      <c r="GR118" s="20"/>
      <c r="GS118" s="20"/>
      <c r="GT118" s="20"/>
      <c r="GU118" s="20"/>
      <c r="GV118" s="20"/>
      <c r="GW118" s="20"/>
      <c r="GX118" s="20"/>
      <c r="GY118" s="20"/>
      <c r="GZ118" s="20"/>
      <c r="HA118" s="20"/>
      <c r="HB118" s="20"/>
      <c r="HC118" s="20"/>
      <c r="HD118" s="20"/>
      <c r="HE118" s="20"/>
      <c r="HF118" s="20"/>
      <c r="HG118" s="20"/>
      <c r="HH118" s="20"/>
      <c r="HI118" s="20"/>
      <c r="HJ118" s="20"/>
      <c r="HK118" s="20"/>
      <c r="HL118" s="20"/>
      <c r="HM118" s="20"/>
      <c r="HN118" s="20"/>
      <c r="HO118" s="20"/>
      <c r="HP118" s="20"/>
      <c r="HQ118" s="20"/>
      <c r="HR118" s="20"/>
      <c r="HS118" s="20"/>
      <c r="HT118" s="20"/>
      <c r="HU118" s="20"/>
      <c r="HV118" s="20"/>
      <c r="HW118" s="20"/>
      <c r="HX118" s="20"/>
      <c r="HY118" s="20"/>
      <c r="HZ118" s="20"/>
      <c r="IA118" s="20"/>
      <c r="IB118" s="20"/>
      <c r="IC118" s="20"/>
      <c r="ID118" s="20"/>
      <c r="IE118" s="20"/>
      <c r="IF118" s="20"/>
      <c r="IG118" s="20"/>
      <c r="IH118" s="20"/>
      <c r="II118" s="20"/>
      <c r="IJ118" s="20"/>
      <c r="IK118" s="20"/>
      <c r="IL118" s="20"/>
      <c r="IM118" s="20"/>
      <c r="IN118" s="20"/>
      <c r="IO118" s="20"/>
      <c r="IP118" s="20"/>
      <c r="IQ118" s="20"/>
      <c r="IR118" s="20"/>
      <c r="IS118" s="20"/>
      <c r="IT118" s="20"/>
      <c r="IU118" s="20"/>
      <c r="IV118" s="20"/>
      <c r="IW118" s="20"/>
      <c r="IX118" s="20"/>
      <c r="IY118" s="20"/>
      <c r="IZ118" s="20"/>
      <c r="JA118" s="20"/>
      <c r="JB118" s="20"/>
      <c r="JC118" s="20"/>
      <c r="JD118" s="20"/>
      <c r="JE118" s="20"/>
      <c r="JF118" s="20"/>
      <c r="JG118" s="20"/>
      <c r="JH118" s="20"/>
      <c r="JI118" s="20"/>
    </row>
    <row r="119" spans="1:269" ht="17.25" customHeight="1">
      <c r="A119" s="101"/>
      <c r="B119" s="20" t="s">
        <v>117</v>
      </c>
      <c r="C119" s="20" t="s">
        <v>141</v>
      </c>
      <c r="D119" s="83">
        <v>1872828</v>
      </c>
      <c r="E119" s="82">
        <v>0</v>
      </c>
      <c r="F119" s="82">
        <v>8.0000000000000002E-3</v>
      </c>
      <c r="G119" s="29"/>
      <c r="H119" s="83">
        <v>2630</v>
      </c>
      <c r="I119" s="104">
        <v>1347</v>
      </c>
      <c r="J119" s="29"/>
      <c r="K119" s="83">
        <v>19947</v>
      </c>
      <c r="L119" s="104">
        <v>4412</v>
      </c>
      <c r="M119" s="29"/>
      <c r="N119" s="184">
        <v>0.12</v>
      </c>
      <c r="O119" s="184">
        <v>0.08</v>
      </c>
      <c r="P119" s="29"/>
      <c r="Q119" s="85">
        <v>0</v>
      </c>
      <c r="R119" s="14"/>
      <c r="S119" s="15"/>
      <c r="T119" s="104">
        <v>7289</v>
      </c>
      <c r="U119" s="82">
        <v>0.46500000000000002</v>
      </c>
      <c r="V119" s="29"/>
      <c r="W119" s="83">
        <v>11223</v>
      </c>
      <c r="X119" s="82">
        <v>-0.26900000000000002</v>
      </c>
      <c r="Y119" s="29"/>
      <c r="Z119" s="104">
        <v>2475</v>
      </c>
      <c r="AA119" s="82">
        <v>-0.28399999999999997</v>
      </c>
      <c r="AB119" s="29"/>
      <c r="AC119" s="83">
        <v>18968</v>
      </c>
      <c r="AD119" s="82">
        <v>9.5000000000000001E-2</v>
      </c>
      <c r="AE119" s="29"/>
      <c r="AF119" s="104">
        <v>4130</v>
      </c>
      <c r="AG119" s="120">
        <v>9.5000000000000001E-2</v>
      </c>
      <c r="AH119" s="85">
        <v>4.59</v>
      </c>
      <c r="AI119" s="84">
        <v>60.5</v>
      </c>
      <c r="AJ119" s="184">
        <v>320</v>
      </c>
      <c r="AK119" s="83">
        <v>45</v>
      </c>
      <c r="AL119" s="102">
        <v>13</v>
      </c>
      <c r="AM119" s="29"/>
      <c r="AN119" s="83">
        <v>5422</v>
      </c>
      <c r="AO119" s="83">
        <v>11385</v>
      </c>
      <c r="AP119" s="83">
        <v>2162</v>
      </c>
      <c r="AQ119" s="29"/>
      <c r="AR119" s="104">
        <v>983</v>
      </c>
      <c r="AS119" s="104">
        <v>2610</v>
      </c>
      <c r="AT119" s="104">
        <v>537</v>
      </c>
      <c r="AU119" s="29"/>
      <c r="AV119" s="83">
        <v>17632</v>
      </c>
      <c r="AW119" s="104">
        <v>3851</v>
      </c>
      <c r="AX119" s="29"/>
      <c r="AY119" s="120">
        <v>0.89200000000000002</v>
      </c>
      <c r="AZ119" s="120">
        <v>3.5999999999999997E-2</v>
      </c>
      <c r="BA119" s="120">
        <v>1.7999999999999999E-2</v>
      </c>
      <c r="BB119" s="82">
        <v>5.3999999999999999E-2</v>
      </c>
      <c r="BC119" s="29"/>
      <c r="BD119" s="184">
        <v>0</v>
      </c>
      <c r="BE119" s="89"/>
      <c r="BF119" s="94"/>
      <c r="BG119" s="184">
        <v>1</v>
      </c>
      <c r="BH119" s="184" t="s">
        <v>208</v>
      </c>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c r="DA119" s="20"/>
      <c r="DB119" s="20"/>
      <c r="DC119" s="20"/>
      <c r="DD119" s="20"/>
      <c r="DE119" s="20"/>
      <c r="DF119" s="20"/>
      <c r="DG119" s="20"/>
      <c r="DH119" s="20"/>
      <c r="DI119" s="20"/>
      <c r="DJ119" s="20"/>
      <c r="DK119" s="20"/>
      <c r="DL119" s="20"/>
      <c r="DM119" s="20"/>
      <c r="DN119" s="20"/>
      <c r="DO119" s="20"/>
      <c r="DP119" s="20"/>
      <c r="DQ119" s="20"/>
      <c r="DR119" s="20"/>
      <c r="DS119" s="20"/>
      <c r="DT119" s="20"/>
      <c r="DU119" s="20"/>
      <c r="DV119" s="20"/>
      <c r="DW119" s="20"/>
      <c r="DX119" s="20"/>
      <c r="DY119" s="20"/>
      <c r="DZ119" s="20"/>
      <c r="EA119" s="20"/>
      <c r="EB119" s="20"/>
      <c r="EC119" s="20"/>
      <c r="ED119" s="20"/>
      <c r="EE119" s="20"/>
      <c r="EF119" s="20"/>
      <c r="EG119" s="20"/>
      <c r="EH119" s="20"/>
      <c r="EI119" s="20"/>
      <c r="EJ119" s="20"/>
      <c r="EK119" s="20"/>
      <c r="EL119" s="20"/>
      <c r="EM119" s="20"/>
      <c r="EN119" s="20"/>
      <c r="EO119" s="20"/>
      <c r="EP119" s="20"/>
      <c r="EQ119" s="20"/>
      <c r="ER119" s="20"/>
      <c r="ES119" s="20"/>
      <c r="ET119" s="20"/>
      <c r="EU119" s="20"/>
      <c r="EV119" s="20"/>
      <c r="EW119" s="20"/>
      <c r="EX119" s="20"/>
      <c r="EY119" s="20"/>
      <c r="EZ119" s="20"/>
      <c r="FA119" s="20"/>
      <c r="FB119" s="20"/>
      <c r="FC119" s="20"/>
      <c r="FD119" s="20"/>
      <c r="FE119" s="20"/>
      <c r="FF119" s="20"/>
      <c r="FG119" s="20"/>
      <c r="FH119" s="20"/>
      <c r="FI119" s="20"/>
      <c r="FJ119" s="20"/>
      <c r="FK119" s="20"/>
      <c r="FL119" s="20"/>
      <c r="FM119" s="20"/>
      <c r="FN119" s="20"/>
      <c r="FO119" s="20"/>
      <c r="FP119" s="20"/>
      <c r="FQ119" s="20"/>
      <c r="FR119" s="20"/>
      <c r="FS119" s="20"/>
      <c r="FT119" s="20"/>
      <c r="FU119" s="20"/>
      <c r="FV119" s="20"/>
      <c r="FW119" s="20"/>
      <c r="FX119" s="20"/>
      <c r="FY119" s="20"/>
      <c r="FZ119" s="20"/>
      <c r="GA119" s="20"/>
      <c r="GB119" s="20"/>
      <c r="GC119" s="20"/>
      <c r="GD119" s="20"/>
      <c r="GE119" s="20"/>
      <c r="GF119" s="20"/>
      <c r="GG119" s="20"/>
      <c r="GH119" s="20"/>
      <c r="GI119" s="20"/>
      <c r="GJ119" s="20"/>
      <c r="GK119" s="20"/>
      <c r="GL119" s="20"/>
      <c r="GM119" s="20"/>
      <c r="GN119" s="20"/>
      <c r="GO119" s="20"/>
      <c r="GP119" s="20"/>
      <c r="GQ119" s="20"/>
      <c r="GR119" s="20"/>
      <c r="GS119" s="20"/>
      <c r="GT119" s="20"/>
      <c r="GU119" s="20"/>
      <c r="GV119" s="20"/>
      <c r="GW119" s="20"/>
      <c r="GX119" s="20"/>
      <c r="GY119" s="20"/>
      <c r="GZ119" s="20"/>
      <c r="HA119" s="20"/>
      <c r="HB119" s="20"/>
      <c r="HC119" s="20"/>
      <c r="HD119" s="20"/>
      <c r="HE119" s="20"/>
      <c r="HF119" s="20"/>
      <c r="HG119" s="20"/>
      <c r="HH119" s="20"/>
      <c r="HI119" s="20"/>
      <c r="HJ119" s="20"/>
      <c r="HK119" s="20"/>
      <c r="HL119" s="20"/>
      <c r="HM119" s="20"/>
      <c r="HN119" s="20"/>
      <c r="HO119" s="20"/>
      <c r="HP119" s="20"/>
      <c r="HQ119" s="20"/>
      <c r="HR119" s="20"/>
      <c r="HS119" s="20"/>
      <c r="HT119" s="20"/>
      <c r="HU119" s="20"/>
      <c r="HV119" s="20"/>
      <c r="HW119" s="20"/>
      <c r="HX119" s="20"/>
      <c r="HY119" s="20"/>
      <c r="HZ119" s="20"/>
      <c r="IA119" s="20"/>
      <c r="IB119" s="20"/>
      <c r="IC119" s="20"/>
      <c r="ID119" s="20"/>
      <c r="IE119" s="20"/>
      <c r="IF119" s="20"/>
      <c r="IG119" s="20"/>
      <c r="IH119" s="20"/>
      <c r="II119" s="20"/>
      <c r="IJ119" s="20"/>
      <c r="IK119" s="20"/>
      <c r="IL119" s="20"/>
      <c r="IM119" s="20"/>
      <c r="IN119" s="20"/>
      <c r="IO119" s="20"/>
      <c r="IP119" s="20"/>
      <c r="IQ119" s="20"/>
      <c r="IR119" s="20"/>
      <c r="IS119" s="20"/>
      <c r="IT119" s="20"/>
      <c r="IU119" s="20"/>
      <c r="IV119" s="20"/>
      <c r="IW119" s="20"/>
      <c r="IX119" s="20"/>
      <c r="IY119" s="20"/>
      <c r="IZ119" s="20"/>
      <c r="JA119" s="20"/>
      <c r="JB119" s="20"/>
      <c r="JC119" s="20"/>
      <c r="JD119" s="20"/>
      <c r="JE119" s="20"/>
      <c r="JF119" s="20"/>
      <c r="JG119" s="20"/>
      <c r="JH119" s="20"/>
      <c r="JI119" s="20"/>
    </row>
    <row r="120" spans="1:269" ht="17.25" customHeight="1">
      <c r="A120" s="101"/>
      <c r="B120" s="20" t="s">
        <v>116</v>
      </c>
      <c r="C120" s="20" t="s">
        <v>139</v>
      </c>
      <c r="D120" s="83">
        <v>1870983</v>
      </c>
      <c r="E120" s="82">
        <v>-1E-3</v>
      </c>
      <c r="F120" s="82">
        <v>7.0000000000000001E-3</v>
      </c>
      <c r="G120" s="29"/>
      <c r="H120" s="83">
        <v>2616</v>
      </c>
      <c r="I120" s="104">
        <v>1338</v>
      </c>
      <c r="J120" s="29"/>
      <c r="K120" s="83">
        <v>19806</v>
      </c>
      <c r="L120" s="104">
        <v>4392</v>
      </c>
      <c r="M120" s="29"/>
      <c r="N120" s="185">
        <v>0.11</v>
      </c>
      <c r="O120" s="185">
        <v>0.08</v>
      </c>
      <c r="P120" s="29"/>
      <c r="Q120" s="85">
        <v>0</v>
      </c>
      <c r="R120" s="14"/>
      <c r="S120" s="15"/>
      <c r="T120" s="104">
        <v>7995</v>
      </c>
      <c r="U120" s="82">
        <v>9.7000000000000003E-2</v>
      </c>
      <c r="V120" s="29"/>
      <c r="W120" s="83">
        <v>10644</v>
      </c>
      <c r="X120" s="82">
        <v>-5.1999999999999998E-2</v>
      </c>
      <c r="Y120" s="29"/>
      <c r="Z120" s="104">
        <v>2478</v>
      </c>
      <c r="AA120" s="82">
        <v>1E-3</v>
      </c>
      <c r="AB120" s="29"/>
      <c r="AC120" s="83">
        <v>24222</v>
      </c>
      <c r="AD120" s="82">
        <v>0.27700000000000002</v>
      </c>
      <c r="AE120" s="29"/>
      <c r="AF120" s="104">
        <v>5209</v>
      </c>
      <c r="AG120" s="120">
        <v>0.26100000000000001</v>
      </c>
      <c r="AH120" s="85">
        <v>4.6500000000000004</v>
      </c>
      <c r="AI120" s="84">
        <v>60.5</v>
      </c>
      <c r="AJ120" s="185">
        <v>318</v>
      </c>
      <c r="AK120" s="83">
        <v>97</v>
      </c>
      <c r="AL120" s="102">
        <v>21</v>
      </c>
      <c r="AM120" s="29"/>
      <c r="AN120" s="83">
        <v>7927</v>
      </c>
      <c r="AO120" s="83">
        <v>13698</v>
      </c>
      <c r="AP120" s="83">
        <v>2597</v>
      </c>
      <c r="AQ120" s="29"/>
      <c r="AR120" s="104">
        <v>1500</v>
      </c>
      <c r="AS120" s="104">
        <v>3125</v>
      </c>
      <c r="AT120" s="104">
        <v>584</v>
      </c>
      <c r="AU120" s="29"/>
      <c r="AV120" s="83">
        <v>22752</v>
      </c>
      <c r="AW120" s="104">
        <v>4911</v>
      </c>
      <c r="AX120" s="29"/>
      <c r="AY120" s="120">
        <v>0.92200000000000004</v>
      </c>
      <c r="AZ120" s="120">
        <v>2.5999999999999999E-2</v>
      </c>
      <c r="BA120" s="120">
        <v>8.9999999999999993E-3</v>
      </c>
      <c r="BB120" s="82">
        <v>4.2999999999999997E-2</v>
      </c>
      <c r="BC120" s="29"/>
      <c r="BD120" s="185">
        <v>0</v>
      </c>
      <c r="BE120" s="89"/>
      <c r="BF120" s="94"/>
      <c r="BG120" s="185">
        <v>1</v>
      </c>
      <c r="BH120" s="185" t="s">
        <v>208</v>
      </c>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c r="DA120" s="20"/>
      <c r="DB120" s="20"/>
      <c r="DC120" s="20"/>
      <c r="DD120" s="20"/>
      <c r="DE120" s="20"/>
      <c r="DF120" s="20"/>
      <c r="DG120" s="20"/>
      <c r="DH120" s="20"/>
      <c r="DI120" s="20"/>
      <c r="DJ120" s="20"/>
      <c r="DK120" s="20"/>
      <c r="DL120" s="20"/>
      <c r="DM120" s="20"/>
      <c r="DN120" s="20"/>
      <c r="DO120" s="20"/>
      <c r="DP120" s="20"/>
      <c r="DQ120" s="20"/>
      <c r="DR120" s="20"/>
      <c r="DS120" s="20"/>
      <c r="DT120" s="20"/>
      <c r="DU120" s="20"/>
      <c r="DV120" s="20"/>
      <c r="DW120" s="20"/>
      <c r="DX120" s="20"/>
      <c r="DY120" s="20"/>
      <c r="DZ120" s="20"/>
      <c r="EA120" s="20"/>
      <c r="EB120" s="20"/>
      <c r="EC120" s="20"/>
      <c r="ED120" s="20"/>
      <c r="EE120" s="20"/>
      <c r="EF120" s="20"/>
      <c r="EG120" s="20"/>
      <c r="EH120" s="20"/>
      <c r="EI120" s="20"/>
      <c r="EJ120" s="20"/>
      <c r="EK120" s="20"/>
      <c r="EL120" s="20"/>
      <c r="EM120" s="20"/>
      <c r="EN120" s="20"/>
      <c r="EO120" s="20"/>
      <c r="EP120" s="20"/>
      <c r="EQ120" s="20"/>
      <c r="ER120" s="20"/>
      <c r="ES120" s="20"/>
      <c r="ET120" s="20"/>
      <c r="EU120" s="20"/>
      <c r="EV120" s="20"/>
      <c r="EW120" s="20"/>
      <c r="EX120" s="20"/>
      <c r="EY120" s="20"/>
      <c r="EZ120" s="20"/>
      <c r="FA120" s="20"/>
      <c r="FB120" s="20"/>
      <c r="FC120" s="20"/>
      <c r="FD120" s="20"/>
      <c r="FE120" s="20"/>
      <c r="FF120" s="20"/>
      <c r="FG120" s="20"/>
      <c r="FH120" s="20"/>
      <c r="FI120" s="20"/>
      <c r="FJ120" s="20"/>
      <c r="FK120" s="20"/>
      <c r="FL120" s="20"/>
      <c r="FM120" s="20"/>
      <c r="FN120" s="20"/>
      <c r="FO120" s="20"/>
      <c r="FP120" s="20"/>
      <c r="FQ120" s="20"/>
      <c r="FR120" s="20"/>
      <c r="FS120" s="20"/>
      <c r="FT120" s="20"/>
      <c r="FU120" s="20"/>
      <c r="FV120" s="20"/>
      <c r="FW120" s="20"/>
      <c r="FX120" s="20"/>
      <c r="FY120" s="20"/>
      <c r="FZ120" s="20"/>
      <c r="GA120" s="20"/>
      <c r="GB120" s="20"/>
      <c r="GC120" s="20"/>
      <c r="GD120" s="20"/>
      <c r="GE120" s="20"/>
      <c r="GF120" s="20"/>
      <c r="GG120" s="20"/>
      <c r="GH120" s="20"/>
      <c r="GI120" s="20"/>
      <c r="GJ120" s="20"/>
      <c r="GK120" s="20"/>
      <c r="GL120" s="20"/>
      <c r="GM120" s="20"/>
      <c r="GN120" s="20"/>
      <c r="GO120" s="20"/>
      <c r="GP120" s="20"/>
      <c r="GQ120" s="20"/>
      <c r="GR120" s="20"/>
      <c r="GS120" s="20"/>
      <c r="GT120" s="20"/>
      <c r="GU120" s="20"/>
      <c r="GV120" s="20"/>
      <c r="GW120" s="20"/>
      <c r="GX120" s="20"/>
      <c r="GY120" s="20"/>
      <c r="GZ120" s="20"/>
      <c r="HA120" s="20"/>
      <c r="HB120" s="20"/>
      <c r="HC120" s="20"/>
      <c r="HD120" s="20"/>
      <c r="HE120" s="20"/>
      <c r="HF120" s="20"/>
      <c r="HG120" s="20"/>
      <c r="HH120" s="20"/>
      <c r="HI120" s="20"/>
      <c r="HJ120" s="20"/>
      <c r="HK120" s="20"/>
      <c r="HL120" s="20"/>
      <c r="HM120" s="20"/>
      <c r="HN120" s="20"/>
      <c r="HO120" s="20"/>
      <c r="HP120" s="20"/>
      <c r="HQ120" s="20"/>
      <c r="HR120" s="20"/>
      <c r="HS120" s="20"/>
      <c r="HT120" s="20"/>
      <c r="HU120" s="20"/>
      <c r="HV120" s="20"/>
      <c r="HW120" s="20"/>
      <c r="HX120" s="20"/>
      <c r="HY120" s="20"/>
      <c r="HZ120" s="20"/>
      <c r="IA120" s="20"/>
      <c r="IB120" s="20"/>
      <c r="IC120" s="20"/>
      <c r="ID120" s="20"/>
      <c r="IE120" s="20"/>
      <c r="IF120" s="20"/>
      <c r="IG120" s="20"/>
      <c r="IH120" s="20"/>
      <c r="II120" s="20"/>
      <c r="IJ120" s="20"/>
      <c r="IK120" s="20"/>
      <c r="IL120" s="20"/>
      <c r="IM120" s="20"/>
      <c r="IN120" s="20"/>
      <c r="IO120" s="20"/>
      <c r="IP120" s="20"/>
      <c r="IQ120" s="20"/>
      <c r="IR120" s="20"/>
      <c r="IS120" s="20"/>
      <c r="IT120" s="20"/>
      <c r="IU120" s="20"/>
      <c r="IV120" s="20"/>
      <c r="IW120" s="20"/>
      <c r="IX120" s="20"/>
      <c r="IY120" s="20"/>
      <c r="IZ120" s="20"/>
      <c r="JA120" s="20"/>
      <c r="JB120" s="20"/>
      <c r="JC120" s="20"/>
      <c r="JD120" s="20"/>
      <c r="JE120" s="20"/>
      <c r="JF120" s="20"/>
      <c r="JG120" s="20"/>
      <c r="JH120" s="20"/>
      <c r="JI120" s="20"/>
    </row>
    <row r="121" spans="1:269" ht="17.25" customHeight="1">
      <c r="A121" s="101"/>
      <c r="B121" s="20" t="s">
        <v>115</v>
      </c>
      <c r="C121" s="20" t="s">
        <v>137</v>
      </c>
      <c r="D121" s="83">
        <v>1870642</v>
      </c>
      <c r="E121" s="82">
        <v>0</v>
      </c>
      <c r="F121" s="82">
        <v>8.0000000000000002E-3</v>
      </c>
      <c r="G121" s="29"/>
      <c r="H121" s="83">
        <v>2619</v>
      </c>
      <c r="I121" s="104">
        <v>1326</v>
      </c>
      <c r="J121" s="29"/>
      <c r="K121" s="83">
        <v>19674</v>
      </c>
      <c r="L121" s="104">
        <v>4374</v>
      </c>
      <c r="M121" s="29"/>
      <c r="N121" s="186">
        <v>0.11</v>
      </c>
      <c r="O121" s="186">
        <v>0.08</v>
      </c>
      <c r="P121" s="29"/>
      <c r="Q121" s="85">
        <v>0</v>
      </c>
      <c r="R121" s="14"/>
      <c r="S121" s="15"/>
      <c r="T121" s="104">
        <v>6306</v>
      </c>
      <c r="U121" s="82">
        <v>-0.21099999999999999</v>
      </c>
      <c r="V121" s="29"/>
      <c r="W121" s="83">
        <v>13254</v>
      </c>
      <c r="X121" s="82">
        <v>0.245</v>
      </c>
      <c r="Y121" s="29"/>
      <c r="Z121" s="104">
        <v>2965</v>
      </c>
      <c r="AA121" s="82">
        <v>0.19700000000000001</v>
      </c>
      <c r="AB121" s="29"/>
      <c r="AC121" s="83">
        <v>25533</v>
      </c>
      <c r="AD121" s="82">
        <v>5.3999999999999999E-2</v>
      </c>
      <c r="AE121" s="29"/>
      <c r="AF121" s="104">
        <v>5342</v>
      </c>
      <c r="AG121" s="120">
        <v>2.5999999999999999E-2</v>
      </c>
      <c r="AH121" s="85">
        <v>4.78</v>
      </c>
      <c r="AI121" s="84">
        <v>60.5</v>
      </c>
      <c r="AJ121" s="186">
        <v>319</v>
      </c>
      <c r="AK121" s="83">
        <v>96</v>
      </c>
      <c r="AL121" s="102">
        <v>21</v>
      </c>
      <c r="AM121" s="29"/>
      <c r="AN121" s="83">
        <v>8619</v>
      </c>
      <c r="AO121" s="83">
        <v>13770</v>
      </c>
      <c r="AP121" s="83">
        <v>3144</v>
      </c>
      <c r="AQ121" s="29"/>
      <c r="AR121" s="104">
        <v>1596</v>
      </c>
      <c r="AS121" s="104">
        <v>3106</v>
      </c>
      <c r="AT121" s="104">
        <v>640</v>
      </c>
      <c r="AU121" s="29"/>
      <c r="AV121" s="83">
        <v>23924</v>
      </c>
      <c r="AW121" s="104">
        <v>4992</v>
      </c>
      <c r="AX121" s="29"/>
      <c r="AY121" s="120">
        <v>0.91300000000000003</v>
      </c>
      <c r="AZ121" s="120">
        <v>4.1000000000000002E-2</v>
      </c>
      <c r="BA121" s="120">
        <v>6.0000000000000001E-3</v>
      </c>
      <c r="BB121" s="86">
        <v>0.04</v>
      </c>
      <c r="BC121" s="29"/>
      <c r="BD121" s="186">
        <v>0</v>
      </c>
      <c r="BE121" s="89"/>
      <c r="BF121" s="94"/>
      <c r="BG121" s="186">
        <v>1</v>
      </c>
      <c r="BH121" s="186" t="s">
        <v>208</v>
      </c>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c r="DA121" s="20"/>
      <c r="DB121" s="20"/>
      <c r="DC121" s="20"/>
      <c r="DD121" s="20"/>
      <c r="DE121" s="20"/>
      <c r="DF121" s="20"/>
      <c r="DG121" s="20"/>
      <c r="DH121" s="20"/>
      <c r="DI121" s="20"/>
      <c r="DJ121" s="20"/>
      <c r="DK121" s="20"/>
      <c r="DL121" s="20"/>
      <c r="DM121" s="20"/>
      <c r="DN121" s="20"/>
      <c r="DO121" s="20"/>
      <c r="DP121" s="20"/>
      <c r="DQ121" s="20"/>
      <c r="DR121" s="20"/>
      <c r="DS121" s="20"/>
      <c r="DT121" s="20"/>
      <c r="DU121" s="20"/>
      <c r="DV121" s="20"/>
      <c r="DW121" s="20"/>
      <c r="DX121" s="20"/>
      <c r="DY121" s="20"/>
      <c r="DZ121" s="20"/>
      <c r="EA121" s="20"/>
      <c r="EB121" s="20"/>
      <c r="EC121" s="20"/>
      <c r="ED121" s="20"/>
      <c r="EE121" s="20"/>
      <c r="EF121" s="20"/>
      <c r="EG121" s="20"/>
      <c r="EH121" s="20"/>
      <c r="EI121" s="20"/>
      <c r="EJ121" s="20"/>
      <c r="EK121" s="20"/>
      <c r="EL121" s="20"/>
      <c r="EM121" s="20"/>
      <c r="EN121" s="20"/>
      <c r="EO121" s="20"/>
      <c r="EP121" s="20"/>
      <c r="EQ121" s="20"/>
      <c r="ER121" s="20"/>
      <c r="ES121" s="20"/>
      <c r="ET121" s="20"/>
      <c r="EU121" s="20"/>
      <c r="EV121" s="20"/>
      <c r="EW121" s="20"/>
      <c r="EX121" s="20"/>
      <c r="EY121" s="20"/>
      <c r="EZ121" s="20"/>
      <c r="FA121" s="20"/>
      <c r="FB121" s="20"/>
      <c r="FC121" s="20"/>
      <c r="FD121" s="20"/>
      <c r="FE121" s="20"/>
      <c r="FF121" s="20"/>
      <c r="FG121" s="20"/>
      <c r="FH121" s="20"/>
      <c r="FI121" s="20"/>
      <c r="FJ121" s="20"/>
      <c r="FK121" s="20"/>
      <c r="FL121" s="20"/>
      <c r="FM121" s="20"/>
      <c r="FN121" s="20"/>
      <c r="FO121" s="20"/>
      <c r="FP121" s="20"/>
      <c r="FQ121" s="20"/>
      <c r="FR121" s="20"/>
      <c r="FS121" s="20"/>
      <c r="FT121" s="20"/>
      <c r="FU121" s="20"/>
      <c r="FV121" s="20"/>
      <c r="FW121" s="20"/>
      <c r="FX121" s="20"/>
      <c r="FY121" s="20"/>
      <c r="FZ121" s="20"/>
      <c r="GA121" s="20"/>
      <c r="GB121" s="20"/>
      <c r="GC121" s="20"/>
      <c r="GD121" s="20"/>
      <c r="GE121" s="20"/>
      <c r="GF121" s="20"/>
      <c r="GG121" s="20"/>
      <c r="GH121" s="20"/>
      <c r="GI121" s="20"/>
      <c r="GJ121" s="20"/>
      <c r="GK121" s="20"/>
      <c r="GL121" s="20"/>
      <c r="GM121" s="20"/>
      <c r="GN121" s="20"/>
      <c r="GO121" s="20"/>
      <c r="GP121" s="20"/>
      <c r="GQ121" s="20"/>
      <c r="GR121" s="20"/>
      <c r="GS121" s="20"/>
      <c r="GT121" s="20"/>
      <c r="GU121" s="20"/>
      <c r="GV121" s="20"/>
      <c r="GW121" s="20"/>
      <c r="GX121" s="20"/>
      <c r="GY121" s="20"/>
      <c r="GZ121" s="20"/>
      <c r="HA121" s="20"/>
      <c r="HB121" s="20"/>
      <c r="HC121" s="20"/>
      <c r="HD121" s="20"/>
      <c r="HE121" s="20"/>
      <c r="HF121" s="20"/>
      <c r="HG121" s="20"/>
      <c r="HH121" s="20"/>
      <c r="HI121" s="20"/>
      <c r="HJ121" s="20"/>
      <c r="HK121" s="20"/>
      <c r="HL121" s="20"/>
      <c r="HM121" s="20"/>
      <c r="HN121" s="20"/>
      <c r="HO121" s="20"/>
      <c r="HP121" s="20"/>
      <c r="HQ121" s="20"/>
      <c r="HR121" s="20"/>
      <c r="HS121" s="20"/>
      <c r="HT121" s="20"/>
      <c r="HU121" s="20"/>
      <c r="HV121" s="20"/>
      <c r="HW121" s="20"/>
      <c r="HX121" s="20"/>
      <c r="HY121" s="20"/>
      <c r="HZ121" s="20"/>
      <c r="IA121" s="20"/>
      <c r="IB121" s="20"/>
      <c r="IC121" s="20"/>
      <c r="ID121" s="20"/>
      <c r="IE121" s="20"/>
      <c r="IF121" s="20"/>
      <c r="IG121" s="20"/>
      <c r="IH121" s="20"/>
      <c r="II121" s="20"/>
      <c r="IJ121" s="20"/>
      <c r="IK121" s="20"/>
      <c r="IL121" s="20"/>
      <c r="IM121" s="20"/>
      <c r="IN121" s="20"/>
      <c r="IO121" s="20"/>
      <c r="IP121" s="20"/>
      <c r="IQ121" s="20"/>
      <c r="IR121" s="20"/>
      <c r="IS121" s="20"/>
      <c r="IT121" s="20"/>
      <c r="IU121" s="20"/>
      <c r="IV121" s="20"/>
      <c r="IW121" s="20"/>
      <c r="IX121" s="20"/>
      <c r="IY121" s="20"/>
      <c r="IZ121" s="20"/>
      <c r="JA121" s="20"/>
      <c r="JB121" s="20"/>
      <c r="JC121" s="20"/>
      <c r="JD121" s="20"/>
      <c r="JE121" s="20"/>
      <c r="JF121" s="20"/>
      <c r="JG121" s="20"/>
      <c r="JH121" s="20"/>
      <c r="JI121" s="20"/>
    </row>
    <row r="122" spans="1:269" ht="17.25" customHeight="1">
      <c r="A122" s="101"/>
      <c r="B122" s="20"/>
      <c r="C122" s="20"/>
      <c r="D122" s="83"/>
      <c r="E122" s="82"/>
      <c r="F122" s="82"/>
      <c r="G122" s="29"/>
      <c r="H122" s="83"/>
      <c r="I122" s="104"/>
      <c r="J122" s="29"/>
      <c r="K122" s="83"/>
      <c r="L122" s="104"/>
      <c r="M122" s="29"/>
      <c r="N122" s="186"/>
      <c r="O122" s="186"/>
      <c r="P122" s="29"/>
      <c r="Q122" s="85"/>
      <c r="R122" s="14"/>
      <c r="S122" s="15"/>
      <c r="T122" s="104"/>
      <c r="U122" s="82"/>
      <c r="V122" s="29"/>
      <c r="W122" s="83"/>
      <c r="X122" s="82"/>
      <c r="Y122" s="29"/>
      <c r="Z122" s="104"/>
      <c r="AA122" s="82"/>
      <c r="AB122" s="29"/>
      <c r="AC122" s="83"/>
      <c r="AD122" s="82"/>
      <c r="AE122" s="29"/>
      <c r="AF122" s="104"/>
      <c r="AG122" s="120"/>
      <c r="AH122" s="85"/>
      <c r="AI122" s="84"/>
      <c r="AJ122" s="186"/>
      <c r="AK122" s="83"/>
      <c r="AL122" s="102"/>
      <c r="AM122" s="29"/>
      <c r="AN122" s="83"/>
      <c r="AO122" s="83"/>
      <c r="AP122" s="83"/>
      <c r="AQ122" s="29"/>
      <c r="AR122" s="104"/>
      <c r="AS122" s="104"/>
      <c r="AT122" s="104"/>
      <c r="AU122" s="29"/>
      <c r="AV122" s="83"/>
      <c r="AW122" s="104"/>
      <c r="AX122" s="29"/>
      <c r="AY122" s="120"/>
      <c r="AZ122" s="120"/>
      <c r="BA122" s="120"/>
      <c r="BB122" s="82"/>
      <c r="BC122" s="29"/>
      <c r="BD122" s="186"/>
      <c r="BE122" s="89"/>
      <c r="BF122" s="94"/>
      <c r="BG122" s="186"/>
      <c r="BH122" s="186"/>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c r="DA122" s="20"/>
      <c r="DB122" s="20"/>
      <c r="DC122" s="20"/>
      <c r="DD122" s="20"/>
      <c r="DE122" s="20"/>
      <c r="DF122" s="20"/>
      <c r="DG122" s="20"/>
      <c r="DH122" s="20"/>
      <c r="DI122" s="20"/>
      <c r="DJ122" s="20"/>
      <c r="DK122" s="20"/>
      <c r="DL122" s="20"/>
      <c r="DM122" s="20"/>
      <c r="DN122" s="20"/>
      <c r="DO122" s="20"/>
      <c r="DP122" s="20"/>
      <c r="DQ122" s="20"/>
      <c r="DR122" s="20"/>
      <c r="DS122" s="20"/>
      <c r="DT122" s="20"/>
      <c r="DU122" s="20"/>
      <c r="DV122" s="20"/>
      <c r="DW122" s="20"/>
      <c r="DX122" s="20"/>
      <c r="DY122" s="20"/>
      <c r="DZ122" s="20"/>
      <c r="EA122" s="20"/>
      <c r="EB122" s="20"/>
      <c r="EC122" s="20"/>
      <c r="ED122" s="20"/>
      <c r="EE122" s="20"/>
      <c r="EF122" s="20"/>
      <c r="EG122" s="20"/>
      <c r="EH122" s="20"/>
      <c r="EI122" s="20"/>
      <c r="EJ122" s="20"/>
      <c r="EK122" s="20"/>
      <c r="EL122" s="20"/>
      <c r="EM122" s="20"/>
      <c r="EN122" s="20"/>
      <c r="EO122" s="20"/>
      <c r="EP122" s="20"/>
      <c r="EQ122" s="20"/>
      <c r="ER122" s="20"/>
      <c r="ES122" s="20"/>
      <c r="ET122" s="20"/>
      <c r="EU122" s="20"/>
      <c r="EV122" s="20"/>
      <c r="EW122" s="20"/>
      <c r="EX122" s="20"/>
      <c r="EY122" s="20"/>
      <c r="EZ122" s="20"/>
      <c r="FA122" s="20"/>
      <c r="FB122" s="20"/>
      <c r="FC122" s="20"/>
      <c r="FD122" s="20"/>
      <c r="FE122" s="20"/>
      <c r="FF122" s="20"/>
      <c r="FG122" s="20"/>
      <c r="FH122" s="20"/>
      <c r="FI122" s="20"/>
      <c r="FJ122" s="20"/>
      <c r="FK122" s="20"/>
      <c r="FL122" s="20"/>
      <c r="FM122" s="20"/>
      <c r="FN122" s="20"/>
      <c r="FO122" s="20"/>
      <c r="FP122" s="20"/>
      <c r="FQ122" s="20"/>
      <c r="FR122" s="20"/>
      <c r="FS122" s="20"/>
      <c r="FT122" s="20"/>
      <c r="FU122" s="20"/>
      <c r="FV122" s="20"/>
      <c r="FW122" s="20"/>
      <c r="FX122" s="20"/>
      <c r="FY122" s="20"/>
      <c r="FZ122" s="20"/>
      <c r="GA122" s="20"/>
      <c r="GB122" s="20"/>
      <c r="GC122" s="20"/>
      <c r="GD122" s="20"/>
      <c r="GE122" s="20"/>
      <c r="GF122" s="20"/>
      <c r="GG122" s="20"/>
      <c r="GH122" s="20"/>
      <c r="GI122" s="20"/>
      <c r="GJ122" s="20"/>
      <c r="GK122" s="20"/>
      <c r="GL122" s="20"/>
      <c r="GM122" s="20"/>
      <c r="GN122" s="20"/>
      <c r="GO122" s="20"/>
      <c r="GP122" s="20"/>
      <c r="GQ122" s="20"/>
      <c r="GR122" s="20"/>
      <c r="GS122" s="20"/>
      <c r="GT122" s="20"/>
      <c r="GU122" s="20"/>
      <c r="GV122" s="20"/>
      <c r="GW122" s="20"/>
      <c r="GX122" s="20"/>
      <c r="GY122" s="20"/>
      <c r="GZ122" s="20"/>
      <c r="HA122" s="20"/>
      <c r="HB122" s="20"/>
      <c r="HC122" s="20"/>
      <c r="HD122" s="20"/>
      <c r="HE122" s="20"/>
      <c r="HF122" s="20"/>
      <c r="HG122" s="20"/>
      <c r="HH122" s="20"/>
      <c r="HI122" s="20"/>
      <c r="HJ122" s="20"/>
      <c r="HK122" s="20"/>
      <c r="HL122" s="20"/>
      <c r="HM122" s="20"/>
      <c r="HN122" s="20"/>
      <c r="HO122" s="20"/>
      <c r="HP122" s="20"/>
      <c r="HQ122" s="20"/>
      <c r="HR122" s="20"/>
      <c r="HS122" s="20"/>
      <c r="HT122" s="20"/>
      <c r="HU122" s="20"/>
      <c r="HV122" s="20"/>
      <c r="HW122" s="20"/>
      <c r="HX122" s="20"/>
      <c r="HY122" s="20"/>
      <c r="HZ122" s="20"/>
      <c r="IA122" s="20"/>
      <c r="IB122" s="20"/>
      <c r="IC122" s="20"/>
      <c r="ID122" s="20"/>
      <c r="IE122" s="20"/>
      <c r="IF122" s="20"/>
      <c r="IG122" s="20"/>
      <c r="IH122" s="20"/>
      <c r="II122" s="20"/>
      <c r="IJ122" s="20"/>
      <c r="IK122" s="20"/>
      <c r="IL122" s="20"/>
      <c r="IM122" s="20"/>
      <c r="IN122" s="20"/>
      <c r="IO122" s="20"/>
      <c r="IP122" s="20"/>
      <c r="IQ122" s="20"/>
      <c r="IR122" s="20"/>
      <c r="IS122" s="20"/>
      <c r="IT122" s="20"/>
      <c r="IU122" s="20"/>
      <c r="IV122" s="20"/>
      <c r="IW122" s="20"/>
      <c r="IX122" s="20"/>
      <c r="IY122" s="20"/>
      <c r="IZ122" s="20"/>
      <c r="JA122" s="20"/>
      <c r="JB122" s="20"/>
      <c r="JC122" s="20"/>
      <c r="JD122" s="20"/>
      <c r="JE122" s="20"/>
      <c r="JF122" s="20"/>
      <c r="JG122" s="20"/>
      <c r="JH122" s="20"/>
      <c r="JI122" s="20"/>
    </row>
    <row r="123" spans="1:269" ht="17.25" customHeight="1">
      <c r="A123" s="101">
        <v>2025</v>
      </c>
      <c r="B123" s="20" t="s">
        <v>114</v>
      </c>
      <c r="C123" s="20" t="s">
        <v>135</v>
      </c>
      <c r="D123" s="83">
        <v>1872896</v>
      </c>
      <c r="E123" s="82">
        <v>1E-3</v>
      </c>
      <c r="F123" s="86">
        <v>0.01</v>
      </c>
      <c r="G123" s="29"/>
      <c r="H123" s="83">
        <v>2597</v>
      </c>
      <c r="I123" s="104">
        <v>1296</v>
      </c>
      <c r="J123" s="29"/>
      <c r="K123" s="83">
        <v>19443</v>
      </c>
      <c r="L123" s="104">
        <v>4330</v>
      </c>
      <c r="M123" s="29"/>
      <c r="N123" s="187">
        <v>0.12</v>
      </c>
      <c r="O123" s="187">
        <v>0.08</v>
      </c>
      <c r="P123" s="29"/>
      <c r="Q123" s="85">
        <v>0</v>
      </c>
      <c r="R123" s="14"/>
      <c r="S123" s="15"/>
      <c r="T123" s="104">
        <v>6516</v>
      </c>
      <c r="U123" s="82">
        <v>3.3000000000000002E-2</v>
      </c>
      <c r="V123" s="29"/>
      <c r="W123" s="83">
        <v>15590</v>
      </c>
      <c r="X123" s="82">
        <v>0.17599999999999999</v>
      </c>
      <c r="Y123" s="29"/>
      <c r="Z123" s="104">
        <v>3438</v>
      </c>
      <c r="AA123" s="86">
        <v>0.16</v>
      </c>
      <c r="AB123" s="29"/>
      <c r="AC123" s="83">
        <v>24987</v>
      </c>
      <c r="AD123" s="82">
        <v>-2.1000000000000001E-2</v>
      </c>
      <c r="AE123" s="29"/>
      <c r="AF123" s="104">
        <v>5039</v>
      </c>
      <c r="AG123" s="120">
        <v>-5.7000000000000002E-2</v>
      </c>
      <c r="AH123" s="85">
        <v>4.96</v>
      </c>
      <c r="AI123" s="84">
        <v>61.4</v>
      </c>
      <c r="AJ123" s="187">
        <v>318</v>
      </c>
      <c r="AK123" s="83">
        <v>91</v>
      </c>
      <c r="AL123" s="102">
        <v>21</v>
      </c>
      <c r="AM123" s="29"/>
      <c r="AN123" s="83">
        <v>9958</v>
      </c>
      <c r="AO123" s="83">
        <v>12163</v>
      </c>
      <c r="AP123" s="83">
        <v>2866</v>
      </c>
      <c r="AQ123" s="29"/>
      <c r="AR123" s="104">
        <v>1737</v>
      </c>
      <c r="AS123" s="104">
        <v>2663</v>
      </c>
      <c r="AT123" s="104">
        <v>639</v>
      </c>
      <c r="AU123" s="29"/>
      <c r="AV123" s="83">
        <v>23239</v>
      </c>
      <c r="AW123" s="104">
        <v>4698</v>
      </c>
      <c r="AX123" s="29"/>
      <c r="AY123" s="121">
        <v>0.93</v>
      </c>
      <c r="AZ123" s="120">
        <v>3.4000000000000002E-2</v>
      </c>
      <c r="BA123" s="120">
        <v>4.0000000000000001E-3</v>
      </c>
      <c r="BB123" s="82">
        <v>3.3000000000000002E-2</v>
      </c>
      <c r="BC123" s="29"/>
      <c r="BD123" s="187">
        <v>0</v>
      </c>
      <c r="BE123" s="89"/>
      <c r="BF123" s="94"/>
      <c r="BG123" s="187">
        <v>1</v>
      </c>
      <c r="BH123" s="187" t="s">
        <v>208</v>
      </c>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c r="DA123" s="20"/>
      <c r="DB123" s="20"/>
      <c r="DC123" s="20"/>
      <c r="DD123" s="20"/>
      <c r="DE123" s="20"/>
      <c r="DF123" s="20"/>
      <c r="DG123" s="20"/>
      <c r="DH123" s="20"/>
      <c r="DI123" s="20"/>
      <c r="DJ123" s="20"/>
      <c r="DK123" s="20"/>
      <c r="DL123" s="20"/>
      <c r="DM123" s="20"/>
      <c r="DN123" s="20"/>
      <c r="DO123" s="20"/>
      <c r="DP123" s="20"/>
      <c r="DQ123" s="20"/>
      <c r="DR123" s="20"/>
      <c r="DS123" s="20"/>
      <c r="DT123" s="20"/>
      <c r="DU123" s="20"/>
      <c r="DV123" s="20"/>
      <c r="DW123" s="20"/>
      <c r="DX123" s="20"/>
      <c r="DY123" s="20"/>
      <c r="DZ123" s="20"/>
      <c r="EA123" s="20"/>
      <c r="EB123" s="20"/>
      <c r="EC123" s="20"/>
      <c r="ED123" s="20"/>
      <c r="EE123" s="20"/>
      <c r="EF123" s="20"/>
      <c r="EG123" s="20"/>
      <c r="EH123" s="20"/>
      <c r="EI123" s="20"/>
      <c r="EJ123" s="20"/>
      <c r="EK123" s="20"/>
      <c r="EL123" s="20"/>
      <c r="EM123" s="20"/>
      <c r="EN123" s="20"/>
      <c r="EO123" s="20"/>
      <c r="EP123" s="20"/>
      <c r="EQ123" s="20"/>
      <c r="ER123" s="20"/>
      <c r="ES123" s="20"/>
      <c r="ET123" s="20"/>
      <c r="EU123" s="20"/>
      <c r="EV123" s="20"/>
      <c r="EW123" s="20"/>
      <c r="EX123" s="20"/>
      <c r="EY123" s="20"/>
      <c r="EZ123" s="20"/>
      <c r="FA123" s="20"/>
      <c r="FB123" s="20"/>
      <c r="FC123" s="20"/>
      <c r="FD123" s="20"/>
      <c r="FE123" s="20"/>
      <c r="FF123" s="20"/>
      <c r="FG123" s="20"/>
      <c r="FH123" s="20"/>
      <c r="FI123" s="20"/>
      <c r="FJ123" s="20"/>
      <c r="FK123" s="20"/>
      <c r="FL123" s="20"/>
      <c r="FM123" s="20"/>
      <c r="FN123" s="20"/>
      <c r="FO123" s="20"/>
      <c r="FP123" s="20"/>
      <c r="FQ123" s="20"/>
      <c r="FR123" s="20"/>
      <c r="FS123" s="20"/>
      <c r="FT123" s="20"/>
      <c r="FU123" s="20"/>
      <c r="FV123" s="20"/>
      <c r="FW123" s="20"/>
      <c r="FX123" s="20"/>
      <c r="FY123" s="20"/>
      <c r="FZ123" s="20"/>
      <c r="GA123" s="20"/>
      <c r="GB123" s="20"/>
      <c r="GC123" s="20"/>
      <c r="GD123" s="20"/>
      <c r="GE123" s="20"/>
      <c r="GF123" s="20"/>
      <c r="GG123" s="20"/>
      <c r="GH123" s="20"/>
      <c r="GI123" s="20"/>
      <c r="GJ123" s="20"/>
      <c r="GK123" s="20"/>
      <c r="GL123" s="20"/>
      <c r="GM123" s="20"/>
      <c r="GN123" s="20"/>
      <c r="GO123" s="20"/>
      <c r="GP123" s="20"/>
      <c r="GQ123" s="20"/>
      <c r="GR123" s="20"/>
      <c r="GS123" s="20"/>
      <c r="GT123" s="20"/>
      <c r="GU123" s="20"/>
      <c r="GV123" s="20"/>
      <c r="GW123" s="20"/>
      <c r="GX123" s="20"/>
      <c r="GY123" s="20"/>
      <c r="GZ123" s="20"/>
      <c r="HA123" s="20"/>
      <c r="HB123" s="20"/>
      <c r="HC123" s="20"/>
      <c r="HD123" s="20"/>
      <c r="HE123" s="20"/>
      <c r="HF123" s="20"/>
      <c r="HG123" s="20"/>
      <c r="HH123" s="20"/>
      <c r="HI123" s="20"/>
      <c r="HJ123" s="20"/>
      <c r="HK123" s="20"/>
      <c r="HL123" s="20"/>
      <c r="HM123" s="20"/>
      <c r="HN123" s="20"/>
      <c r="HO123" s="20"/>
      <c r="HP123" s="20"/>
      <c r="HQ123" s="20"/>
      <c r="HR123" s="20"/>
      <c r="HS123" s="20"/>
      <c r="HT123" s="20"/>
      <c r="HU123" s="20"/>
      <c r="HV123" s="20"/>
      <c r="HW123" s="20"/>
      <c r="HX123" s="20"/>
      <c r="HY123" s="20"/>
      <c r="HZ123" s="20"/>
      <c r="IA123" s="20"/>
      <c r="IB123" s="20"/>
      <c r="IC123" s="20"/>
      <c r="ID123" s="20"/>
      <c r="IE123" s="20"/>
      <c r="IF123" s="20"/>
      <c r="IG123" s="20"/>
      <c r="IH123" s="20"/>
      <c r="II123" s="20"/>
      <c r="IJ123" s="20"/>
      <c r="IK123" s="20"/>
      <c r="IL123" s="20"/>
      <c r="IM123" s="20"/>
      <c r="IN123" s="20"/>
      <c r="IO123" s="20"/>
      <c r="IP123" s="20"/>
      <c r="IQ123" s="20"/>
      <c r="IR123" s="20"/>
      <c r="IS123" s="20"/>
      <c r="IT123" s="20"/>
      <c r="IU123" s="20"/>
      <c r="IV123" s="20"/>
      <c r="IW123" s="20"/>
      <c r="IX123" s="20"/>
      <c r="IY123" s="20"/>
      <c r="IZ123" s="20"/>
      <c r="JA123" s="20"/>
      <c r="JB123" s="20"/>
      <c r="JC123" s="20"/>
      <c r="JD123" s="20"/>
      <c r="JE123" s="20"/>
      <c r="JF123" s="20"/>
      <c r="JG123" s="20"/>
      <c r="JH123" s="20"/>
      <c r="JI123" s="20"/>
    </row>
    <row r="124" spans="1:269" ht="17.25" customHeight="1">
      <c r="A124" s="101"/>
      <c r="B124" s="20" t="s">
        <v>113</v>
      </c>
      <c r="C124" s="20" t="s">
        <v>134</v>
      </c>
      <c r="D124" s="83">
        <v>1876739</v>
      </c>
      <c r="E124" s="82">
        <v>2E-3</v>
      </c>
      <c r="F124" s="82">
        <v>1.2999999999999999E-2</v>
      </c>
      <c r="G124" s="29"/>
      <c r="H124" s="83">
        <v>2567</v>
      </c>
      <c r="I124" s="104">
        <v>1298</v>
      </c>
      <c r="J124" s="29"/>
      <c r="K124" s="83">
        <v>19192</v>
      </c>
      <c r="L124" s="104">
        <v>4305</v>
      </c>
      <c r="M124" s="29"/>
      <c r="N124" s="188">
        <v>0.12</v>
      </c>
      <c r="O124" s="188">
        <v>0.08</v>
      </c>
      <c r="P124" s="29"/>
      <c r="Q124" s="85">
        <v>0</v>
      </c>
      <c r="R124" s="14"/>
      <c r="S124" s="15"/>
      <c r="T124" s="104">
        <v>6542</v>
      </c>
      <c r="U124" s="82">
        <v>4.0000000000000001E-3</v>
      </c>
      <c r="V124" s="29"/>
      <c r="W124" s="83">
        <v>17593</v>
      </c>
      <c r="X124" s="82">
        <v>0.128</v>
      </c>
      <c r="Y124" s="29"/>
      <c r="Z124" s="104">
        <v>3657</v>
      </c>
      <c r="AA124" s="82">
        <v>6.4000000000000001E-2</v>
      </c>
      <c r="AB124" s="29"/>
      <c r="AC124" s="83">
        <v>26058</v>
      </c>
      <c r="AD124" s="82">
        <v>4.2999999999999997E-2</v>
      </c>
      <c r="AE124" s="29"/>
      <c r="AF124" s="104">
        <v>5218</v>
      </c>
      <c r="AG124" s="120">
        <v>3.5999999999999997E-2</v>
      </c>
      <c r="AH124" s="85">
        <v>4.99</v>
      </c>
      <c r="AI124" s="84">
        <v>63.2</v>
      </c>
      <c r="AJ124" s="188">
        <v>324</v>
      </c>
      <c r="AK124" s="83">
        <v>68</v>
      </c>
      <c r="AL124" s="102">
        <v>17</v>
      </c>
      <c r="AM124" s="29"/>
      <c r="AN124" s="83">
        <v>12109</v>
      </c>
      <c r="AO124" s="83">
        <v>10957</v>
      </c>
      <c r="AP124" s="83">
        <v>2992</v>
      </c>
      <c r="AQ124" s="29"/>
      <c r="AR124" s="104">
        <v>2108</v>
      </c>
      <c r="AS124" s="104">
        <v>2439</v>
      </c>
      <c r="AT124" s="104">
        <v>671</v>
      </c>
      <c r="AU124" s="29"/>
      <c r="AV124" s="83">
        <v>24105</v>
      </c>
      <c r="AW124" s="104">
        <v>4814</v>
      </c>
      <c r="AX124" s="29"/>
      <c r="AY124" s="121">
        <v>0.94</v>
      </c>
      <c r="AZ124" s="120">
        <v>2.4E-2</v>
      </c>
      <c r="BA124" s="120">
        <v>4.0000000000000001E-3</v>
      </c>
      <c r="BB124" s="82">
        <v>3.1E-2</v>
      </c>
      <c r="BC124" s="29"/>
      <c r="BD124" s="188">
        <v>0</v>
      </c>
      <c r="BE124" s="89"/>
      <c r="BF124" s="94"/>
      <c r="BG124" s="188">
        <v>1</v>
      </c>
      <c r="BH124" s="188" t="s">
        <v>208</v>
      </c>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c r="DA124" s="20"/>
      <c r="DB124" s="20"/>
      <c r="DC124" s="20"/>
      <c r="DD124" s="20"/>
      <c r="DE124" s="20"/>
      <c r="DF124" s="20"/>
      <c r="DG124" s="20"/>
      <c r="DH124" s="20"/>
      <c r="DI124" s="20"/>
      <c r="DJ124" s="20"/>
      <c r="DK124" s="20"/>
      <c r="DL124" s="20"/>
      <c r="DM124" s="20"/>
      <c r="DN124" s="20"/>
      <c r="DO124" s="20"/>
      <c r="DP124" s="20"/>
      <c r="DQ124" s="20"/>
      <c r="DR124" s="20"/>
      <c r="DS124" s="20"/>
      <c r="DT124" s="20"/>
      <c r="DU124" s="20"/>
      <c r="DV124" s="20"/>
      <c r="DW124" s="20"/>
      <c r="DX124" s="20"/>
      <c r="DY124" s="20"/>
      <c r="DZ124" s="20"/>
      <c r="EA124" s="20"/>
      <c r="EB124" s="20"/>
      <c r="EC124" s="20"/>
      <c r="ED124" s="20"/>
      <c r="EE124" s="20"/>
      <c r="EF124" s="20"/>
      <c r="EG124" s="20"/>
      <c r="EH124" s="20"/>
      <c r="EI124" s="20"/>
      <c r="EJ124" s="20"/>
      <c r="EK124" s="20"/>
      <c r="EL124" s="20"/>
      <c r="EM124" s="20"/>
      <c r="EN124" s="20"/>
      <c r="EO124" s="20"/>
      <c r="EP124" s="20"/>
      <c r="EQ124" s="20"/>
      <c r="ER124" s="20"/>
      <c r="ES124" s="20"/>
      <c r="ET124" s="20"/>
      <c r="EU124" s="20"/>
      <c r="EV124" s="20"/>
      <c r="EW124" s="20"/>
      <c r="EX124" s="20"/>
      <c r="EY124" s="20"/>
      <c r="EZ124" s="20"/>
      <c r="FA124" s="20"/>
      <c r="FB124" s="20"/>
      <c r="FC124" s="20"/>
      <c r="FD124" s="20"/>
      <c r="FE124" s="20"/>
      <c r="FF124" s="20"/>
      <c r="FG124" s="20"/>
      <c r="FH124" s="20"/>
      <c r="FI124" s="20"/>
      <c r="FJ124" s="20"/>
      <c r="FK124" s="20"/>
      <c r="FL124" s="20"/>
      <c r="FM124" s="20"/>
      <c r="FN124" s="20"/>
      <c r="FO124" s="20"/>
      <c r="FP124" s="20"/>
      <c r="FQ124" s="20"/>
      <c r="FR124" s="20"/>
      <c r="FS124" s="20"/>
      <c r="FT124" s="20"/>
      <c r="FU124" s="20"/>
      <c r="FV124" s="20"/>
      <c r="FW124" s="20"/>
      <c r="FX124" s="20"/>
      <c r="FY124" s="20"/>
      <c r="FZ124" s="20"/>
      <c r="GA124" s="20"/>
      <c r="GB124" s="20"/>
      <c r="GC124" s="20"/>
      <c r="GD124" s="20"/>
      <c r="GE124" s="20"/>
      <c r="GF124" s="20"/>
      <c r="GG124" s="20"/>
      <c r="GH124" s="20"/>
      <c r="GI124" s="20"/>
      <c r="GJ124" s="20"/>
      <c r="GK124" s="20"/>
      <c r="GL124" s="20"/>
      <c r="GM124" s="20"/>
      <c r="GN124" s="20"/>
      <c r="GO124" s="20"/>
      <c r="GP124" s="20"/>
      <c r="GQ124" s="20"/>
      <c r="GR124" s="20"/>
      <c r="GS124" s="20"/>
      <c r="GT124" s="20"/>
      <c r="GU124" s="20"/>
      <c r="GV124" s="20"/>
      <c r="GW124" s="20"/>
      <c r="GX124" s="20"/>
      <c r="GY124" s="20"/>
      <c r="GZ124" s="20"/>
      <c r="HA124" s="20"/>
      <c r="HB124" s="20"/>
      <c r="HC124" s="20"/>
      <c r="HD124" s="20"/>
      <c r="HE124" s="20"/>
      <c r="HF124" s="20"/>
      <c r="HG124" s="20"/>
      <c r="HH124" s="20"/>
      <c r="HI124" s="20"/>
      <c r="HJ124" s="20"/>
      <c r="HK124" s="20"/>
      <c r="HL124" s="20"/>
      <c r="HM124" s="20"/>
      <c r="HN124" s="20"/>
      <c r="HO124" s="20"/>
      <c r="HP124" s="20"/>
      <c r="HQ124" s="20"/>
      <c r="HR124" s="20"/>
      <c r="HS124" s="20"/>
      <c r="HT124" s="20"/>
      <c r="HU124" s="20"/>
      <c r="HV124" s="20"/>
      <c r="HW124" s="20"/>
      <c r="HX124" s="20"/>
      <c r="HY124" s="20"/>
      <c r="HZ124" s="20"/>
      <c r="IA124" s="20"/>
      <c r="IB124" s="20"/>
      <c r="IC124" s="20"/>
      <c r="ID124" s="20"/>
      <c r="IE124" s="20"/>
      <c r="IF124" s="20"/>
      <c r="IG124" s="20"/>
      <c r="IH124" s="20"/>
      <c r="II124" s="20"/>
      <c r="IJ124" s="20"/>
      <c r="IK124" s="20"/>
      <c r="IL124" s="20"/>
      <c r="IM124" s="20"/>
      <c r="IN124" s="20"/>
      <c r="IO124" s="20"/>
      <c r="IP124" s="20"/>
      <c r="IQ124" s="20"/>
      <c r="IR124" s="20"/>
      <c r="IS124" s="20"/>
      <c r="IT124" s="20"/>
      <c r="IU124" s="20"/>
      <c r="IV124" s="20"/>
      <c r="IW124" s="20"/>
      <c r="IX124" s="20"/>
      <c r="IY124" s="20"/>
      <c r="IZ124" s="20"/>
      <c r="JA124" s="20"/>
      <c r="JB124" s="20"/>
      <c r="JC124" s="20"/>
      <c r="JD124" s="20"/>
      <c r="JE124" s="20"/>
      <c r="JF124" s="20"/>
      <c r="JG124" s="20"/>
      <c r="JH124" s="20"/>
      <c r="JI124" s="20"/>
    </row>
    <row r="125" spans="1:269" ht="17.25" customHeight="1">
      <c r="A125" s="101"/>
      <c r="B125" s="20" t="s">
        <v>112</v>
      </c>
      <c r="C125" s="20" t="s">
        <v>157</v>
      </c>
      <c r="D125" s="83">
        <v>1877714</v>
      </c>
      <c r="E125" s="82">
        <v>1E-3</v>
      </c>
      <c r="F125" s="82">
        <v>1.2999999999999999E-2</v>
      </c>
      <c r="G125" s="29"/>
      <c r="H125" s="83">
        <v>2569</v>
      </c>
      <c r="I125" s="104">
        <v>1295</v>
      </c>
      <c r="J125" s="29"/>
      <c r="K125" s="83">
        <v>19011</v>
      </c>
      <c r="L125" s="104">
        <v>4277</v>
      </c>
      <c r="M125" s="29"/>
      <c r="N125" s="190">
        <v>0.13</v>
      </c>
      <c r="O125" s="190">
        <v>0.08</v>
      </c>
      <c r="P125" s="29"/>
      <c r="Q125" s="85">
        <v>0</v>
      </c>
      <c r="R125" s="14"/>
      <c r="S125" s="15"/>
      <c r="T125" s="104">
        <v>8456</v>
      </c>
      <c r="U125" s="82">
        <v>0.29299999999999998</v>
      </c>
      <c r="V125" s="29"/>
      <c r="W125" s="83">
        <v>15897</v>
      </c>
      <c r="X125" s="82">
        <v>-9.6000000000000002E-2</v>
      </c>
      <c r="Y125" s="29"/>
      <c r="Z125" s="104">
        <v>3363</v>
      </c>
      <c r="AA125" s="86">
        <v>-0.08</v>
      </c>
      <c r="AB125" s="29"/>
      <c r="AC125" s="83">
        <v>24672</v>
      </c>
      <c r="AD125" s="82">
        <v>-5.2999999999999999E-2</v>
      </c>
      <c r="AE125" s="29"/>
      <c r="AF125" s="104">
        <v>5361</v>
      </c>
      <c r="AG125" s="120">
        <v>2.7E-2</v>
      </c>
      <c r="AH125" s="84">
        <v>4.5999999999999996</v>
      </c>
      <c r="AI125" s="84">
        <v>63.3</v>
      </c>
      <c r="AJ125" s="190">
        <v>320</v>
      </c>
      <c r="AK125" s="83">
        <v>54</v>
      </c>
      <c r="AL125" s="102">
        <v>20</v>
      </c>
      <c r="AM125" s="29"/>
      <c r="AN125" s="83">
        <v>10076</v>
      </c>
      <c r="AO125" s="83">
        <v>11632</v>
      </c>
      <c r="AP125" s="83">
        <v>2964</v>
      </c>
      <c r="AQ125" s="29"/>
      <c r="AR125" s="104">
        <v>2014</v>
      </c>
      <c r="AS125" s="104">
        <v>2694</v>
      </c>
      <c r="AT125" s="104">
        <v>653</v>
      </c>
      <c r="AU125" s="29"/>
      <c r="AV125" s="83">
        <v>22860</v>
      </c>
      <c r="AW125" s="104">
        <v>4969</v>
      </c>
      <c r="AX125" s="29"/>
      <c r="AY125" s="120">
        <v>0.90400000000000003</v>
      </c>
      <c r="AZ125" s="120">
        <v>3.2000000000000001E-2</v>
      </c>
      <c r="BA125" s="120">
        <v>2.1000000000000001E-2</v>
      </c>
      <c r="BB125" s="82">
        <v>4.2999999999999997E-2</v>
      </c>
      <c r="BC125" s="29"/>
      <c r="BD125" s="190">
        <v>0</v>
      </c>
      <c r="BE125" s="89"/>
      <c r="BF125" s="94"/>
      <c r="BG125" s="190">
        <v>1</v>
      </c>
      <c r="BH125" s="190" t="s">
        <v>208</v>
      </c>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c r="DB125" s="20"/>
      <c r="DC125" s="20"/>
      <c r="DD125" s="20"/>
      <c r="DE125" s="20"/>
      <c r="DF125" s="20"/>
      <c r="DG125" s="20"/>
      <c r="DH125" s="20"/>
      <c r="DI125" s="20"/>
      <c r="DJ125" s="20"/>
      <c r="DK125" s="20"/>
      <c r="DL125" s="20"/>
      <c r="DM125" s="20"/>
      <c r="DN125" s="20"/>
      <c r="DO125" s="20"/>
      <c r="DP125" s="20"/>
      <c r="DQ125" s="20"/>
      <c r="DR125" s="20"/>
      <c r="DS125" s="20"/>
      <c r="DT125" s="20"/>
      <c r="DU125" s="20"/>
      <c r="DV125" s="20"/>
      <c r="DW125" s="20"/>
      <c r="DX125" s="20"/>
      <c r="DY125" s="20"/>
      <c r="DZ125" s="20"/>
      <c r="EA125" s="20"/>
      <c r="EB125" s="20"/>
      <c r="EC125" s="20"/>
      <c r="ED125" s="20"/>
      <c r="EE125" s="20"/>
      <c r="EF125" s="20"/>
      <c r="EG125" s="20"/>
      <c r="EH125" s="20"/>
      <c r="EI125" s="20"/>
      <c r="EJ125" s="20"/>
      <c r="EK125" s="20"/>
      <c r="EL125" s="20"/>
      <c r="EM125" s="20"/>
      <c r="EN125" s="20"/>
      <c r="EO125" s="20"/>
      <c r="EP125" s="20"/>
      <c r="EQ125" s="20"/>
      <c r="ER125" s="20"/>
      <c r="ES125" s="20"/>
      <c r="ET125" s="20"/>
      <c r="EU125" s="20"/>
      <c r="EV125" s="20"/>
      <c r="EW125" s="20"/>
      <c r="EX125" s="20"/>
      <c r="EY125" s="20"/>
      <c r="EZ125" s="20"/>
      <c r="FA125" s="20"/>
      <c r="FB125" s="20"/>
      <c r="FC125" s="20"/>
      <c r="FD125" s="20"/>
      <c r="FE125" s="20"/>
      <c r="FF125" s="20"/>
      <c r="FG125" s="20"/>
      <c r="FH125" s="20"/>
      <c r="FI125" s="20"/>
      <c r="FJ125" s="20"/>
      <c r="FK125" s="20"/>
      <c r="FL125" s="20"/>
      <c r="FM125" s="20"/>
      <c r="FN125" s="20"/>
      <c r="FO125" s="20"/>
      <c r="FP125" s="20"/>
      <c r="FQ125" s="20"/>
      <c r="FR125" s="20"/>
      <c r="FS125" s="20"/>
      <c r="FT125" s="20"/>
      <c r="FU125" s="20"/>
      <c r="FV125" s="20"/>
      <c r="FW125" s="20"/>
      <c r="FX125" s="20"/>
      <c r="FY125" s="20"/>
      <c r="FZ125" s="20"/>
      <c r="GA125" s="20"/>
      <c r="GB125" s="20"/>
      <c r="GC125" s="20"/>
      <c r="GD125" s="20"/>
      <c r="GE125" s="20"/>
      <c r="GF125" s="20"/>
      <c r="GG125" s="20"/>
      <c r="GH125" s="20"/>
      <c r="GI125" s="20"/>
      <c r="GJ125" s="20"/>
      <c r="GK125" s="20"/>
      <c r="GL125" s="20"/>
      <c r="GM125" s="20"/>
      <c r="GN125" s="20"/>
      <c r="GO125" s="20"/>
      <c r="GP125" s="20"/>
      <c r="GQ125" s="20"/>
      <c r="GR125" s="20"/>
      <c r="GS125" s="20"/>
      <c r="GT125" s="20"/>
      <c r="GU125" s="20"/>
      <c r="GV125" s="20"/>
      <c r="GW125" s="20"/>
      <c r="GX125" s="20"/>
      <c r="GY125" s="20"/>
      <c r="GZ125" s="20"/>
      <c r="HA125" s="20"/>
      <c r="HB125" s="20"/>
      <c r="HC125" s="20"/>
      <c r="HD125" s="20"/>
      <c r="HE125" s="20"/>
      <c r="HF125" s="20"/>
      <c r="HG125" s="20"/>
      <c r="HH125" s="20"/>
      <c r="HI125" s="20"/>
      <c r="HJ125" s="20"/>
      <c r="HK125" s="20"/>
      <c r="HL125" s="20"/>
      <c r="HM125" s="20"/>
      <c r="HN125" s="20"/>
      <c r="HO125" s="20"/>
      <c r="HP125" s="20"/>
      <c r="HQ125" s="20"/>
      <c r="HR125" s="20"/>
      <c r="HS125" s="20"/>
      <c r="HT125" s="20"/>
      <c r="HU125" s="20"/>
      <c r="HV125" s="20"/>
      <c r="HW125" s="20"/>
      <c r="HX125" s="20"/>
      <c r="HY125" s="20"/>
      <c r="HZ125" s="20"/>
      <c r="IA125" s="20"/>
      <c r="IB125" s="20"/>
      <c r="IC125" s="20"/>
      <c r="ID125" s="20"/>
      <c r="IE125" s="20"/>
      <c r="IF125" s="20"/>
      <c r="IG125" s="20"/>
      <c r="IH125" s="20"/>
      <c r="II125" s="20"/>
      <c r="IJ125" s="20"/>
      <c r="IK125" s="20"/>
      <c r="IL125" s="20"/>
      <c r="IM125" s="20"/>
      <c r="IN125" s="20"/>
      <c r="IO125" s="20"/>
      <c r="IP125" s="20"/>
      <c r="IQ125" s="20"/>
      <c r="IR125" s="20"/>
      <c r="IS125" s="20"/>
      <c r="IT125" s="20"/>
      <c r="IU125" s="20"/>
      <c r="IV125" s="20"/>
      <c r="IW125" s="20"/>
      <c r="IX125" s="20"/>
      <c r="IY125" s="20"/>
      <c r="IZ125" s="20"/>
      <c r="JA125" s="20"/>
      <c r="JB125" s="20"/>
      <c r="JC125" s="20"/>
      <c r="JD125" s="20"/>
      <c r="JE125" s="20"/>
      <c r="JF125" s="20"/>
      <c r="JG125" s="20"/>
      <c r="JH125" s="20"/>
      <c r="JI125" s="20"/>
    </row>
    <row r="126" spans="1:269" ht="17.25" customHeight="1">
      <c r="A126" s="101"/>
      <c r="B126" s="20" t="s">
        <v>111</v>
      </c>
      <c r="C126" s="20" t="s">
        <v>153</v>
      </c>
      <c r="D126" s="83">
        <v>1881867</v>
      </c>
      <c r="E126" s="82">
        <v>2E-3</v>
      </c>
      <c r="F126" s="82">
        <v>1.4999999999999999E-2</v>
      </c>
      <c r="G126" s="29"/>
      <c r="H126" s="83">
        <v>2538</v>
      </c>
      <c r="I126" s="104">
        <v>1289</v>
      </c>
      <c r="J126" s="29"/>
      <c r="K126" s="83">
        <v>18901</v>
      </c>
      <c r="L126" s="104">
        <v>4263</v>
      </c>
      <c r="M126" s="29"/>
      <c r="N126" s="191">
        <v>0.13</v>
      </c>
      <c r="O126" s="191">
        <v>0.09</v>
      </c>
      <c r="P126" s="29"/>
      <c r="Q126" s="85">
        <v>0</v>
      </c>
      <c r="R126" s="14"/>
      <c r="S126" s="15"/>
      <c r="T126" s="104">
        <v>7795</v>
      </c>
      <c r="U126" s="82">
        <v>-7.8E-2</v>
      </c>
      <c r="V126" s="29"/>
      <c r="W126" s="83">
        <v>17129</v>
      </c>
      <c r="X126" s="82">
        <v>7.6999999999999999E-2</v>
      </c>
      <c r="Y126" s="29"/>
      <c r="Z126" s="104">
        <v>3463</v>
      </c>
      <c r="AA126" s="86">
        <v>0.03</v>
      </c>
      <c r="AB126" s="29"/>
      <c r="AC126" s="83">
        <v>25258</v>
      </c>
      <c r="AD126" s="82">
        <v>2.4E-2</v>
      </c>
      <c r="AE126" s="29"/>
      <c r="AF126" s="104">
        <v>5719</v>
      </c>
      <c r="AG126" s="120">
        <v>6.7000000000000004E-2</v>
      </c>
      <c r="AH126" s="85">
        <v>4.42</v>
      </c>
      <c r="AI126" s="84">
        <v>62.5</v>
      </c>
      <c r="AJ126" s="191">
        <v>319</v>
      </c>
      <c r="AK126" s="83">
        <v>39</v>
      </c>
      <c r="AL126" s="102">
        <v>16</v>
      </c>
      <c r="AM126" s="29"/>
      <c r="AN126" s="83">
        <v>9316</v>
      </c>
      <c r="AO126" s="83">
        <v>13677</v>
      </c>
      <c r="AP126" s="83">
        <v>2266</v>
      </c>
      <c r="AQ126" s="29"/>
      <c r="AR126" s="104">
        <v>1993</v>
      </c>
      <c r="AS126" s="104">
        <v>3150</v>
      </c>
      <c r="AT126" s="104">
        <v>576</v>
      </c>
      <c r="AU126" s="29"/>
      <c r="AV126" s="83">
        <v>23391</v>
      </c>
      <c r="AW126" s="104">
        <v>5357</v>
      </c>
      <c r="AX126" s="29"/>
      <c r="AY126" s="120">
        <v>0.91800000000000004</v>
      </c>
      <c r="AZ126" s="120">
        <v>2.3E-2</v>
      </c>
      <c r="BA126" s="120">
        <v>1.7999999999999999E-2</v>
      </c>
      <c r="BB126" s="82">
        <v>4.1000000000000002E-2</v>
      </c>
      <c r="BC126" s="29"/>
      <c r="BD126" s="191">
        <v>0</v>
      </c>
      <c r="BE126" s="89"/>
      <c r="BF126" s="94"/>
      <c r="BG126" s="191">
        <v>1</v>
      </c>
      <c r="BH126" s="191" t="s">
        <v>208</v>
      </c>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c r="DA126" s="20"/>
      <c r="DB126" s="20"/>
      <c r="DC126" s="20"/>
      <c r="DD126" s="20"/>
      <c r="DE126" s="20"/>
      <c r="DF126" s="20"/>
      <c r="DG126" s="20"/>
      <c r="DH126" s="20"/>
      <c r="DI126" s="20"/>
      <c r="DJ126" s="20"/>
      <c r="DK126" s="20"/>
      <c r="DL126" s="20"/>
      <c r="DM126" s="20"/>
      <c r="DN126" s="20"/>
      <c r="DO126" s="20"/>
      <c r="DP126" s="20"/>
      <c r="DQ126" s="20"/>
      <c r="DR126" s="20"/>
      <c r="DS126" s="20"/>
      <c r="DT126" s="20"/>
      <c r="DU126" s="20"/>
      <c r="DV126" s="20"/>
      <c r="DW126" s="20"/>
      <c r="DX126" s="20"/>
      <c r="DY126" s="20"/>
      <c r="DZ126" s="20"/>
      <c r="EA126" s="20"/>
      <c r="EB126" s="20"/>
      <c r="EC126" s="20"/>
      <c r="ED126" s="20"/>
      <c r="EE126" s="20"/>
      <c r="EF126" s="20"/>
      <c r="EG126" s="20"/>
      <c r="EH126" s="20"/>
      <c r="EI126" s="20"/>
      <c r="EJ126" s="20"/>
      <c r="EK126" s="20"/>
      <c r="EL126" s="20"/>
      <c r="EM126" s="20"/>
      <c r="EN126" s="20"/>
      <c r="EO126" s="20"/>
      <c r="EP126" s="20"/>
      <c r="EQ126" s="20"/>
      <c r="ER126" s="20"/>
      <c r="ES126" s="20"/>
      <c r="ET126" s="20"/>
      <c r="EU126" s="20"/>
      <c r="EV126" s="20"/>
      <c r="EW126" s="20"/>
      <c r="EX126" s="20"/>
      <c r="EY126" s="20"/>
      <c r="EZ126" s="20"/>
      <c r="FA126" s="20"/>
      <c r="FB126" s="20"/>
      <c r="FC126" s="20"/>
      <c r="FD126" s="20"/>
      <c r="FE126" s="20"/>
      <c r="FF126" s="20"/>
      <c r="FG126" s="20"/>
      <c r="FH126" s="20"/>
      <c r="FI126" s="20"/>
      <c r="FJ126" s="20"/>
      <c r="FK126" s="20"/>
      <c r="FL126" s="20"/>
      <c r="FM126" s="20"/>
      <c r="FN126" s="20"/>
      <c r="FO126" s="20"/>
      <c r="FP126" s="20"/>
      <c r="FQ126" s="20"/>
      <c r="FR126" s="20"/>
      <c r="FS126" s="20"/>
      <c r="FT126" s="20"/>
      <c r="FU126" s="20"/>
      <c r="FV126" s="20"/>
      <c r="FW126" s="20"/>
      <c r="FX126" s="20"/>
      <c r="FY126" s="20"/>
      <c r="FZ126" s="20"/>
      <c r="GA126" s="20"/>
      <c r="GB126" s="20"/>
      <c r="GC126" s="20"/>
      <c r="GD126" s="20"/>
      <c r="GE126" s="20"/>
      <c r="GF126" s="20"/>
      <c r="GG126" s="20"/>
      <c r="GH126" s="20"/>
      <c r="GI126" s="20"/>
      <c r="GJ126" s="20"/>
      <c r="GK126" s="20"/>
      <c r="GL126" s="20"/>
      <c r="GM126" s="20"/>
      <c r="GN126" s="20"/>
      <c r="GO126" s="20"/>
      <c r="GP126" s="20"/>
      <c r="GQ126" s="20"/>
      <c r="GR126" s="20"/>
      <c r="GS126" s="20"/>
      <c r="GT126" s="20"/>
      <c r="GU126" s="20"/>
      <c r="GV126" s="20"/>
      <c r="GW126" s="20"/>
      <c r="GX126" s="20"/>
      <c r="GY126" s="20"/>
      <c r="GZ126" s="20"/>
      <c r="HA126" s="20"/>
      <c r="HB126" s="20"/>
      <c r="HC126" s="20"/>
      <c r="HD126" s="20"/>
      <c r="HE126" s="20"/>
      <c r="HF126" s="20"/>
      <c r="HG126" s="20"/>
      <c r="HH126" s="20"/>
      <c r="HI126" s="20"/>
      <c r="HJ126" s="20"/>
      <c r="HK126" s="20"/>
      <c r="HL126" s="20"/>
      <c r="HM126" s="20"/>
      <c r="HN126" s="20"/>
      <c r="HO126" s="20"/>
      <c r="HP126" s="20"/>
      <c r="HQ126" s="20"/>
      <c r="HR126" s="20"/>
      <c r="HS126" s="20"/>
      <c r="HT126" s="20"/>
      <c r="HU126" s="20"/>
      <c r="HV126" s="20"/>
      <c r="HW126" s="20"/>
      <c r="HX126" s="20"/>
      <c r="HY126" s="20"/>
      <c r="HZ126" s="20"/>
      <c r="IA126" s="20"/>
      <c r="IB126" s="20"/>
      <c r="IC126" s="20"/>
      <c r="ID126" s="20"/>
      <c r="IE126" s="20"/>
      <c r="IF126" s="20"/>
      <c r="IG126" s="20"/>
      <c r="IH126" s="20"/>
      <c r="II126" s="20"/>
      <c r="IJ126" s="20"/>
      <c r="IK126" s="20"/>
      <c r="IL126" s="20"/>
      <c r="IM126" s="20"/>
      <c r="IN126" s="20"/>
      <c r="IO126" s="20"/>
      <c r="IP126" s="20"/>
      <c r="IQ126" s="20"/>
      <c r="IR126" s="20"/>
      <c r="IS126" s="20"/>
      <c r="IT126" s="20"/>
      <c r="IU126" s="20"/>
      <c r="IV126" s="20"/>
      <c r="IW126" s="20"/>
      <c r="IX126" s="20"/>
      <c r="IY126" s="20"/>
      <c r="IZ126" s="20"/>
      <c r="JA126" s="20"/>
      <c r="JB126" s="20"/>
      <c r="JC126" s="20"/>
      <c r="JD126" s="20"/>
      <c r="JE126" s="20"/>
      <c r="JF126" s="20"/>
      <c r="JG126" s="20"/>
      <c r="JH126" s="20"/>
      <c r="JI126" s="20"/>
    </row>
    <row r="127" spans="1:269" ht="17.25" customHeight="1">
      <c r="A127" s="101"/>
      <c r="B127" s="20" t="s">
        <v>110</v>
      </c>
      <c r="C127" s="20" t="s">
        <v>133</v>
      </c>
      <c r="D127" s="83">
        <v>1884159</v>
      </c>
      <c r="E127" s="82">
        <v>1E-3</v>
      </c>
      <c r="F127" s="82">
        <v>1.4999999999999999E-2</v>
      </c>
      <c r="G127" s="29"/>
      <c r="H127" s="83">
        <v>2526</v>
      </c>
      <c r="I127" s="104">
        <v>1270</v>
      </c>
      <c r="J127" s="29"/>
      <c r="K127" s="83">
        <v>18733</v>
      </c>
      <c r="L127" s="104">
        <v>4240</v>
      </c>
      <c r="M127" s="29"/>
      <c r="N127" s="192">
        <v>0.13</v>
      </c>
      <c r="O127" s="192">
        <v>0.09</v>
      </c>
      <c r="P127" s="29"/>
      <c r="Q127" s="85">
        <v>0</v>
      </c>
      <c r="R127" s="14"/>
      <c r="S127" s="15"/>
      <c r="T127" s="104">
        <v>8187</v>
      </c>
      <c r="U127" s="86">
        <v>0.05</v>
      </c>
      <c r="V127" s="29"/>
      <c r="W127" s="83">
        <v>16214</v>
      </c>
      <c r="X127" s="82">
        <v>-5.2999999999999999E-2</v>
      </c>
      <c r="Y127" s="29"/>
      <c r="Z127" s="104">
        <v>3787</v>
      </c>
      <c r="AA127" s="82">
        <v>9.4E-2</v>
      </c>
      <c r="AB127" s="29"/>
      <c r="AC127" s="83">
        <v>26601</v>
      </c>
      <c r="AD127" s="82">
        <v>5.2999999999999999E-2</v>
      </c>
      <c r="AE127" s="29"/>
      <c r="AF127" s="104">
        <v>5875</v>
      </c>
      <c r="AG127" s="120">
        <v>2.7E-2</v>
      </c>
      <c r="AH127" s="85">
        <v>4.53</v>
      </c>
      <c r="AI127" s="84">
        <v>62.7</v>
      </c>
      <c r="AJ127" s="192">
        <v>319</v>
      </c>
      <c r="AK127" s="83">
        <v>103</v>
      </c>
      <c r="AL127" s="102">
        <v>27</v>
      </c>
      <c r="AM127" s="29"/>
      <c r="AN127" s="83">
        <v>8923</v>
      </c>
      <c r="AO127" s="83">
        <v>14649</v>
      </c>
      <c r="AP127" s="83">
        <v>3029</v>
      </c>
      <c r="AQ127" s="29"/>
      <c r="AR127" s="104">
        <v>1854</v>
      </c>
      <c r="AS127" s="104">
        <v>3339</v>
      </c>
      <c r="AT127" s="104">
        <v>682</v>
      </c>
      <c r="AU127" s="29"/>
      <c r="AV127" s="83">
        <v>24547</v>
      </c>
      <c r="AW127" s="104">
        <v>5408</v>
      </c>
      <c r="AX127" s="29"/>
      <c r="AY127" s="120">
        <v>0.93400000000000005</v>
      </c>
      <c r="AZ127" s="120">
        <v>1.9E-2</v>
      </c>
      <c r="BA127" s="120">
        <v>6.0000000000000001E-3</v>
      </c>
      <c r="BB127" s="82">
        <v>4.1000000000000002E-2</v>
      </c>
      <c r="BC127" s="29"/>
      <c r="BD127" s="192">
        <v>0</v>
      </c>
      <c r="BE127" s="89"/>
      <c r="BF127" s="94"/>
      <c r="BG127" s="192">
        <v>1</v>
      </c>
      <c r="BH127" s="192" t="s">
        <v>208</v>
      </c>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c r="DB127" s="20"/>
      <c r="DC127" s="20"/>
      <c r="DD127" s="20"/>
      <c r="DE127" s="20"/>
      <c r="DF127" s="20"/>
      <c r="DG127" s="20"/>
      <c r="DH127" s="20"/>
      <c r="DI127" s="20"/>
      <c r="DJ127" s="20"/>
      <c r="DK127" s="20"/>
      <c r="DL127" s="20"/>
      <c r="DM127" s="20"/>
      <c r="DN127" s="20"/>
      <c r="DO127" s="20"/>
      <c r="DP127" s="20"/>
      <c r="DQ127" s="20"/>
      <c r="DR127" s="20"/>
      <c r="DS127" s="20"/>
      <c r="DT127" s="20"/>
      <c r="DU127" s="20"/>
      <c r="DV127" s="20"/>
      <c r="DW127" s="20"/>
      <c r="DX127" s="20"/>
      <c r="DY127" s="20"/>
      <c r="DZ127" s="20"/>
      <c r="EA127" s="20"/>
      <c r="EB127" s="20"/>
      <c r="EC127" s="20"/>
      <c r="ED127" s="20"/>
      <c r="EE127" s="20"/>
      <c r="EF127" s="20"/>
      <c r="EG127" s="20"/>
      <c r="EH127" s="20"/>
      <c r="EI127" s="20"/>
      <c r="EJ127" s="20"/>
      <c r="EK127" s="20"/>
      <c r="EL127" s="20"/>
      <c r="EM127" s="20"/>
      <c r="EN127" s="20"/>
      <c r="EO127" s="20"/>
      <c r="EP127" s="20"/>
      <c r="EQ127" s="20"/>
      <c r="ER127" s="20"/>
      <c r="ES127" s="20"/>
      <c r="ET127" s="20"/>
      <c r="EU127" s="20"/>
      <c r="EV127" s="20"/>
      <c r="EW127" s="20"/>
      <c r="EX127" s="20"/>
      <c r="EY127" s="20"/>
      <c r="EZ127" s="20"/>
      <c r="FA127" s="20"/>
      <c r="FB127" s="20"/>
      <c r="FC127" s="20"/>
      <c r="FD127" s="20"/>
      <c r="FE127" s="20"/>
      <c r="FF127" s="20"/>
      <c r="FG127" s="20"/>
      <c r="FH127" s="20"/>
      <c r="FI127" s="20"/>
      <c r="FJ127" s="20"/>
      <c r="FK127" s="20"/>
      <c r="FL127" s="20"/>
      <c r="FM127" s="20"/>
      <c r="FN127" s="20"/>
      <c r="FO127" s="20"/>
      <c r="FP127" s="20"/>
      <c r="FQ127" s="20"/>
      <c r="FR127" s="20"/>
      <c r="FS127" s="20"/>
      <c r="FT127" s="20"/>
      <c r="FU127" s="20"/>
      <c r="FV127" s="20"/>
      <c r="FW127" s="20"/>
      <c r="FX127" s="20"/>
      <c r="FY127" s="20"/>
      <c r="FZ127" s="20"/>
      <c r="GA127" s="20"/>
      <c r="GB127" s="20"/>
      <c r="GC127" s="20"/>
      <c r="GD127" s="20"/>
      <c r="GE127" s="20"/>
      <c r="GF127" s="20"/>
      <c r="GG127" s="20"/>
      <c r="GH127" s="20"/>
      <c r="GI127" s="20"/>
      <c r="GJ127" s="20"/>
      <c r="GK127" s="20"/>
      <c r="GL127" s="20"/>
      <c r="GM127" s="20"/>
      <c r="GN127" s="20"/>
      <c r="GO127" s="20"/>
      <c r="GP127" s="20"/>
      <c r="GQ127" s="20"/>
      <c r="GR127" s="20"/>
      <c r="GS127" s="20"/>
      <c r="GT127" s="20"/>
      <c r="GU127" s="20"/>
      <c r="GV127" s="20"/>
      <c r="GW127" s="20"/>
      <c r="GX127" s="20"/>
      <c r="GY127" s="20"/>
      <c r="GZ127" s="20"/>
      <c r="HA127" s="20"/>
      <c r="HB127" s="20"/>
      <c r="HC127" s="20"/>
      <c r="HD127" s="20"/>
      <c r="HE127" s="20"/>
      <c r="HF127" s="20"/>
      <c r="HG127" s="20"/>
      <c r="HH127" s="20"/>
      <c r="HI127" s="20"/>
      <c r="HJ127" s="20"/>
      <c r="HK127" s="20"/>
      <c r="HL127" s="20"/>
      <c r="HM127" s="20"/>
      <c r="HN127" s="20"/>
      <c r="HO127" s="20"/>
      <c r="HP127" s="20"/>
      <c r="HQ127" s="20"/>
      <c r="HR127" s="20"/>
      <c r="HS127" s="20"/>
      <c r="HT127" s="20"/>
      <c r="HU127" s="20"/>
      <c r="HV127" s="20"/>
      <c r="HW127" s="20"/>
      <c r="HX127" s="20"/>
      <c r="HY127" s="20"/>
      <c r="HZ127" s="20"/>
      <c r="IA127" s="20"/>
      <c r="IB127" s="20"/>
      <c r="IC127" s="20"/>
      <c r="ID127" s="20"/>
      <c r="IE127" s="20"/>
      <c r="IF127" s="20"/>
      <c r="IG127" s="20"/>
      <c r="IH127" s="20"/>
      <c r="II127" s="20"/>
      <c r="IJ127" s="20"/>
      <c r="IK127" s="20"/>
      <c r="IL127" s="20"/>
      <c r="IM127" s="20"/>
      <c r="IN127" s="20"/>
      <c r="IO127" s="20"/>
      <c r="IP127" s="20"/>
      <c r="IQ127" s="20"/>
      <c r="IR127" s="20"/>
      <c r="IS127" s="20"/>
      <c r="IT127" s="20"/>
      <c r="IU127" s="20"/>
      <c r="IV127" s="20"/>
      <c r="IW127" s="20"/>
      <c r="IX127" s="20"/>
      <c r="IY127" s="20"/>
      <c r="IZ127" s="20"/>
      <c r="JA127" s="20"/>
      <c r="JB127" s="20"/>
      <c r="JC127" s="20"/>
      <c r="JD127" s="20"/>
      <c r="JE127" s="20"/>
      <c r="JF127" s="20"/>
      <c r="JG127" s="20"/>
      <c r="JH127" s="20"/>
      <c r="JI127" s="20"/>
    </row>
    <row r="128" spans="1:269" ht="17.25" customHeight="1">
      <c r="A128" s="101"/>
      <c r="B128" s="20" t="s">
        <v>233</v>
      </c>
      <c r="C128" s="20" t="s">
        <v>149</v>
      </c>
      <c r="D128" s="83">
        <v>1885559</v>
      </c>
      <c r="E128" s="82">
        <v>1E-3</v>
      </c>
      <c r="F128" s="86">
        <v>0.01</v>
      </c>
      <c r="G128" s="29"/>
      <c r="H128" s="83">
        <v>2540</v>
      </c>
      <c r="I128" s="104">
        <v>1265</v>
      </c>
      <c r="J128" s="29"/>
      <c r="K128" s="83">
        <v>18611</v>
      </c>
      <c r="L128" s="104">
        <v>4232</v>
      </c>
      <c r="M128" s="29"/>
      <c r="N128" s="193">
        <v>0.13</v>
      </c>
      <c r="O128" s="193">
        <v>0.09</v>
      </c>
      <c r="P128" s="29"/>
      <c r="Q128" s="85">
        <v>0</v>
      </c>
      <c r="R128" s="14"/>
      <c r="S128" s="15"/>
      <c r="T128" s="104">
        <v>8581</v>
      </c>
      <c r="U128" s="82">
        <v>4.8000000000000001E-2</v>
      </c>
      <c r="V128" s="29"/>
      <c r="W128" s="83">
        <v>17664</v>
      </c>
      <c r="X128" s="82">
        <v>8.8999999999999996E-2</v>
      </c>
      <c r="Y128" s="29"/>
      <c r="Z128" s="104">
        <v>4157</v>
      </c>
      <c r="AA128" s="82">
        <v>9.8000000000000004E-2</v>
      </c>
      <c r="AB128" s="29"/>
      <c r="AC128" s="83">
        <v>27480</v>
      </c>
      <c r="AD128" s="82">
        <v>3.3000000000000002E-2</v>
      </c>
      <c r="AE128" s="29"/>
      <c r="AF128" s="104">
        <v>6153</v>
      </c>
      <c r="AG128" s="120">
        <v>4.7E-2</v>
      </c>
      <c r="AH128" s="85">
        <v>4.47</v>
      </c>
      <c r="AI128" s="84">
        <v>63.1</v>
      </c>
      <c r="AJ128" s="193">
        <v>321</v>
      </c>
      <c r="AK128" s="83">
        <v>119</v>
      </c>
      <c r="AL128" s="102">
        <v>30</v>
      </c>
      <c r="AM128" s="29"/>
      <c r="AN128" s="83">
        <v>9300</v>
      </c>
      <c r="AO128" s="83">
        <v>14995</v>
      </c>
      <c r="AP128" s="83">
        <v>3185</v>
      </c>
      <c r="AQ128" s="29"/>
      <c r="AR128" s="104">
        <v>2006</v>
      </c>
      <c r="AS128" s="104">
        <v>3402</v>
      </c>
      <c r="AT128" s="104">
        <v>745</v>
      </c>
      <c r="AU128" s="29"/>
      <c r="AV128" s="83">
        <v>25447</v>
      </c>
      <c r="AW128" s="104">
        <v>5670</v>
      </c>
      <c r="AX128" s="29"/>
      <c r="AY128" s="120">
        <v>0.94699999999999995</v>
      </c>
      <c r="AZ128" s="120">
        <v>1.7000000000000001E-2</v>
      </c>
      <c r="BA128" s="120">
        <v>1E-3</v>
      </c>
      <c r="BB128" s="82">
        <v>3.5000000000000003E-2</v>
      </c>
      <c r="BC128" s="29"/>
      <c r="BD128" s="193">
        <v>1</v>
      </c>
      <c r="BE128" s="89"/>
      <c r="BF128" s="94"/>
      <c r="BG128" s="193">
        <v>2</v>
      </c>
      <c r="BH128" s="193" t="s">
        <v>208</v>
      </c>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c r="DK128" s="20"/>
      <c r="DL128" s="20"/>
      <c r="DM128" s="20"/>
      <c r="DN128" s="20"/>
      <c r="DO128" s="20"/>
      <c r="DP128" s="20"/>
      <c r="DQ128" s="20"/>
      <c r="DR128" s="20"/>
      <c r="DS128" s="20"/>
      <c r="DT128" s="20"/>
      <c r="DU128" s="20"/>
      <c r="DV128" s="20"/>
      <c r="DW128" s="20"/>
      <c r="DX128" s="20"/>
      <c r="DY128" s="20"/>
      <c r="DZ128" s="20"/>
      <c r="EA128" s="20"/>
      <c r="EB128" s="20"/>
      <c r="EC128" s="20"/>
      <c r="ED128" s="20"/>
      <c r="EE128" s="20"/>
      <c r="EF128" s="20"/>
      <c r="EG128" s="20"/>
      <c r="EH128" s="20"/>
      <c r="EI128" s="20"/>
      <c r="EJ128" s="20"/>
      <c r="EK128" s="20"/>
      <c r="EL128" s="20"/>
      <c r="EM128" s="20"/>
      <c r="EN128" s="20"/>
      <c r="EO128" s="20"/>
      <c r="EP128" s="20"/>
      <c r="EQ128" s="20"/>
      <c r="ER128" s="20"/>
      <c r="ES128" s="20"/>
      <c r="ET128" s="20"/>
      <c r="EU128" s="20"/>
      <c r="EV128" s="20"/>
      <c r="EW128" s="20"/>
      <c r="EX128" s="20"/>
      <c r="EY128" s="20"/>
      <c r="EZ128" s="20"/>
      <c r="FA128" s="20"/>
      <c r="FB128" s="20"/>
      <c r="FC128" s="20"/>
      <c r="FD128" s="20"/>
      <c r="FE128" s="20"/>
      <c r="FF128" s="20"/>
      <c r="FG128" s="20"/>
      <c r="FH128" s="20"/>
      <c r="FI128" s="20"/>
      <c r="FJ128" s="20"/>
      <c r="FK128" s="20"/>
      <c r="FL128" s="20"/>
      <c r="FM128" s="20"/>
      <c r="FN128" s="20"/>
      <c r="FO128" s="20"/>
      <c r="FP128" s="20"/>
      <c r="FQ128" s="20"/>
      <c r="FR128" s="20"/>
      <c r="FS128" s="20"/>
      <c r="FT128" s="20"/>
      <c r="FU128" s="20"/>
      <c r="FV128" s="20"/>
      <c r="FW128" s="20"/>
      <c r="FX128" s="20"/>
      <c r="FY128" s="20"/>
      <c r="FZ128" s="20"/>
      <c r="GA128" s="20"/>
      <c r="GB128" s="20"/>
      <c r="GC128" s="20"/>
      <c r="GD128" s="20"/>
      <c r="GE128" s="20"/>
      <c r="GF128" s="20"/>
      <c r="GG128" s="20"/>
      <c r="GH128" s="20"/>
      <c r="GI128" s="20"/>
      <c r="GJ128" s="20"/>
      <c r="GK128" s="20"/>
      <c r="GL128" s="20"/>
      <c r="GM128" s="20"/>
      <c r="GN128" s="20"/>
      <c r="GO128" s="20"/>
      <c r="GP128" s="20"/>
      <c r="GQ128" s="20"/>
      <c r="GR128" s="20"/>
      <c r="GS128" s="20"/>
      <c r="GT128" s="20"/>
      <c r="GU128" s="20"/>
      <c r="GV128" s="20"/>
      <c r="GW128" s="20"/>
      <c r="GX128" s="20"/>
      <c r="GY128" s="20"/>
      <c r="GZ128" s="20"/>
      <c r="HA128" s="20"/>
      <c r="HB128" s="20"/>
      <c r="HC128" s="20"/>
      <c r="HD128" s="20"/>
      <c r="HE128" s="20"/>
      <c r="HF128" s="20"/>
      <c r="HG128" s="20"/>
      <c r="HH128" s="20"/>
      <c r="HI128" s="20"/>
      <c r="HJ128" s="20"/>
      <c r="HK128" s="20"/>
      <c r="HL128" s="20"/>
      <c r="HM128" s="20"/>
      <c r="HN128" s="20"/>
      <c r="HO128" s="20"/>
      <c r="HP128" s="20"/>
      <c r="HQ128" s="20"/>
      <c r="HR128" s="20"/>
      <c r="HS128" s="20"/>
      <c r="HT128" s="20"/>
      <c r="HU128" s="20"/>
      <c r="HV128" s="20"/>
      <c r="HW128" s="20"/>
      <c r="HX128" s="20"/>
      <c r="HY128" s="20"/>
      <c r="HZ128" s="20"/>
      <c r="IA128" s="20"/>
      <c r="IB128" s="20"/>
      <c r="IC128" s="20"/>
      <c r="ID128" s="20"/>
      <c r="IE128" s="20"/>
      <c r="IF128" s="20"/>
      <c r="IG128" s="20"/>
      <c r="IH128" s="20"/>
      <c r="II128" s="20"/>
      <c r="IJ128" s="20"/>
      <c r="IK128" s="20"/>
      <c r="IL128" s="20"/>
      <c r="IM128" s="20"/>
      <c r="IN128" s="20"/>
      <c r="IO128" s="20"/>
      <c r="IP128" s="20"/>
      <c r="IQ128" s="20"/>
      <c r="IR128" s="20"/>
      <c r="IS128" s="20"/>
      <c r="IT128" s="20"/>
      <c r="IU128" s="20"/>
      <c r="IV128" s="20"/>
      <c r="IW128" s="20"/>
      <c r="IX128" s="20"/>
      <c r="IY128" s="20"/>
      <c r="IZ128" s="20"/>
      <c r="JA128" s="20"/>
      <c r="JB128" s="20"/>
      <c r="JC128" s="20"/>
      <c r="JD128" s="20"/>
      <c r="JE128" s="20"/>
      <c r="JF128" s="20"/>
      <c r="JG128" s="20"/>
      <c r="JH128" s="20"/>
      <c r="JI128" s="20"/>
    </row>
    <row r="129" spans="1:269" ht="17.25" customHeight="1">
      <c r="A129" s="101"/>
      <c r="B129" s="20" t="s">
        <v>120</v>
      </c>
      <c r="C129" s="20" t="s">
        <v>147</v>
      </c>
      <c r="D129" s="83">
        <v>1887335</v>
      </c>
      <c r="E129" s="82">
        <v>1E-3</v>
      </c>
      <c r="F129" s="86">
        <v>0.01</v>
      </c>
      <c r="G129" s="29"/>
      <c r="H129" s="83">
        <v>2511</v>
      </c>
      <c r="I129" s="104">
        <v>1244</v>
      </c>
      <c r="J129" s="29"/>
      <c r="K129" s="83">
        <v>18487</v>
      </c>
      <c r="L129" s="104">
        <v>4222</v>
      </c>
      <c r="M129" s="29"/>
      <c r="N129" s="168">
        <v>0.13</v>
      </c>
      <c r="O129" s="168">
        <v>0.09</v>
      </c>
      <c r="P129" s="29"/>
      <c r="Q129" s="85">
        <v>0</v>
      </c>
      <c r="R129" s="14"/>
      <c r="S129" s="15"/>
      <c r="T129" s="104">
        <v>9005</v>
      </c>
      <c r="U129" s="82">
        <v>4.9000000000000002E-2</v>
      </c>
      <c r="V129" s="29"/>
      <c r="W129" s="83">
        <v>18199</v>
      </c>
      <c r="X129" s="86">
        <v>0.03</v>
      </c>
      <c r="Y129" s="29"/>
      <c r="Z129" s="104">
        <v>4009</v>
      </c>
      <c r="AA129" s="82">
        <v>-3.5999999999999997E-2</v>
      </c>
      <c r="AB129" s="29"/>
      <c r="AC129" s="83">
        <v>30571</v>
      </c>
      <c r="AD129" s="82">
        <v>0.112</v>
      </c>
      <c r="AE129" s="29"/>
      <c r="AF129" s="104">
        <v>6778</v>
      </c>
      <c r="AG129" s="120">
        <v>0.10199999999999999</v>
      </c>
      <c r="AH129" s="85">
        <v>4.51</v>
      </c>
      <c r="AI129" s="84">
        <v>62.7</v>
      </c>
      <c r="AJ129" s="170">
        <v>320</v>
      </c>
      <c r="AK129" s="83">
        <v>71</v>
      </c>
      <c r="AL129" s="102">
        <v>25</v>
      </c>
      <c r="AM129" s="29"/>
      <c r="AN129" s="83">
        <v>10826</v>
      </c>
      <c r="AO129" s="83">
        <v>16565</v>
      </c>
      <c r="AP129" s="83">
        <v>3180</v>
      </c>
      <c r="AQ129" s="29"/>
      <c r="AR129" s="104">
        <v>2232</v>
      </c>
      <c r="AS129" s="104">
        <v>3780</v>
      </c>
      <c r="AT129" s="104">
        <v>766</v>
      </c>
      <c r="AU129" s="29"/>
      <c r="AV129" s="83">
        <v>28567</v>
      </c>
      <c r="AW129" s="104">
        <v>6335</v>
      </c>
      <c r="AX129" s="29"/>
      <c r="AY129" s="120">
        <v>0.95699999999999996</v>
      </c>
      <c r="AZ129" s="120">
        <v>1.2E-2</v>
      </c>
      <c r="BA129" s="120">
        <v>1E-3</v>
      </c>
      <c r="BB129" s="86">
        <v>0.03</v>
      </c>
      <c r="BC129" s="29"/>
      <c r="BD129" s="168">
        <v>1</v>
      </c>
      <c r="BE129" s="89"/>
      <c r="BF129" s="94"/>
      <c r="BG129" s="168">
        <v>3</v>
      </c>
      <c r="BH129" s="168" t="s">
        <v>208</v>
      </c>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0"/>
      <c r="DG129" s="20"/>
      <c r="DH129" s="20"/>
      <c r="DI129" s="20"/>
      <c r="DJ129" s="20"/>
      <c r="DK129" s="20"/>
      <c r="DL129" s="20"/>
      <c r="DM129" s="20"/>
      <c r="DN129" s="20"/>
      <c r="DO129" s="20"/>
      <c r="DP129" s="20"/>
      <c r="DQ129" s="20"/>
      <c r="DR129" s="20"/>
      <c r="DS129" s="20"/>
      <c r="DT129" s="20"/>
      <c r="DU129" s="20"/>
      <c r="DV129" s="20"/>
      <c r="DW129" s="20"/>
      <c r="DX129" s="20"/>
      <c r="DY129" s="20"/>
      <c r="DZ129" s="20"/>
      <c r="EA129" s="20"/>
      <c r="EB129" s="20"/>
      <c r="EC129" s="20"/>
      <c r="ED129" s="20"/>
      <c r="EE129" s="20"/>
      <c r="EF129" s="20"/>
      <c r="EG129" s="20"/>
      <c r="EH129" s="20"/>
      <c r="EI129" s="20"/>
      <c r="EJ129" s="20"/>
      <c r="EK129" s="20"/>
      <c r="EL129" s="20"/>
      <c r="EM129" s="20"/>
      <c r="EN129" s="20"/>
      <c r="EO129" s="20"/>
      <c r="EP129" s="20"/>
      <c r="EQ129" s="20"/>
      <c r="ER129" s="20"/>
      <c r="ES129" s="20"/>
      <c r="ET129" s="20"/>
      <c r="EU129" s="20"/>
      <c r="EV129" s="20"/>
      <c r="EW129" s="20"/>
      <c r="EX129" s="20"/>
      <c r="EY129" s="20"/>
      <c r="EZ129" s="20"/>
      <c r="FA129" s="20"/>
      <c r="FB129" s="20"/>
      <c r="FC129" s="20"/>
      <c r="FD129" s="20"/>
      <c r="FE129" s="20"/>
      <c r="FF129" s="20"/>
      <c r="FG129" s="20"/>
      <c r="FH129" s="20"/>
      <c r="FI129" s="20"/>
      <c r="FJ129" s="20"/>
      <c r="FK129" s="20"/>
      <c r="FL129" s="20"/>
      <c r="FM129" s="20"/>
      <c r="FN129" s="20"/>
      <c r="FO129" s="20"/>
      <c r="FP129" s="20"/>
      <c r="FQ129" s="20"/>
      <c r="FR129" s="20"/>
      <c r="FS129" s="20"/>
      <c r="FT129" s="20"/>
      <c r="FU129" s="20"/>
      <c r="FV129" s="20"/>
      <c r="FW129" s="20"/>
      <c r="FX129" s="20"/>
      <c r="FY129" s="20"/>
      <c r="FZ129" s="20"/>
      <c r="GA129" s="20"/>
      <c r="GB129" s="20"/>
      <c r="GC129" s="20"/>
      <c r="GD129" s="20"/>
      <c r="GE129" s="20"/>
      <c r="GF129" s="20"/>
      <c r="GG129" s="20"/>
      <c r="GH129" s="20"/>
      <c r="GI129" s="20"/>
      <c r="GJ129" s="20"/>
      <c r="GK129" s="20"/>
      <c r="GL129" s="20"/>
      <c r="GM129" s="20"/>
      <c r="GN129" s="20"/>
      <c r="GO129" s="20"/>
      <c r="GP129" s="20"/>
      <c r="GQ129" s="20"/>
      <c r="GR129" s="20"/>
      <c r="GS129" s="20"/>
      <c r="GT129" s="20"/>
      <c r="GU129" s="20"/>
      <c r="GV129" s="20"/>
      <c r="GW129" s="20"/>
      <c r="GX129" s="20"/>
      <c r="GY129" s="20"/>
      <c r="GZ129" s="20"/>
      <c r="HA129" s="20"/>
      <c r="HB129" s="20"/>
      <c r="HC129" s="20"/>
      <c r="HD129" s="20"/>
      <c r="HE129" s="20"/>
      <c r="HF129" s="20"/>
      <c r="HG129" s="20"/>
      <c r="HH129" s="20"/>
      <c r="HI129" s="20"/>
      <c r="HJ129" s="20"/>
      <c r="HK129" s="20"/>
      <c r="HL129" s="20"/>
      <c r="HM129" s="20"/>
      <c r="HN129" s="20"/>
      <c r="HO129" s="20"/>
      <c r="HP129" s="20"/>
      <c r="HQ129" s="20"/>
      <c r="HR129" s="20"/>
      <c r="HS129" s="20"/>
      <c r="HT129" s="20"/>
      <c r="HU129" s="20"/>
      <c r="HV129" s="20"/>
      <c r="HW129" s="20"/>
      <c r="HX129" s="20"/>
      <c r="HY129" s="20"/>
      <c r="HZ129" s="20"/>
      <c r="IA129" s="20"/>
      <c r="IB129" s="20"/>
      <c r="IC129" s="20"/>
      <c r="ID129" s="20"/>
      <c r="IE129" s="20"/>
      <c r="IF129" s="20"/>
      <c r="IG129" s="20"/>
      <c r="IH129" s="20"/>
      <c r="II129" s="20"/>
      <c r="IJ129" s="20"/>
      <c r="IK129" s="20"/>
      <c r="IL129" s="20"/>
      <c r="IM129" s="20"/>
      <c r="IN129" s="20"/>
      <c r="IO129" s="20"/>
      <c r="IP129" s="20"/>
      <c r="IQ129" s="20"/>
      <c r="IR129" s="20"/>
      <c r="IS129" s="20"/>
      <c r="IT129" s="20"/>
      <c r="IU129" s="20"/>
      <c r="IV129" s="20"/>
      <c r="IW129" s="20"/>
      <c r="IX129" s="20"/>
      <c r="IY129" s="20"/>
      <c r="IZ129" s="20"/>
      <c r="JA129" s="20"/>
      <c r="JB129" s="20"/>
      <c r="JC129" s="20"/>
      <c r="JD129" s="20"/>
      <c r="JE129" s="20"/>
      <c r="JF129" s="20"/>
      <c r="JG129" s="20"/>
      <c r="JH129" s="20"/>
      <c r="JI129" s="20"/>
    </row>
    <row r="130" spans="1:269" ht="17.25" customHeight="1">
      <c r="A130" s="101"/>
      <c r="B130" s="20" t="s">
        <v>119</v>
      </c>
      <c r="C130" s="20" t="s">
        <v>145</v>
      </c>
      <c r="D130" s="83">
        <v>1888314</v>
      </c>
      <c r="E130" s="82">
        <v>1E-3</v>
      </c>
      <c r="F130" s="86">
        <v>0.01</v>
      </c>
      <c r="G130" s="29"/>
      <c r="H130" s="83">
        <v>2512</v>
      </c>
      <c r="I130" s="104">
        <v>1231</v>
      </c>
      <c r="J130" s="29"/>
      <c r="K130" s="83">
        <v>18280</v>
      </c>
      <c r="L130" s="104">
        <v>4200</v>
      </c>
      <c r="M130" s="29"/>
      <c r="N130" s="194">
        <v>0.13</v>
      </c>
      <c r="O130" s="194">
        <v>0.09</v>
      </c>
      <c r="P130" s="29"/>
      <c r="Q130" s="85">
        <v>0</v>
      </c>
      <c r="R130" s="14"/>
      <c r="S130" s="15"/>
      <c r="T130" s="104">
        <v>8405</v>
      </c>
      <c r="U130" s="82">
        <v>-6.7000000000000004E-2</v>
      </c>
      <c r="V130" s="29"/>
      <c r="W130" s="83">
        <v>19019</v>
      </c>
      <c r="X130" s="82">
        <v>4.4999999999999998E-2</v>
      </c>
      <c r="Y130" s="29"/>
      <c r="Z130" s="104">
        <v>4246</v>
      </c>
      <c r="AA130" s="82">
        <v>5.8999999999999997E-2</v>
      </c>
      <c r="AB130" s="29"/>
      <c r="AC130" s="83">
        <v>28656</v>
      </c>
      <c r="AD130" s="82">
        <v>-6.3E-2</v>
      </c>
      <c r="AE130" s="29"/>
      <c r="AF130" s="104">
        <v>6219</v>
      </c>
      <c r="AG130" s="120">
        <v>-8.2000000000000003E-2</v>
      </c>
      <c r="AH130" s="85">
        <v>4.6100000000000003</v>
      </c>
      <c r="AI130" s="84">
        <v>62.4</v>
      </c>
      <c r="AJ130" s="194">
        <v>316</v>
      </c>
      <c r="AK130" s="83">
        <v>83</v>
      </c>
      <c r="AL130" s="102">
        <v>22</v>
      </c>
      <c r="AM130" s="29"/>
      <c r="AN130" s="83">
        <v>10745</v>
      </c>
      <c r="AO130" s="83">
        <v>14602</v>
      </c>
      <c r="AP130" s="83">
        <v>3310</v>
      </c>
      <c r="AQ130" s="29"/>
      <c r="AR130" s="104">
        <v>2205</v>
      </c>
      <c r="AS130" s="104">
        <v>3301</v>
      </c>
      <c r="AT130" s="104">
        <v>713</v>
      </c>
      <c r="AU130" s="29"/>
      <c r="AV130" s="83">
        <v>27054</v>
      </c>
      <c r="AW130" s="104">
        <v>5842</v>
      </c>
      <c r="AX130" s="29"/>
      <c r="AY130" s="120">
        <v>0.94399999999999995</v>
      </c>
      <c r="AZ130" s="120">
        <v>1.2999999999999999E-2</v>
      </c>
      <c r="BA130" s="120">
        <v>1E-3</v>
      </c>
      <c r="BB130" s="82">
        <v>4.2999999999999997E-2</v>
      </c>
      <c r="BC130" s="29"/>
      <c r="BD130" s="194">
        <v>1</v>
      </c>
      <c r="BE130" s="89"/>
      <c r="BF130" s="94"/>
      <c r="BG130" s="194">
        <v>4</v>
      </c>
      <c r="BH130" s="194" t="s">
        <v>208</v>
      </c>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c r="DB130" s="20"/>
      <c r="DC130" s="20"/>
      <c r="DD130" s="20"/>
      <c r="DE130" s="20"/>
      <c r="DF130" s="20"/>
      <c r="DG130" s="20"/>
      <c r="DH130" s="20"/>
      <c r="DI130" s="20"/>
      <c r="DJ130" s="20"/>
      <c r="DK130" s="20"/>
      <c r="DL130" s="20"/>
      <c r="DM130" s="20"/>
      <c r="DN130" s="20"/>
      <c r="DO130" s="20"/>
      <c r="DP130" s="20"/>
      <c r="DQ130" s="20"/>
      <c r="DR130" s="20"/>
      <c r="DS130" s="20"/>
      <c r="DT130" s="20"/>
      <c r="DU130" s="20"/>
      <c r="DV130" s="20"/>
      <c r="DW130" s="20"/>
      <c r="DX130" s="20"/>
      <c r="DY130" s="20"/>
      <c r="DZ130" s="20"/>
      <c r="EA130" s="20"/>
      <c r="EB130" s="20"/>
      <c r="EC130" s="20"/>
      <c r="ED130" s="20"/>
      <c r="EE130" s="20"/>
      <c r="EF130" s="20"/>
      <c r="EG130" s="20"/>
      <c r="EH130" s="20"/>
      <c r="EI130" s="20"/>
      <c r="EJ130" s="20"/>
      <c r="EK130" s="20"/>
      <c r="EL130" s="20"/>
      <c r="EM130" s="20"/>
      <c r="EN130" s="20"/>
      <c r="EO130" s="20"/>
      <c r="EP130" s="20"/>
      <c r="EQ130" s="20"/>
      <c r="ER130" s="20"/>
      <c r="ES130" s="20"/>
      <c r="ET130" s="20"/>
      <c r="EU130" s="20"/>
      <c r="EV130" s="20"/>
      <c r="EW130" s="20"/>
      <c r="EX130" s="20"/>
      <c r="EY130" s="20"/>
      <c r="EZ130" s="20"/>
      <c r="FA130" s="20"/>
      <c r="FB130" s="20"/>
      <c r="FC130" s="20"/>
      <c r="FD130" s="20"/>
      <c r="FE130" s="20"/>
      <c r="FF130" s="20"/>
      <c r="FG130" s="20"/>
      <c r="FH130" s="20"/>
      <c r="FI130" s="20"/>
      <c r="FJ130" s="20"/>
      <c r="FK130" s="20"/>
      <c r="FL130" s="20"/>
      <c r="FM130" s="20"/>
      <c r="FN130" s="20"/>
      <c r="FO130" s="20"/>
      <c r="FP130" s="20"/>
      <c r="FQ130" s="20"/>
      <c r="FR130" s="20"/>
      <c r="FS130" s="20"/>
      <c r="FT130" s="20"/>
      <c r="FU130" s="20"/>
      <c r="FV130" s="20"/>
      <c r="FW130" s="20"/>
      <c r="FX130" s="20"/>
      <c r="FY130" s="20"/>
      <c r="FZ130" s="20"/>
      <c r="GA130" s="20"/>
      <c r="GB130" s="20"/>
      <c r="GC130" s="20"/>
      <c r="GD130" s="20"/>
      <c r="GE130" s="20"/>
      <c r="GF130" s="20"/>
      <c r="GG130" s="20"/>
      <c r="GH130" s="20"/>
      <c r="GI130" s="20"/>
      <c r="GJ130" s="20"/>
      <c r="GK130" s="20"/>
      <c r="GL130" s="20"/>
      <c r="GM130" s="20"/>
      <c r="GN130" s="20"/>
      <c r="GO130" s="20"/>
      <c r="GP130" s="20"/>
      <c r="GQ130" s="20"/>
      <c r="GR130" s="20"/>
      <c r="GS130" s="20"/>
      <c r="GT130" s="20"/>
      <c r="GU130" s="20"/>
      <c r="GV130" s="20"/>
      <c r="GW130" s="20"/>
      <c r="GX130" s="20"/>
      <c r="GY130" s="20"/>
      <c r="GZ130" s="20"/>
      <c r="HA130" s="20"/>
      <c r="HB130" s="20"/>
      <c r="HC130" s="20"/>
      <c r="HD130" s="20"/>
      <c r="HE130" s="20"/>
      <c r="HF130" s="20"/>
      <c r="HG130" s="20"/>
      <c r="HH130" s="20"/>
      <c r="HI130" s="20"/>
      <c r="HJ130" s="20"/>
      <c r="HK130" s="20"/>
      <c r="HL130" s="20"/>
      <c r="HM130" s="20"/>
      <c r="HN130" s="20"/>
      <c r="HO130" s="20"/>
      <c r="HP130" s="20"/>
      <c r="HQ130" s="20"/>
      <c r="HR130" s="20"/>
      <c r="HS130" s="20"/>
      <c r="HT130" s="20"/>
      <c r="HU130" s="20"/>
      <c r="HV130" s="20"/>
      <c r="HW130" s="20"/>
      <c r="HX130" s="20"/>
      <c r="HY130" s="20"/>
      <c r="HZ130" s="20"/>
      <c r="IA130" s="20"/>
      <c r="IB130" s="20"/>
      <c r="IC130" s="20"/>
      <c r="ID130" s="20"/>
      <c r="IE130" s="20"/>
      <c r="IF130" s="20"/>
      <c r="IG130" s="20"/>
      <c r="IH130" s="20"/>
      <c r="II130" s="20"/>
      <c r="IJ130" s="20"/>
      <c r="IK130" s="20"/>
      <c r="IL130" s="20"/>
      <c r="IM130" s="20"/>
      <c r="IN130" s="20"/>
      <c r="IO130" s="20"/>
      <c r="IP130" s="20"/>
      <c r="IQ130" s="20"/>
      <c r="IR130" s="20"/>
      <c r="IS130" s="20"/>
      <c r="IT130" s="20"/>
      <c r="IU130" s="20"/>
      <c r="IV130" s="20"/>
      <c r="IW130" s="20"/>
      <c r="IX130" s="20"/>
      <c r="IY130" s="20"/>
      <c r="IZ130" s="20"/>
      <c r="JA130" s="20"/>
      <c r="JB130" s="20"/>
      <c r="JC130" s="20"/>
      <c r="JD130" s="20"/>
      <c r="JE130" s="20"/>
      <c r="JF130" s="20"/>
      <c r="JG130" s="20"/>
      <c r="JH130" s="20"/>
      <c r="JI130" s="20"/>
    </row>
    <row r="131" spans="1:269" ht="17.25" customHeight="1">
      <c r="A131" s="101"/>
      <c r="B131" s="20" t="s">
        <v>118</v>
      </c>
      <c r="C131" s="20" t="s">
        <v>143</v>
      </c>
      <c r="D131" s="83">
        <v>1891402</v>
      </c>
      <c r="E131" s="82">
        <v>2E-3</v>
      </c>
      <c r="F131" s="86">
        <v>0.01</v>
      </c>
      <c r="G131" s="29"/>
      <c r="H131" s="83">
        <v>2490</v>
      </c>
      <c r="I131" s="104">
        <v>1226</v>
      </c>
      <c r="J131" s="29"/>
      <c r="K131" s="83">
        <v>18049</v>
      </c>
      <c r="L131" s="104">
        <v>4175</v>
      </c>
      <c r="M131" s="29"/>
      <c r="N131" s="195">
        <v>0.13</v>
      </c>
      <c r="O131" s="195">
        <v>0.09</v>
      </c>
      <c r="P131" s="29"/>
      <c r="Q131" s="85">
        <v>0</v>
      </c>
      <c r="R131" s="14"/>
      <c r="S131" s="15"/>
      <c r="T131" s="104">
        <v>8316</v>
      </c>
      <c r="U131" s="82">
        <v>-1.0999999999999999E-2</v>
      </c>
      <c r="V131" s="29"/>
      <c r="W131" s="83">
        <v>20857</v>
      </c>
      <c r="X131" s="82">
        <v>9.7000000000000003E-2</v>
      </c>
      <c r="Y131" s="29"/>
      <c r="Z131" s="104">
        <v>4825</v>
      </c>
      <c r="AA131" s="82">
        <v>0.13600000000000001</v>
      </c>
      <c r="AB131" s="29"/>
      <c r="AC131" s="83">
        <v>31353</v>
      </c>
      <c r="AD131" s="82">
        <v>9.4E-2</v>
      </c>
      <c r="AE131" s="29"/>
      <c r="AF131" s="104">
        <v>6569</v>
      </c>
      <c r="AG131" s="120">
        <v>5.6000000000000001E-2</v>
      </c>
      <c r="AH131" s="85">
        <v>4.7699999999999996</v>
      </c>
      <c r="AI131" s="84">
        <v>62.2</v>
      </c>
      <c r="AJ131" s="195">
        <v>320</v>
      </c>
      <c r="AK131" s="83">
        <v>52</v>
      </c>
      <c r="AL131" s="102">
        <v>21</v>
      </c>
      <c r="AM131" s="29"/>
      <c r="AN131" s="83">
        <v>12623</v>
      </c>
      <c r="AO131" s="83">
        <v>15497</v>
      </c>
      <c r="AP131" s="83">
        <v>3232</v>
      </c>
      <c r="AQ131" s="29"/>
      <c r="AR131" s="104">
        <v>2430</v>
      </c>
      <c r="AS131" s="104">
        <v>3486</v>
      </c>
      <c r="AT131" s="104">
        <v>653</v>
      </c>
      <c r="AU131" s="29"/>
      <c r="AV131" s="83">
        <v>28986</v>
      </c>
      <c r="AW131" s="104">
        <v>6037</v>
      </c>
      <c r="AX131" s="29"/>
      <c r="AY131" s="120">
        <v>0.92600000000000005</v>
      </c>
      <c r="AZ131" s="120">
        <v>1.4999999999999999E-2</v>
      </c>
      <c r="BA131" s="120">
        <v>2.5999999999999999E-2</v>
      </c>
      <c r="BB131" s="82">
        <v>3.2000000000000001E-2</v>
      </c>
      <c r="BC131" s="29"/>
      <c r="BD131" s="195">
        <v>1</v>
      </c>
      <c r="BE131" s="89"/>
      <c r="BF131" s="94"/>
      <c r="BG131" s="195">
        <v>5</v>
      </c>
      <c r="BH131" s="195" t="s">
        <v>208</v>
      </c>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c r="GH131" s="20"/>
      <c r="GI131" s="20"/>
      <c r="GJ131" s="20"/>
      <c r="GK131" s="20"/>
      <c r="GL131" s="20"/>
      <c r="GM131" s="20"/>
      <c r="GN131" s="20"/>
      <c r="GO131" s="20"/>
      <c r="GP131" s="20"/>
      <c r="GQ131" s="20"/>
      <c r="GR131" s="20"/>
      <c r="GS131" s="20"/>
      <c r="GT131" s="20"/>
      <c r="GU131" s="20"/>
      <c r="GV131" s="20"/>
      <c r="GW131" s="20"/>
      <c r="GX131" s="20"/>
      <c r="GY131" s="20"/>
      <c r="GZ131" s="20"/>
      <c r="HA131" s="20"/>
      <c r="HB131" s="20"/>
      <c r="HC131" s="20"/>
      <c r="HD131" s="20"/>
      <c r="HE131" s="20"/>
      <c r="HF131" s="20"/>
      <c r="HG131" s="20"/>
      <c r="HH131" s="20"/>
      <c r="HI131" s="20"/>
      <c r="HJ131" s="20"/>
      <c r="HK131" s="20"/>
      <c r="HL131" s="20"/>
      <c r="HM131" s="20"/>
      <c r="HN131" s="20"/>
      <c r="HO131" s="20"/>
      <c r="HP131" s="20"/>
      <c r="HQ131" s="20"/>
      <c r="HR131" s="20"/>
      <c r="HS131" s="20"/>
      <c r="HT131" s="20"/>
      <c r="HU131" s="20"/>
      <c r="HV131" s="20"/>
      <c r="HW131" s="20"/>
      <c r="HX131" s="20"/>
      <c r="HY131" s="20"/>
      <c r="HZ131" s="20"/>
      <c r="IA131" s="20"/>
      <c r="IB131" s="20"/>
      <c r="IC131" s="20"/>
      <c r="ID131" s="20"/>
      <c r="IE131" s="20"/>
      <c r="IF131" s="20"/>
      <c r="IG131" s="20"/>
      <c r="IH131" s="20"/>
      <c r="II131" s="20"/>
      <c r="IJ131" s="20"/>
      <c r="IK131" s="20"/>
      <c r="IL131" s="20"/>
      <c r="IM131" s="20"/>
      <c r="IN131" s="20"/>
      <c r="IO131" s="20"/>
      <c r="IP131" s="20"/>
      <c r="IQ131" s="20"/>
      <c r="IR131" s="20"/>
      <c r="IS131" s="20"/>
      <c r="IT131" s="20"/>
      <c r="IU131" s="20"/>
      <c r="IV131" s="20"/>
      <c r="IW131" s="20"/>
      <c r="IX131" s="20"/>
      <c r="IY131" s="20"/>
      <c r="IZ131" s="20"/>
      <c r="JA131" s="20"/>
      <c r="JB131" s="20"/>
      <c r="JC131" s="20"/>
      <c r="JD131" s="20"/>
      <c r="JE131" s="20"/>
      <c r="JF131" s="20"/>
      <c r="JG131" s="20"/>
      <c r="JH131" s="20"/>
      <c r="JI131" s="20"/>
    </row>
    <row r="132" spans="1:269" ht="17.25" customHeight="1">
      <c r="A132" s="101"/>
      <c r="B132" s="20" t="s">
        <v>117</v>
      </c>
      <c r="C132" s="20" t="s">
        <v>141</v>
      </c>
      <c r="D132" s="83">
        <v>1907407</v>
      </c>
      <c r="E132" s="82">
        <v>8.0000000000000002E-3</v>
      </c>
      <c r="F132" s="82">
        <v>1.7999999999999999E-2</v>
      </c>
      <c r="G132" s="29"/>
      <c r="H132" s="83">
        <v>2475</v>
      </c>
      <c r="I132" s="104">
        <v>1212</v>
      </c>
      <c r="J132" s="29"/>
      <c r="K132" s="83">
        <v>17810</v>
      </c>
      <c r="L132" s="104">
        <v>4127</v>
      </c>
      <c r="M132" s="29"/>
      <c r="N132" s="196">
        <v>0.13</v>
      </c>
      <c r="O132" s="196">
        <v>0.09</v>
      </c>
      <c r="P132" s="29"/>
      <c r="Q132" s="85">
        <v>0</v>
      </c>
      <c r="R132" s="14"/>
      <c r="S132" s="15"/>
      <c r="T132" s="104">
        <v>8255</v>
      </c>
      <c r="U132" s="82">
        <v>-7.0000000000000001E-3</v>
      </c>
      <c r="V132" s="29"/>
      <c r="W132" s="83">
        <v>20136</v>
      </c>
      <c r="X132" s="82">
        <v>-3.5000000000000003E-2</v>
      </c>
      <c r="Y132" s="29"/>
      <c r="Z132" s="104">
        <v>4374</v>
      </c>
      <c r="AA132" s="82">
        <v>-9.2999999999999999E-2</v>
      </c>
      <c r="AB132" s="29"/>
      <c r="AC132" s="83">
        <v>31342</v>
      </c>
      <c r="AD132" s="197">
        <v>0</v>
      </c>
      <c r="AE132" s="29"/>
      <c r="AF132" s="104">
        <v>6305</v>
      </c>
      <c r="AG132" s="121">
        <v>-0.04</v>
      </c>
      <c r="AH132" s="85">
        <v>4.97</v>
      </c>
      <c r="AI132" s="84">
        <v>61.5</v>
      </c>
      <c r="AJ132" s="196">
        <v>319</v>
      </c>
      <c r="AK132" s="83">
        <v>100</v>
      </c>
      <c r="AL132" s="102">
        <v>28</v>
      </c>
      <c r="AM132" s="29"/>
      <c r="AN132" s="83">
        <v>12363</v>
      </c>
      <c r="AO132" s="83">
        <v>16018</v>
      </c>
      <c r="AP132" s="83">
        <v>2962</v>
      </c>
      <c r="AQ132" s="29"/>
      <c r="AR132" s="104">
        <v>2225</v>
      </c>
      <c r="AS132" s="104">
        <v>3459</v>
      </c>
      <c r="AT132" s="104">
        <v>621</v>
      </c>
      <c r="AU132" s="29"/>
      <c r="AV132" s="83">
        <v>29568</v>
      </c>
      <c r="AW132" s="104">
        <v>5902</v>
      </c>
      <c r="AX132" s="29"/>
      <c r="AY132" s="120">
        <v>0.91900000000000004</v>
      </c>
      <c r="AZ132" s="120">
        <v>1.2999999999999999E-2</v>
      </c>
      <c r="BA132" s="120">
        <v>3.6999999999999998E-2</v>
      </c>
      <c r="BB132" s="82">
        <v>3.1E-2</v>
      </c>
      <c r="BC132" s="29"/>
      <c r="BD132" s="196">
        <v>1</v>
      </c>
      <c r="BE132" s="89"/>
      <c r="BF132" s="94"/>
      <c r="BG132" s="196">
        <v>5</v>
      </c>
      <c r="BH132" s="196" t="s">
        <v>208</v>
      </c>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c r="DB132" s="20"/>
      <c r="DC132" s="20"/>
      <c r="DD132" s="20"/>
      <c r="DE132" s="20"/>
      <c r="DF132" s="20"/>
      <c r="DG132" s="20"/>
      <c r="DH132" s="20"/>
      <c r="DI132" s="20"/>
      <c r="DJ132" s="20"/>
      <c r="DK132" s="20"/>
      <c r="DL132" s="20"/>
      <c r="DM132" s="20"/>
      <c r="DN132" s="20"/>
      <c r="DO132" s="20"/>
      <c r="DP132" s="20"/>
      <c r="DQ132" s="20"/>
      <c r="DR132" s="20"/>
      <c r="DS132" s="20"/>
      <c r="DT132" s="20"/>
      <c r="DU132" s="20"/>
      <c r="DV132" s="20"/>
      <c r="DW132" s="20"/>
      <c r="DX132" s="20"/>
      <c r="DY132" s="20"/>
      <c r="DZ132" s="20"/>
      <c r="EA132" s="20"/>
      <c r="EB132" s="20"/>
      <c r="EC132" s="20"/>
      <c r="ED132" s="20"/>
      <c r="EE132" s="20"/>
      <c r="EF132" s="20"/>
      <c r="EG132" s="20"/>
      <c r="EH132" s="20"/>
      <c r="EI132" s="20"/>
      <c r="EJ132" s="20"/>
      <c r="EK132" s="20"/>
      <c r="EL132" s="20"/>
      <c r="EM132" s="20"/>
      <c r="EN132" s="20"/>
      <c r="EO132" s="20"/>
      <c r="EP132" s="20"/>
      <c r="EQ132" s="20"/>
      <c r="ER132" s="20"/>
      <c r="ES132" s="20"/>
      <c r="ET132" s="20"/>
      <c r="EU132" s="20"/>
      <c r="EV132" s="20"/>
      <c r="EW132" s="20"/>
      <c r="EX132" s="20"/>
      <c r="EY132" s="20"/>
      <c r="EZ132" s="20"/>
      <c r="FA132" s="20"/>
      <c r="FB132" s="20"/>
      <c r="FC132" s="20"/>
      <c r="FD132" s="20"/>
      <c r="FE132" s="20"/>
      <c r="FF132" s="20"/>
      <c r="FG132" s="20"/>
      <c r="FH132" s="20"/>
      <c r="FI132" s="20"/>
      <c r="FJ132" s="20"/>
      <c r="FK132" s="20"/>
      <c r="FL132" s="20"/>
      <c r="FM132" s="20"/>
      <c r="FN132" s="20"/>
      <c r="FO132" s="20"/>
      <c r="FP132" s="20"/>
      <c r="FQ132" s="20"/>
      <c r="FR132" s="20"/>
      <c r="FS132" s="20"/>
      <c r="FT132" s="20"/>
      <c r="FU132" s="20"/>
      <c r="FV132" s="20"/>
      <c r="FW132" s="20"/>
      <c r="FX132" s="20"/>
      <c r="FY132" s="20"/>
      <c r="FZ132" s="20"/>
      <c r="GA132" s="20"/>
      <c r="GB132" s="20"/>
      <c r="GC132" s="20"/>
      <c r="GD132" s="20"/>
      <c r="GE132" s="20"/>
      <c r="GF132" s="20"/>
      <c r="GG132" s="20"/>
      <c r="GH132" s="20"/>
      <c r="GI132" s="20"/>
      <c r="GJ132" s="20"/>
      <c r="GK132" s="20"/>
      <c r="GL132" s="20"/>
      <c r="GM132" s="20"/>
      <c r="GN132" s="20"/>
      <c r="GO132" s="20"/>
      <c r="GP132" s="20"/>
      <c r="GQ132" s="20"/>
      <c r="GR132" s="20"/>
      <c r="GS132" s="20"/>
      <c r="GT132" s="20"/>
      <c r="GU132" s="20"/>
      <c r="GV132" s="20"/>
      <c r="GW132" s="20"/>
      <c r="GX132" s="20"/>
      <c r="GY132" s="20"/>
      <c r="GZ132" s="20"/>
      <c r="HA132" s="20"/>
      <c r="HB132" s="20"/>
      <c r="HC132" s="20"/>
      <c r="HD132" s="20"/>
      <c r="HE132" s="20"/>
      <c r="HF132" s="20"/>
      <c r="HG132" s="20"/>
      <c r="HH132" s="20"/>
      <c r="HI132" s="20"/>
      <c r="HJ132" s="20"/>
      <c r="HK132" s="20"/>
      <c r="HL132" s="20"/>
      <c r="HM132" s="20"/>
      <c r="HN132" s="20"/>
      <c r="HO132" s="20"/>
      <c r="HP132" s="20"/>
      <c r="HQ132" s="20"/>
      <c r="HR132" s="20"/>
      <c r="HS132" s="20"/>
      <c r="HT132" s="20"/>
      <c r="HU132" s="20"/>
      <c r="HV132" s="20"/>
      <c r="HW132" s="20"/>
      <c r="HX132" s="20"/>
      <c r="HY132" s="20"/>
      <c r="HZ132" s="20"/>
      <c r="IA132" s="20"/>
      <c r="IB132" s="20"/>
      <c r="IC132" s="20"/>
      <c r="ID132" s="20"/>
      <c r="IE132" s="20"/>
      <c r="IF132" s="20"/>
      <c r="IG132" s="20"/>
      <c r="IH132" s="20"/>
      <c r="II132" s="20"/>
      <c r="IJ132" s="20"/>
      <c r="IK132" s="20"/>
      <c r="IL132" s="20"/>
      <c r="IM132" s="20"/>
      <c r="IN132" s="20"/>
      <c r="IO132" s="20"/>
      <c r="IP132" s="20"/>
      <c r="IQ132" s="20"/>
      <c r="IR132" s="20"/>
      <c r="IS132" s="20"/>
      <c r="IT132" s="20"/>
      <c r="IU132" s="20"/>
      <c r="IV132" s="20"/>
      <c r="IW132" s="20"/>
      <c r="IX132" s="20"/>
      <c r="IY132" s="20"/>
      <c r="IZ132" s="20"/>
      <c r="JA132" s="20"/>
      <c r="JB132" s="20"/>
      <c r="JC132" s="20"/>
      <c r="JD132" s="20"/>
      <c r="JE132" s="20"/>
      <c r="JF132" s="20"/>
      <c r="JG132" s="20"/>
      <c r="JH132" s="20"/>
      <c r="JI132" s="20"/>
    </row>
    <row r="133" spans="1:269" ht="17.25" customHeight="1">
      <c r="A133" s="101"/>
      <c r="B133" s="20" t="s">
        <v>116</v>
      </c>
      <c r="C133" s="20" t="s">
        <v>139</v>
      </c>
      <c r="D133" s="83">
        <v>1913539</v>
      </c>
      <c r="E133" s="82">
        <v>3.0000000000000001E-3</v>
      </c>
      <c r="F133" s="82">
        <v>2.3E-2</v>
      </c>
      <c r="G133" s="29"/>
      <c r="H133" s="83">
        <v>2446</v>
      </c>
      <c r="I133" s="104">
        <v>1200</v>
      </c>
      <c r="J133" s="29"/>
      <c r="K133" s="83">
        <v>17681</v>
      </c>
      <c r="L133" s="104">
        <v>4114</v>
      </c>
      <c r="M133" s="29"/>
      <c r="N133" s="198">
        <v>0.14000000000000001</v>
      </c>
      <c r="O133" s="85">
        <v>0.1</v>
      </c>
      <c r="P133" s="29"/>
      <c r="Q133" s="85">
        <v>0</v>
      </c>
      <c r="R133" s="14"/>
      <c r="S133" s="15"/>
      <c r="T133" s="104">
        <v>8019</v>
      </c>
      <c r="U133" s="82">
        <v>-2.9000000000000001E-2</v>
      </c>
      <c r="V133" s="29"/>
      <c r="W133" s="83">
        <v>19681</v>
      </c>
      <c r="X133" s="82">
        <v>-2.3E-2</v>
      </c>
      <c r="Y133" s="29"/>
      <c r="Z133" s="104">
        <v>4156</v>
      </c>
      <c r="AA133" s="86">
        <v>-0.05</v>
      </c>
      <c r="AB133" s="29"/>
      <c r="AC133" s="83">
        <v>29134</v>
      </c>
      <c r="AD133" s="86">
        <v>-7.0000000000000007E-2</v>
      </c>
      <c r="AE133" s="29"/>
      <c r="AF133" s="104">
        <v>5851</v>
      </c>
      <c r="AG133" s="120">
        <v>-7.1999999999999995E-2</v>
      </c>
      <c r="AH133" s="85">
        <v>4.9800000000000004</v>
      </c>
      <c r="AI133" s="84">
        <v>61.1</v>
      </c>
      <c r="AJ133" s="198">
        <v>318</v>
      </c>
      <c r="AK133" s="83">
        <v>85</v>
      </c>
      <c r="AL133" s="102">
        <v>29</v>
      </c>
      <c r="AM133" s="29"/>
      <c r="AN133" s="83">
        <v>10810</v>
      </c>
      <c r="AO133" s="83">
        <v>15645</v>
      </c>
      <c r="AP133" s="83">
        <v>2679</v>
      </c>
      <c r="AQ133" s="29"/>
      <c r="AR133" s="104">
        <v>1865</v>
      </c>
      <c r="AS133" s="104">
        <v>3364</v>
      </c>
      <c r="AT133" s="104">
        <v>622</v>
      </c>
      <c r="AU133" s="29"/>
      <c r="AV133" s="83">
        <v>27340</v>
      </c>
      <c r="AW133" s="104">
        <v>5479</v>
      </c>
      <c r="AX133" s="29"/>
      <c r="AY133" s="120">
        <v>0.90700000000000003</v>
      </c>
      <c r="AZ133" s="120">
        <v>1.0999999999999999E-2</v>
      </c>
      <c r="BA133" s="120">
        <v>4.3999999999999997E-2</v>
      </c>
      <c r="BB133" s="82">
        <v>3.7999999999999999E-2</v>
      </c>
      <c r="BC133" s="29"/>
      <c r="BD133" s="198">
        <v>1</v>
      </c>
      <c r="BE133" s="89"/>
      <c r="BF133" s="94"/>
      <c r="BG133" s="198">
        <v>6</v>
      </c>
      <c r="BH133" s="198" t="s">
        <v>208</v>
      </c>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0"/>
      <c r="DG133" s="20"/>
      <c r="DH133" s="20"/>
      <c r="DI133" s="20"/>
      <c r="DJ133" s="20"/>
      <c r="DK133" s="20"/>
      <c r="DL133" s="20"/>
      <c r="DM133" s="20"/>
      <c r="DN133" s="20"/>
      <c r="DO133" s="20"/>
      <c r="DP133" s="20"/>
      <c r="DQ133" s="20"/>
      <c r="DR133" s="20"/>
      <c r="DS133" s="20"/>
      <c r="DT133" s="20"/>
      <c r="DU133" s="20"/>
      <c r="DV133" s="20"/>
      <c r="DW133" s="20"/>
      <c r="DX133" s="20"/>
      <c r="DY133" s="20"/>
      <c r="DZ133" s="20"/>
      <c r="EA133" s="20"/>
      <c r="EB133" s="20"/>
      <c r="EC133" s="20"/>
      <c r="ED133" s="20"/>
      <c r="EE133" s="20"/>
      <c r="EF133" s="20"/>
      <c r="EG133" s="20"/>
      <c r="EH133" s="20"/>
      <c r="EI133" s="20"/>
      <c r="EJ133" s="20"/>
      <c r="EK133" s="20"/>
      <c r="EL133" s="20"/>
      <c r="EM133" s="20"/>
      <c r="EN133" s="20"/>
      <c r="EO133" s="20"/>
      <c r="EP133" s="20"/>
      <c r="EQ133" s="20"/>
      <c r="ER133" s="20"/>
      <c r="ES133" s="20"/>
      <c r="ET133" s="20"/>
      <c r="EU133" s="20"/>
      <c r="EV133" s="20"/>
      <c r="EW133" s="20"/>
      <c r="EX133" s="20"/>
      <c r="EY133" s="20"/>
      <c r="EZ133" s="20"/>
      <c r="FA133" s="20"/>
      <c r="FB133" s="20"/>
      <c r="FC133" s="20"/>
      <c r="FD133" s="20"/>
      <c r="FE133" s="20"/>
      <c r="FF133" s="20"/>
      <c r="FG133" s="20"/>
      <c r="FH133" s="20"/>
      <c r="FI133" s="20"/>
      <c r="FJ133" s="20"/>
      <c r="FK133" s="20"/>
      <c r="FL133" s="20"/>
      <c r="FM133" s="20"/>
      <c r="FN133" s="20"/>
      <c r="FO133" s="20"/>
      <c r="FP133" s="20"/>
      <c r="FQ133" s="20"/>
      <c r="FR133" s="20"/>
      <c r="FS133" s="20"/>
      <c r="FT133" s="20"/>
      <c r="FU133" s="20"/>
      <c r="FV133" s="20"/>
      <c r="FW133" s="20"/>
      <c r="FX133" s="20"/>
      <c r="FY133" s="20"/>
      <c r="FZ133" s="20"/>
      <c r="GA133" s="20"/>
      <c r="GB133" s="20"/>
      <c r="GC133" s="20"/>
      <c r="GD133" s="20"/>
      <c r="GE133" s="20"/>
      <c r="GF133" s="20"/>
      <c r="GG133" s="20"/>
      <c r="GH133" s="20"/>
      <c r="GI133" s="20"/>
      <c r="GJ133" s="20"/>
      <c r="GK133" s="20"/>
      <c r="GL133" s="20"/>
      <c r="GM133" s="20"/>
      <c r="GN133" s="20"/>
      <c r="GO133" s="20"/>
      <c r="GP133" s="20"/>
      <c r="GQ133" s="20"/>
      <c r="GR133" s="20"/>
      <c r="GS133" s="20"/>
      <c r="GT133" s="20"/>
      <c r="GU133" s="20"/>
      <c r="GV133" s="20"/>
      <c r="GW133" s="20"/>
      <c r="GX133" s="20"/>
      <c r="GY133" s="20"/>
      <c r="GZ133" s="20"/>
      <c r="HA133" s="20"/>
      <c r="HB133" s="20"/>
      <c r="HC133" s="20"/>
      <c r="HD133" s="20"/>
      <c r="HE133" s="20"/>
      <c r="HF133" s="20"/>
      <c r="HG133" s="20"/>
      <c r="HH133" s="20"/>
      <c r="HI133" s="20"/>
      <c r="HJ133" s="20"/>
      <c r="HK133" s="20"/>
      <c r="HL133" s="20"/>
      <c r="HM133" s="20"/>
      <c r="HN133" s="20"/>
      <c r="HO133" s="20"/>
      <c r="HP133" s="20"/>
      <c r="HQ133" s="20"/>
      <c r="HR133" s="20"/>
      <c r="HS133" s="20"/>
      <c r="HT133" s="20"/>
      <c r="HU133" s="20"/>
      <c r="HV133" s="20"/>
      <c r="HW133" s="20"/>
      <c r="HX133" s="20"/>
      <c r="HY133" s="20"/>
      <c r="HZ133" s="20"/>
      <c r="IA133" s="20"/>
      <c r="IB133" s="20"/>
      <c r="IC133" s="20"/>
      <c r="ID133" s="20"/>
      <c r="IE133" s="20"/>
      <c r="IF133" s="20"/>
      <c r="IG133" s="20"/>
      <c r="IH133" s="20"/>
      <c r="II133" s="20"/>
      <c r="IJ133" s="20"/>
      <c r="IK133" s="20"/>
      <c r="IL133" s="20"/>
      <c r="IM133" s="20"/>
      <c r="IN133" s="20"/>
      <c r="IO133" s="20"/>
      <c r="IP133" s="20"/>
      <c r="IQ133" s="20"/>
      <c r="IR133" s="20"/>
      <c r="IS133" s="20"/>
      <c r="IT133" s="20"/>
      <c r="IU133" s="20"/>
      <c r="IV133" s="20"/>
      <c r="IW133" s="20"/>
      <c r="IX133" s="20"/>
      <c r="IY133" s="20"/>
      <c r="IZ133" s="20"/>
      <c r="JA133" s="20"/>
      <c r="JB133" s="20"/>
      <c r="JC133" s="20"/>
      <c r="JD133" s="20"/>
      <c r="JE133" s="20"/>
      <c r="JF133" s="20"/>
      <c r="JG133" s="20"/>
      <c r="JH133" s="20"/>
      <c r="JI133" s="20"/>
    </row>
    <row r="134" spans="1:269" ht="17.25" customHeight="1">
      <c r="A134" s="101"/>
      <c r="B134" s="20" t="s">
        <v>115</v>
      </c>
      <c r="C134" s="20" t="s">
        <v>137</v>
      </c>
      <c r="D134" s="83">
        <v>1917499</v>
      </c>
      <c r="E134" s="82">
        <v>2E-3</v>
      </c>
      <c r="F134" s="82">
        <v>2.5000000000000001E-2</v>
      </c>
      <c r="G134" s="29"/>
      <c r="H134" s="83">
        <v>2432</v>
      </c>
      <c r="I134" s="104">
        <v>1194</v>
      </c>
      <c r="J134" s="29"/>
      <c r="K134" s="83">
        <v>17499</v>
      </c>
      <c r="L134" s="104">
        <v>4095</v>
      </c>
      <c r="M134" s="29"/>
      <c r="N134" s="199">
        <v>0.14000000000000001</v>
      </c>
      <c r="O134" s="85">
        <v>0.1</v>
      </c>
      <c r="P134" s="29"/>
      <c r="Q134" s="85">
        <v>0</v>
      </c>
      <c r="R134" s="14"/>
      <c r="S134" s="15"/>
      <c r="T134" s="104">
        <v>7612</v>
      </c>
      <c r="U134" s="82">
        <v>-5.0999999999999997E-2</v>
      </c>
      <c r="V134" s="29"/>
      <c r="W134" s="83">
        <v>20010</v>
      </c>
      <c r="X134" s="82">
        <v>1.7000000000000001E-2</v>
      </c>
      <c r="Y134" s="29"/>
      <c r="Z134" s="104">
        <v>4158</v>
      </c>
      <c r="AA134" s="86">
        <v>0</v>
      </c>
      <c r="AB134" s="29"/>
      <c r="AC134" s="83">
        <v>31201</v>
      </c>
      <c r="AD134" s="82">
        <v>7.0999999999999994E-2</v>
      </c>
      <c r="AE134" s="29"/>
      <c r="AF134" s="104">
        <v>6068</v>
      </c>
      <c r="AG134" s="120">
        <v>3.6999999999999998E-2</v>
      </c>
      <c r="AH134" s="85">
        <v>5.14</v>
      </c>
      <c r="AI134" s="200">
        <v>61</v>
      </c>
      <c r="AJ134" s="199">
        <v>318</v>
      </c>
      <c r="AK134" s="83">
        <v>100</v>
      </c>
      <c r="AL134" s="102">
        <v>27</v>
      </c>
      <c r="AM134" s="29"/>
      <c r="AN134" s="83">
        <v>11697</v>
      </c>
      <c r="AO134" s="83">
        <v>16840</v>
      </c>
      <c r="AP134" s="83">
        <v>2664</v>
      </c>
      <c r="AQ134" s="29"/>
      <c r="AR134" s="104">
        <v>1912</v>
      </c>
      <c r="AS134" s="104">
        <v>3535</v>
      </c>
      <c r="AT134" s="104">
        <v>621</v>
      </c>
      <c r="AU134" s="29"/>
      <c r="AV134" s="83">
        <v>28980</v>
      </c>
      <c r="AW134" s="104">
        <v>5632</v>
      </c>
      <c r="AX134" s="29"/>
      <c r="AY134" s="120">
        <v>0.89800000000000002</v>
      </c>
      <c r="AZ134" s="120">
        <v>1.2999999999999999E-2</v>
      </c>
      <c r="BA134" s="120">
        <v>4.8000000000000001E-2</v>
      </c>
      <c r="BB134" s="82">
        <v>4.1000000000000002E-2</v>
      </c>
      <c r="BC134" s="29"/>
      <c r="BD134" s="199">
        <v>2</v>
      </c>
      <c r="BE134" s="89"/>
      <c r="BF134" s="94"/>
      <c r="BG134" s="199">
        <v>8</v>
      </c>
      <c r="BH134" s="199" t="s">
        <v>208</v>
      </c>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c r="DB134" s="20"/>
      <c r="DC134" s="20"/>
      <c r="DD134" s="20"/>
      <c r="DE134" s="20"/>
      <c r="DF134" s="20"/>
      <c r="DG134" s="20"/>
      <c r="DH134" s="20"/>
      <c r="DI134" s="20"/>
      <c r="DJ134" s="20"/>
      <c r="DK134" s="20"/>
      <c r="DL134" s="20"/>
      <c r="DM134" s="20"/>
      <c r="DN134" s="20"/>
      <c r="DO134" s="20"/>
      <c r="DP134" s="20"/>
      <c r="DQ134" s="20"/>
      <c r="DR134" s="20"/>
      <c r="DS134" s="20"/>
      <c r="DT134" s="20"/>
      <c r="DU134" s="20"/>
      <c r="DV134" s="20"/>
      <c r="DW134" s="20"/>
      <c r="DX134" s="20"/>
      <c r="DY134" s="20"/>
      <c r="DZ134" s="20"/>
      <c r="EA134" s="20"/>
      <c r="EB134" s="20"/>
      <c r="EC134" s="20"/>
      <c r="ED134" s="20"/>
      <c r="EE134" s="20"/>
      <c r="EF134" s="20"/>
      <c r="EG134" s="20"/>
      <c r="EH134" s="20"/>
      <c r="EI134" s="20"/>
      <c r="EJ134" s="20"/>
      <c r="EK134" s="20"/>
      <c r="EL134" s="20"/>
      <c r="EM134" s="20"/>
      <c r="EN134" s="20"/>
      <c r="EO134" s="20"/>
      <c r="EP134" s="20"/>
      <c r="EQ134" s="20"/>
      <c r="ER134" s="20"/>
      <c r="ES134" s="20"/>
      <c r="ET134" s="20"/>
      <c r="EU134" s="20"/>
      <c r="EV134" s="20"/>
      <c r="EW134" s="20"/>
      <c r="EX134" s="20"/>
      <c r="EY134" s="20"/>
      <c r="EZ134" s="20"/>
      <c r="FA134" s="20"/>
      <c r="FB134" s="20"/>
      <c r="FC134" s="20"/>
      <c r="FD134" s="20"/>
      <c r="FE134" s="20"/>
      <c r="FF134" s="20"/>
      <c r="FG134" s="20"/>
      <c r="FH134" s="20"/>
      <c r="FI134" s="20"/>
      <c r="FJ134" s="20"/>
      <c r="FK134" s="20"/>
      <c r="FL134" s="20"/>
      <c r="FM134" s="20"/>
      <c r="FN134" s="20"/>
      <c r="FO134" s="20"/>
      <c r="FP134" s="20"/>
      <c r="FQ134" s="20"/>
      <c r="FR134" s="20"/>
      <c r="FS134" s="20"/>
      <c r="FT134" s="20"/>
      <c r="FU134" s="20"/>
      <c r="FV134" s="20"/>
      <c r="FW134" s="20"/>
      <c r="FX134" s="20"/>
      <c r="FY134" s="20"/>
      <c r="FZ134" s="20"/>
      <c r="GA134" s="20"/>
      <c r="GB134" s="20"/>
      <c r="GC134" s="20"/>
      <c r="GD134" s="20"/>
      <c r="GE134" s="20"/>
      <c r="GF134" s="20"/>
      <c r="GG134" s="20"/>
      <c r="GH134" s="20"/>
      <c r="GI134" s="20"/>
      <c r="GJ134" s="20"/>
      <c r="GK134" s="20"/>
      <c r="GL134" s="20"/>
      <c r="GM134" s="20"/>
      <c r="GN134" s="20"/>
      <c r="GO134" s="20"/>
      <c r="GP134" s="20"/>
      <c r="GQ134" s="20"/>
      <c r="GR134" s="20"/>
      <c r="GS134" s="20"/>
      <c r="GT134" s="20"/>
      <c r="GU134" s="20"/>
      <c r="GV134" s="20"/>
      <c r="GW134" s="20"/>
      <c r="GX134" s="20"/>
      <c r="GY134" s="20"/>
      <c r="GZ134" s="20"/>
      <c r="HA134" s="20"/>
      <c r="HB134" s="20"/>
      <c r="HC134" s="20"/>
      <c r="HD134" s="20"/>
      <c r="HE134" s="20"/>
      <c r="HF134" s="20"/>
      <c r="HG134" s="20"/>
      <c r="HH134" s="20"/>
      <c r="HI134" s="20"/>
      <c r="HJ134" s="20"/>
      <c r="HK134" s="20"/>
      <c r="HL134" s="20"/>
      <c r="HM134" s="20"/>
      <c r="HN134" s="20"/>
      <c r="HO134" s="20"/>
      <c r="HP134" s="20"/>
      <c r="HQ134" s="20"/>
      <c r="HR134" s="20"/>
      <c r="HS134" s="20"/>
      <c r="HT134" s="20"/>
      <c r="HU134" s="20"/>
      <c r="HV134" s="20"/>
      <c r="HW134" s="20"/>
      <c r="HX134" s="20"/>
      <c r="HY134" s="20"/>
      <c r="HZ134" s="20"/>
      <c r="IA134" s="20"/>
      <c r="IB134" s="20"/>
      <c r="IC134" s="20"/>
      <c r="ID134" s="20"/>
      <c r="IE134" s="20"/>
      <c r="IF134" s="20"/>
      <c r="IG134" s="20"/>
      <c r="IH134" s="20"/>
      <c r="II134" s="20"/>
      <c r="IJ134" s="20"/>
      <c r="IK134" s="20"/>
      <c r="IL134" s="20"/>
      <c r="IM134" s="20"/>
      <c r="IN134" s="20"/>
      <c r="IO134" s="20"/>
      <c r="IP134" s="20"/>
      <c r="IQ134" s="20"/>
      <c r="IR134" s="20"/>
      <c r="IS134" s="20"/>
      <c r="IT134" s="20"/>
      <c r="IU134" s="20"/>
      <c r="IV134" s="20"/>
      <c r="IW134" s="20"/>
      <c r="IX134" s="20"/>
      <c r="IY134" s="20"/>
      <c r="IZ134" s="20"/>
      <c r="JA134" s="20"/>
      <c r="JB134" s="20"/>
      <c r="JC134" s="20"/>
      <c r="JD134" s="20"/>
      <c r="JE134" s="20"/>
      <c r="JF134" s="20"/>
      <c r="JG134" s="20"/>
      <c r="JH134" s="20"/>
      <c r="JI134" s="20"/>
    </row>
    <row r="135" spans="1:269" ht="17.25" customHeight="1">
      <c r="A135" s="101"/>
      <c r="B135" s="20"/>
      <c r="C135" s="20"/>
      <c r="D135" s="83"/>
      <c r="E135" s="82"/>
      <c r="F135" s="82"/>
      <c r="G135" s="29"/>
      <c r="H135" s="83"/>
      <c r="I135" s="104"/>
      <c r="J135" s="29"/>
      <c r="K135" s="83"/>
      <c r="L135" s="104"/>
      <c r="M135" s="29"/>
      <c r="N135" s="201"/>
      <c r="O135" s="85"/>
      <c r="P135" s="29"/>
      <c r="Q135" s="85"/>
      <c r="R135" s="14"/>
      <c r="S135" s="15"/>
      <c r="T135" s="104"/>
      <c r="U135" s="82"/>
      <c r="V135" s="29"/>
      <c r="W135" s="83"/>
      <c r="X135" s="82"/>
      <c r="Y135" s="29"/>
      <c r="Z135" s="104"/>
      <c r="AA135" s="86"/>
      <c r="AB135" s="29"/>
      <c r="AC135" s="83"/>
      <c r="AD135" s="82"/>
      <c r="AE135" s="29"/>
      <c r="AF135" s="104"/>
      <c r="AG135" s="120"/>
      <c r="AH135" s="85"/>
      <c r="AI135" s="200"/>
      <c r="AJ135" s="201"/>
      <c r="AK135" s="83"/>
      <c r="AL135" s="102"/>
      <c r="AM135" s="29"/>
      <c r="AN135" s="83"/>
      <c r="AO135" s="83"/>
      <c r="AP135" s="83"/>
      <c r="AQ135" s="29"/>
      <c r="AR135" s="104"/>
      <c r="AS135" s="104"/>
      <c r="AT135" s="104"/>
      <c r="AU135" s="29"/>
      <c r="AV135" s="83"/>
      <c r="AW135" s="104"/>
      <c r="AX135" s="29"/>
      <c r="AY135" s="120"/>
      <c r="AZ135" s="120"/>
      <c r="BA135" s="120"/>
      <c r="BB135" s="82"/>
      <c r="BC135" s="29"/>
      <c r="BD135" s="201"/>
      <c r="BE135" s="89"/>
      <c r="BF135" s="94"/>
      <c r="BG135" s="201"/>
      <c r="BH135" s="201"/>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c r="DB135" s="20"/>
      <c r="DC135" s="20"/>
      <c r="DD135" s="20"/>
      <c r="DE135" s="20"/>
      <c r="DF135" s="20"/>
      <c r="DG135" s="20"/>
      <c r="DH135" s="20"/>
      <c r="DI135" s="20"/>
      <c r="DJ135" s="20"/>
      <c r="DK135" s="20"/>
      <c r="DL135" s="20"/>
      <c r="DM135" s="20"/>
      <c r="DN135" s="20"/>
      <c r="DO135" s="20"/>
      <c r="DP135" s="20"/>
      <c r="DQ135" s="20"/>
      <c r="DR135" s="20"/>
      <c r="DS135" s="20"/>
      <c r="DT135" s="20"/>
      <c r="DU135" s="20"/>
      <c r="DV135" s="20"/>
      <c r="DW135" s="20"/>
      <c r="DX135" s="20"/>
      <c r="DY135" s="20"/>
      <c r="DZ135" s="20"/>
      <c r="EA135" s="20"/>
      <c r="EB135" s="20"/>
      <c r="EC135" s="20"/>
      <c r="ED135" s="20"/>
      <c r="EE135" s="20"/>
      <c r="EF135" s="20"/>
      <c r="EG135" s="20"/>
      <c r="EH135" s="20"/>
      <c r="EI135" s="20"/>
      <c r="EJ135" s="20"/>
      <c r="EK135" s="20"/>
      <c r="EL135" s="20"/>
      <c r="EM135" s="20"/>
      <c r="EN135" s="20"/>
      <c r="EO135" s="20"/>
      <c r="EP135" s="20"/>
      <c r="EQ135" s="20"/>
      <c r="ER135" s="20"/>
      <c r="ES135" s="20"/>
      <c r="ET135" s="20"/>
      <c r="EU135" s="20"/>
      <c r="EV135" s="20"/>
      <c r="EW135" s="20"/>
      <c r="EX135" s="20"/>
      <c r="EY135" s="20"/>
      <c r="EZ135" s="20"/>
      <c r="FA135" s="20"/>
      <c r="FB135" s="20"/>
      <c r="FC135" s="20"/>
      <c r="FD135" s="20"/>
      <c r="FE135" s="20"/>
      <c r="FF135" s="20"/>
      <c r="FG135" s="20"/>
      <c r="FH135" s="20"/>
      <c r="FI135" s="20"/>
      <c r="FJ135" s="20"/>
      <c r="FK135" s="20"/>
      <c r="FL135" s="20"/>
      <c r="FM135" s="20"/>
      <c r="FN135" s="20"/>
      <c r="FO135" s="20"/>
      <c r="FP135" s="20"/>
      <c r="FQ135" s="20"/>
      <c r="FR135" s="20"/>
      <c r="FS135" s="20"/>
      <c r="FT135" s="20"/>
      <c r="FU135" s="20"/>
      <c r="FV135" s="20"/>
      <c r="FW135" s="20"/>
      <c r="FX135" s="20"/>
      <c r="FY135" s="20"/>
      <c r="FZ135" s="20"/>
      <c r="GA135" s="20"/>
      <c r="GB135" s="20"/>
      <c r="GC135" s="20"/>
      <c r="GD135" s="20"/>
      <c r="GE135" s="20"/>
      <c r="GF135" s="20"/>
      <c r="GG135" s="20"/>
      <c r="GH135" s="20"/>
      <c r="GI135" s="20"/>
      <c r="GJ135" s="20"/>
      <c r="GK135" s="20"/>
      <c r="GL135" s="20"/>
      <c r="GM135" s="20"/>
      <c r="GN135" s="20"/>
      <c r="GO135" s="20"/>
      <c r="GP135" s="20"/>
      <c r="GQ135" s="20"/>
      <c r="GR135" s="20"/>
      <c r="GS135" s="20"/>
      <c r="GT135" s="20"/>
      <c r="GU135" s="20"/>
      <c r="GV135" s="20"/>
      <c r="GW135" s="20"/>
      <c r="GX135" s="20"/>
      <c r="GY135" s="20"/>
      <c r="GZ135" s="20"/>
      <c r="HA135" s="20"/>
      <c r="HB135" s="20"/>
      <c r="HC135" s="20"/>
      <c r="HD135" s="20"/>
      <c r="HE135" s="20"/>
      <c r="HF135" s="20"/>
      <c r="HG135" s="20"/>
      <c r="HH135" s="20"/>
      <c r="HI135" s="20"/>
      <c r="HJ135" s="20"/>
      <c r="HK135" s="20"/>
      <c r="HL135" s="20"/>
      <c r="HM135" s="20"/>
      <c r="HN135" s="20"/>
      <c r="HO135" s="20"/>
      <c r="HP135" s="20"/>
      <c r="HQ135" s="20"/>
      <c r="HR135" s="20"/>
      <c r="HS135" s="20"/>
      <c r="HT135" s="20"/>
      <c r="HU135" s="20"/>
      <c r="HV135" s="20"/>
      <c r="HW135" s="20"/>
      <c r="HX135" s="20"/>
      <c r="HY135" s="20"/>
      <c r="HZ135" s="20"/>
      <c r="IA135" s="20"/>
      <c r="IB135" s="20"/>
      <c r="IC135" s="20"/>
      <c r="ID135" s="20"/>
      <c r="IE135" s="20"/>
      <c r="IF135" s="20"/>
      <c r="IG135" s="20"/>
      <c r="IH135" s="20"/>
      <c r="II135" s="20"/>
      <c r="IJ135" s="20"/>
      <c r="IK135" s="20"/>
      <c r="IL135" s="20"/>
      <c r="IM135" s="20"/>
      <c r="IN135" s="20"/>
      <c r="IO135" s="20"/>
      <c r="IP135" s="20"/>
      <c r="IQ135" s="20"/>
      <c r="IR135" s="20"/>
      <c r="IS135" s="20"/>
      <c r="IT135" s="20"/>
      <c r="IU135" s="20"/>
      <c r="IV135" s="20"/>
      <c r="IW135" s="20"/>
      <c r="IX135" s="20"/>
      <c r="IY135" s="20"/>
      <c r="IZ135" s="20"/>
      <c r="JA135" s="20"/>
      <c r="JB135" s="20"/>
      <c r="JC135" s="20"/>
      <c r="JD135" s="20"/>
      <c r="JE135" s="20"/>
      <c r="JF135" s="20"/>
      <c r="JG135" s="20"/>
      <c r="JH135" s="20"/>
      <c r="JI135" s="20"/>
    </row>
    <row r="136" spans="1:269" ht="17.25" customHeight="1">
      <c r="A136" s="101">
        <v>2026</v>
      </c>
      <c r="B136" s="20" t="s">
        <v>114</v>
      </c>
      <c r="C136" s="20" t="s">
        <v>135</v>
      </c>
      <c r="D136" s="83">
        <v>1923354</v>
      </c>
      <c r="E136" s="82">
        <v>3.0000000000000001E-3</v>
      </c>
      <c r="F136" s="82">
        <v>2.7E-2</v>
      </c>
      <c r="G136" s="29"/>
      <c r="H136" s="83">
        <v>2419</v>
      </c>
      <c r="I136" s="104">
        <v>1184</v>
      </c>
      <c r="J136" s="29"/>
      <c r="K136" s="83">
        <v>17295</v>
      </c>
      <c r="L136" s="104">
        <v>4071</v>
      </c>
      <c r="M136" s="29"/>
      <c r="N136" s="201">
        <v>0.13</v>
      </c>
      <c r="O136" s="201">
        <v>0.09</v>
      </c>
      <c r="P136" s="29"/>
      <c r="Q136" s="85">
        <v>0</v>
      </c>
      <c r="R136" s="14"/>
      <c r="S136" s="15"/>
      <c r="T136" s="104">
        <v>8785</v>
      </c>
      <c r="U136" s="82">
        <v>0.154</v>
      </c>
      <c r="V136" s="29"/>
      <c r="W136" s="83">
        <v>21736</v>
      </c>
      <c r="X136" s="82">
        <v>8.5999999999999993E-2</v>
      </c>
      <c r="Y136" s="29"/>
      <c r="Z136" s="104">
        <v>4296</v>
      </c>
      <c r="AA136" s="82">
        <v>3.3000000000000002E-2</v>
      </c>
      <c r="AB136" s="29"/>
      <c r="AC136" s="83">
        <v>32483</v>
      </c>
      <c r="AD136" s="82">
        <v>4.1000000000000002E-2</v>
      </c>
      <c r="AE136" s="29"/>
      <c r="AF136" s="104">
        <v>6475</v>
      </c>
      <c r="AG136" s="120">
        <v>6.7000000000000004E-2</v>
      </c>
      <c r="AH136" s="85">
        <v>5.0199999999999996</v>
      </c>
      <c r="AI136" s="84">
        <v>60.8</v>
      </c>
      <c r="AJ136" s="201">
        <v>317</v>
      </c>
      <c r="AK136" s="83">
        <v>90</v>
      </c>
      <c r="AL136" s="102">
        <v>32</v>
      </c>
      <c r="AM136" s="29"/>
      <c r="AN136" s="83">
        <v>11335</v>
      </c>
      <c r="AO136" s="83">
        <v>18294</v>
      </c>
      <c r="AP136" s="83">
        <v>2854</v>
      </c>
      <c r="AQ136" s="29"/>
      <c r="AR136" s="104">
        <v>1909</v>
      </c>
      <c r="AS136" s="104">
        <v>3916</v>
      </c>
      <c r="AT136" s="104">
        <v>650</v>
      </c>
      <c r="AU136" s="29"/>
      <c r="AV136" s="83">
        <v>29912</v>
      </c>
      <c r="AW136" s="104">
        <v>6009</v>
      </c>
      <c r="AX136" s="29"/>
      <c r="AY136" s="120">
        <v>0.89500000000000002</v>
      </c>
      <c r="AZ136" s="120">
        <v>1.4999999999999999E-2</v>
      </c>
      <c r="BA136" s="120">
        <v>5.3999999999999999E-2</v>
      </c>
      <c r="BB136" s="82">
        <v>3.5999999999999997E-2</v>
      </c>
      <c r="BC136" s="29"/>
      <c r="BD136" s="201">
        <v>2</v>
      </c>
      <c r="BE136" s="89"/>
      <c r="BF136" s="94"/>
      <c r="BG136" s="201">
        <v>10</v>
      </c>
      <c r="BH136" s="201" t="s">
        <v>208</v>
      </c>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c r="DB136" s="20"/>
      <c r="DC136" s="20"/>
      <c r="DD136" s="20"/>
      <c r="DE136" s="20"/>
      <c r="DF136" s="20"/>
      <c r="DG136" s="20"/>
      <c r="DH136" s="20"/>
      <c r="DI136" s="20"/>
      <c r="DJ136" s="20"/>
      <c r="DK136" s="20"/>
      <c r="DL136" s="20"/>
      <c r="DM136" s="20"/>
      <c r="DN136" s="20"/>
      <c r="DO136" s="20"/>
      <c r="DP136" s="20"/>
      <c r="DQ136" s="20"/>
      <c r="DR136" s="20"/>
      <c r="DS136" s="20"/>
      <c r="DT136" s="20"/>
      <c r="DU136" s="20"/>
      <c r="DV136" s="20"/>
      <c r="DW136" s="20"/>
      <c r="DX136" s="20"/>
      <c r="DY136" s="20"/>
      <c r="DZ136" s="20"/>
      <c r="EA136" s="20"/>
      <c r="EB136" s="20"/>
      <c r="EC136" s="20"/>
      <c r="ED136" s="20"/>
      <c r="EE136" s="20"/>
      <c r="EF136" s="20"/>
      <c r="EG136" s="20"/>
      <c r="EH136" s="20"/>
      <c r="EI136" s="20"/>
      <c r="EJ136" s="20"/>
      <c r="EK136" s="20"/>
      <c r="EL136" s="20"/>
      <c r="EM136" s="20"/>
      <c r="EN136" s="20"/>
      <c r="EO136" s="20"/>
      <c r="EP136" s="20"/>
      <c r="EQ136" s="20"/>
      <c r="ER136" s="20"/>
      <c r="ES136" s="20"/>
      <c r="ET136" s="20"/>
      <c r="EU136" s="20"/>
      <c r="EV136" s="20"/>
      <c r="EW136" s="20"/>
      <c r="EX136" s="20"/>
      <c r="EY136" s="20"/>
      <c r="EZ136" s="20"/>
      <c r="FA136" s="20"/>
      <c r="FB136" s="20"/>
      <c r="FC136" s="20"/>
      <c r="FD136" s="20"/>
      <c r="FE136" s="20"/>
      <c r="FF136" s="20"/>
      <c r="FG136" s="20"/>
      <c r="FH136" s="20"/>
      <c r="FI136" s="20"/>
      <c r="FJ136" s="20"/>
      <c r="FK136" s="20"/>
      <c r="FL136" s="20"/>
      <c r="FM136" s="20"/>
      <c r="FN136" s="20"/>
      <c r="FO136" s="20"/>
      <c r="FP136" s="20"/>
      <c r="FQ136" s="20"/>
      <c r="FR136" s="20"/>
      <c r="FS136" s="20"/>
      <c r="FT136" s="20"/>
      <c r="FU136" s="20"/>
      <c r="FV136" s="20"/>
      <c r="FW136" s="20"/>
      <c r="FX136" s="20"/>
      <c r="FY136" s="20"/>
      <c r="FZ136" s="20"/>
      <c r="GA136" s="20"/>
      <c r="GB136" s="20"/>
      <c r="GC136" s="20"/>
      <c r="GD136" s="20"/>
      <c r="GE136" s="20"/>
      <c r="GF136" s="20"/>
      <c r="GG136" s="20"/>
      <c r="GH136" s="20"/>
      <c r="GI136" s="20"/>
      <c r="GJ136" s="20"/>
      <c r="GK136" s="20"/>
      <c r="GL136" s="20"/>
      <c r="GM136" s="20"/>
      <c r="GN136" s="20"/>
      <c r="GO136" s="20"/>
      <c r="GP136" s="20"/>
      <c r="GQ136" s="20"/>
      <c r="GR136" s="20"/>
      <c r="GS136" s="20"/>
      <c r="GT136" s="20"/>
      <c r="GU136" s="20"/>
      <c r="GV136" s="20"/>
      <c r="GW136" s="20"/>
      <c r="GX136" s="20"/>
      <c r="GY136" s="20"/>
      <c r="GZ136" s="20"/>
      <c r="HA136" s="20"/>
      <c r="HB136" s="20"/>
      <c r="HC136" s="20"/>
      <c r="HD136" s="20"/>
      <c r="HE136" s="20"/>
      <c r="HF136" s="20"/>
      <c r="HG136" s="20"/>
      <c r="HH136" s="20"/>
      <c r="HI136" s="20"/>
      <c r="HJ136" s="20"/>
      <c r="HK136" s="20"/>
      <c r="HL136" s="20"/>
      <c r="HM136" s="20"/>
      <c r="HN136" s="20"/>
      <c r="HO136" s="20"/>
      <c r="HP136" s="20"/>
      <c r="HQ136" s="20"/>
      <c r="HR136" s="20"/>
      <c r="HS136" s="20"/>
      <c r="HT136" s="20"/>
      <c r="HU136" s="20"/>
      <c r="HV136" s="20"/>
      <c r="HW136" s="20"/>
      <c r="HX136" s="20"/>
      <c r="HY136" s="20"/>
      <c r="HZ136" s="20"/>
      <c r="IA136" s="20"/>
      <c r="IB136" s="20"/>
      <c r="IC136" s="20"/>
      <c r="ID136" s="20"/>
      <c r="IE136" s="20"/>
      <c r="IF136" s="20"/>
      <c r="IG136" s="20"/>
      <c r="IH136" s="20"/>
      <c r="II136" s="20"/>
      <c r="IJ136" s="20"/>
      <c r="IK136" s="20"/>
      <c r="IL136" s="20"/>
      <c r="IM136" s="20"/>
      <c r="IN136" s="20"/>
      <c r="IO136" s="20"/>
      <c r="IP136" s="20"/>
      <c r="IQ136" s="20"/>
      <c r="IR136" s="20"/>
      <c r="IS136" s="20"/>
      <c r="IT136" s="20"/>
      <c r="IU136" s="20"/>
      <c r="IV136" s="20"/>
      <c r="IW136" s="20"/>
      <c r="IX136" s="20"/>
      <c r="IY136" s="20"/>
      <c r="IZ136" s="20"/>
      <c r="JA136" s="20"/>
      <c r="JB136" s="20"/>
      <c r="JC136" s="20"/>
      <c r="JD136" s="20"/>
      <c r="JE136" s="20"/>
      <c r="JF136" s="20"/>
      <c r="JG136" s="20"/>
      <c r="JH136" s="20"/>
      <c r="JI136" s="20"/>
    </row>
    <row r="137" spans="1:269" ht="17.25" customHeight="1">
      <c r="A137" s="101"/>
      <c r="B137" s="20" t="s">
        <v>113</v>
      </c>
      <c r="C137" s="20" t="s">
        <v>134</v>
      </c>
      <c r="D137" s="83">
        <v>1926330</v>
      </c>
      <c r="E137" s="82">
        <v>2E-3</v>
      </c>
      <c r="F137" s="82">
        <v>2.5999999999999999E-2</v>
      </c>
      <c r="G137" s="29"/>
      <c r="H137" s="83">
        <v>2442</v>
      </c>
      <c r="I137" s="104">
        <v>1178</v>
      </c>
      <c r="J137" s="29"/>
      <c r="K137" s="83">
        <v>17189</v>
      </c>
      <c r="L137" s="104">
        <v>4050</v>
      </c>
      <c r="M137" s="29"/>
      <c r="N137" s="202">
        <v>0.13</v>
      </c>
      <c r="O137" s="85">
        <v>0.1</v>
      </c>
      <c r="P137" s="29"/>
      <c r="Q137" s="85">
        <v>0</v>
      </c>
      <c r="R137" s="14"/>
      <c r="S137" s="15"/>
      <c r="T137" s="104">
        <v>8125</v>
      </c>
      <c r="U137" s="82">
        <v>-7.4999999999999997E-2</v>
      </c>
      <c r="V137" s="29"/>
      <c r="W137" s="83">
        <v>16433</v>
      </c>
      <c r="X137" s="82">
        <v>-0.24399999999999999</v>
      </c>
      <c r="Y137" s="29"/>
      <c r="Z137" s="104">
        <v>3369</v>
      </c>
      <c r="AA137" s="82">
        <v>-0.216</v>
      </c>
      <c r="AB137" s="29"/>
      <c r="AC137" s="83">
        <v>28960</v>
      </c>
      <c r="AD137" s="82">
        <v>-0.108</v>
      </c>
      <c r="AE137" s="29"/>
      <c r="AF137" s="104">
        <v>5838</v>
      </c>
      <c r="AG137" s="120">
        <v>-9.8000000000000004E-2</v>
      </c>
      <c r="AH137" s="85">
        <v>4.96</v>
      </c>
      <c r="AI137" s="84">
        <v>60.3</v>
      </c>
      <c r="AJ137" s="202">
        <v>319</v>
      </c>
      <c r="AK137" s="83">
        <v>122</v>
      </c>
      <c r="AL137" s="102">
        <v>27</v>
      </c>
      <c r="AM137" s="29"/>
      <c r="AN137" s="83">
        <v>8614</v>
      </c>
      <c r="AO137" s="83">
        <v>17186</v>
      </c>
      <c r="AP137" s="83">
        <v>3160</v>
      </c>
      <c r="AQ137" s="29"/>
      <c r="AR137" s="104">
        <v>1574</v>
      </c>
      <c r="AS137" s="104">
        <v>3657</v>
      </c>
      <c r="AT137" s="104">
        <v>607</v>
      </c>
      <c r="AU137" s="29"/>
      <c r="AV137" s="83">
        <v>27446</v>
      </c>
      <c r="AW137" s="104">
        <v>5536</v>
      </c>
      <c r="AX137" s="29"/>
      <c r="AY137" s="120">
        <v>0.875</v>
      </c>
      <c r="AZ137" s="120">
        <v>1.9E-2</v>
      </c>
      <c r="BA137" s="121">
        <v>7.0000000000000007E-2</v>
      </c>
      <c r="BB137" s="82">
        <v>3.5999999999999997E-2</v>
      </c>
      <c r="BC137" s="29"/>
      <c r="BD137" s="202">
        <v>2</v>
      </c>
      <c r="BE137" s="89"/>
      <c r="BF137" s="94"/>
      <c r="BG137" s="202">
        <v>12</v>
      </c>
      <c r="BH137" s="202" t="s">
        <v>208</v>
      </c>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c r="DB137" s="20"/>
      <c r="DC137" s="20"/>
      <c r="DD137" s="20"/>
      <c r="DE137" s="20"/>
      <c r="DF137" s="20"/>
      <c r="DG137" s="20"/>
      <c r="DH137" s="20"/>
      <c r="DI137" s="20"/>
      <c r="DJ137" s="20"/>
      <c r="DK137" s="20"/>
      <c r="DL137" s="20"/>
      <c r="DM137" s="20"/>
      <c r="DN137" s="20"/>
      <c r="DO137" s="20"/>
      <c r="DP137" s="20"/>
      <c r="DQ137" s="20"/>
      <c r="DR137" s="20"/>
      <c r="DS137" s="20"/>
      <c r="DT137" s="20"/>
      <c r="DU137" s="20"/>
      <c r="DV137" s="20"/>
      <c r="DW137" s="20"/>
      <c r="DX137" s="20"/>
      <c r="DY137" s="20"/>
      <c r="DZ137" s="20"/>
      <c r="EA137" s="20"/>
      <c r="EB137" s="20"/>
      <c r="EC137" s="20"/>
      <c r="ED137" s="20"/>
      <c r="EE137" s="20"/>
      <c r="EF137" s="20"/>
      <c r="EG137" s="20"/>
      <c r="EH137" s="20"/>
      <c r="EI137" s="20"/>
      <c r="EJ137" s="20"/>
      <c r="EK137" s="20"/>
      <c r="EL137" s="20"/>
      <c r="EM137" s="20"/>
      <c r="EN137" s="20"/>
      <c r="EO137" s="20"/>
      <c r="EP137" s="20"/>
      <c r="EQ137" s="20"/>
      <c r="ER137" s="20"/>
      <c r="ES137" s="20"/>
      <c r="ET137" s="20"/>
      <c r="EU137" s="20"/>
      <c r="EV137" s="20"/>
      <c r="EW137" s="20"/>
      <c r="EX137" s="20"/>
      <c r="EY137" s="20"/>
      <c r="EZ137" s="20"/>
      <c r="FA137" s="20"/>
      <c r="FB137" s="20"/>
      <c r="FC137" s="20"/>
      <c r="FD137" s="20"/>
      <c r="FE137" s="20"/>
      <c r="FF137" s="20"/>
      <c r="FG137" s="20"/>
      <c r="FH137" s="20"/>
      <c r="FI137" s="20"/>
      <c r="FJ137" s="20"/>
      <c r="FK137" s="20"/>
      <c r="FL137" s="20"/>
      <c r="FM137" s="20"/>
      <c r="FN137" s="20"/>
      <c r="FO137" s="20"/>
      <c r="FP137" s="20"/>
      <c r="FQ137" s="20"/>
      <c r="FR137" s="20"/>
      <c r="FS137" s="20"/>
      <c r="FT137" s="20"/>
      <c r="FU137" s="20"/>
      <c r="FV137" s="20"/>
      <c r="FW137" s="20"/>
      <c r="FX137" s="20"/>
      <c r="FY137" s="20"/>
      <c r="FZ137" s="20"/>
      <c r="GA137" s="20"/>
      <c r="GB137" s="20"/>
      <c r="GC137" s="20"/>
      <c r="GD137" s="20"/>
      <c r="GE137" s="20"/>
      <c r="GF137" s="20"/>
      <c r="GG137" s="20"/>
      <c r="GH137" s="20"/>
      <c r="GI137" s="20"/>
      <c r="GJ137" s="20"/>
      <c r="GK137" s="20"/>
      <c r="GL137" s="20"/>
      <c r="GM137" s="20"/>
      <c r="GN137" s="20"/>
      <c r="GO137" s="20"/>
      <c r="GP137" s="20"/>
      <c r="GQ137" s="20"/>
      <c r="GR137" s="20"/>
      <c r="GS137" s="20"/>
      <c r="GT137" s="20"/>
      <c r="GU137" s="20"/>
      <c r="GV137" s="20"/>
      <c r="GW137" s="20"/>
      <c r="GX137" s="20"/>
      <c r="GY137" s="20"/>
      <c r="GZ137" s="20"/>
      <c r="HA137" s="20"/>
      <c r="HB137" s="20"/>
      <c r="HC137" s="20"/>
      <c r="HD137" s="20"/>
      <c r="HE137" s="20"/>
      <c r="HF137" s="20"/>
      <c r="HG137" s="20"/>
      <c r="HH137" s="20"/>
      <c r="HI137" s="20"/>
      <c r="HJ137" s="20"/>
      <c r="HK137" s="20"/>
      <c r="HL137" s="20"/>
      <c r="HM137" s="20"/>
      <c r="HN137" s="20"/>
      <c r="HO137" s="20"/>
      <c r="HP137" s="20"/>
      <c r="HQ137" s="20"/>
      <c r="HR137" s="20"/>
      <c r="HS137" s="20"/>
      <c r="HT137" s="20"/>
      <c r="HU137" s="20"/>
      <c r="HV137" s="20"/>
      <c r="HW137" s="20"/>
      <c r="HX137" s="20"/>
      <c r="HY137" s="20"/>
      <c r="HZ137" s="20"/>
      <c r="IA137" s="20"/>
      <c r="IB137" s="20"/>
      <c r="IC137" s="20"/>
      <c r="ID137" s="20"/>
      <c r="IE137" s="20"/>
      <c r="IF137" s="20"/>
      <c r="IG137" s="20"/>
      <c r="IH137" s="20"/>
      <c r="II137" s="20"/>
      <c r="IJ137" s="20"/>
      <c r="IK137" s="20"/>
      <c r="IL137" s="20"/>
      <c r="IM137" s="20"/>
      <c r="IN137" s="20"/>
      <c r="IO137" s="20"/>
      <c r="IP137" s="20"/>
      <c r="IQ137" s="20"/>
      <c r="IR137" s="20"/>
      <c r="IS137" s="20"/>
      <c r="IT137" s="20"/>
      <c r="IU137" s="20"/>
      <c r="IV137" s="20"/>
      <c r="IW137" s="20"/>
      <c r="IX137" s="20"/>
      <c r="IY137" s="20"/>
      <c r="IZ137" s="20"/>
      <c r="JA137" s="20"/>
      <c r="JB137" s="20"/>
      <c r="JC137" s="20"/>
      <c r="JD137" s="20"/>
      <c r="JE137" s="20"/>
      <c r="JF137" s="20"/>
      <c r="JG137" s="20"/>
      <c r="JH137" s="20"/>
      <c r="JI137" s="20"/>
    </row>
    <row r="138" spans="1:269" ht="17.25" customHeight="1">
      <c r="A138" s="101"/>
      <c r="B138" s="20" t="s">
        <v>112</v>
      </c>
      <c r="C138" s="20" t="s">
        <v>157</v>
      </c>
      <c r="D138" s="83">
        <v>1934866</v>
      </c>
      <c r="E138" s="82">
        <v>4.0000000000000001E-3</v>
      </c>
      <c r="F138" s="86">
        <v>0.03</v>
      </c>
      <c r="G138" s="29"/>
      <c r="H138" s="83">
        <v>2435</v>
      </c>
      <c r="I138" s="104">
        <v>1186</v>
      </c>
      <c r="J138" s="29"/>
      <c r="K138" s="83">
        <v>17067</v>
      </c>
      <c r="L138" s="104">
        <v>4046</v>
      </c>
      <c r="M138" s="29"/>
      <c r="N138" s="203">
        <v>0.13</v>
      </c>
      <c r="O138" s="203">
        <v>0.09</v>
      </c>
      <c r="P138" s="29"/>
      <c r="Q138" s="85">
        <v>0</v>
      </c>
      <c r="R138" s="14"/>
      <c r="S138" s="15"/>
      <c r="T138" s="104">
        <v>10311</v>
      </c>
      <c r="U138" s="82">
        <v>0.26900000000000002</v>
      </c>
      <c r="V138" s="29"/>
      <c r="W138" s="83">
        <v>26933</v>
      </c>
      <c r="X138" s="82">
        <v>0.63900000000000001</v>
      </c>
      <c r="Y138" s="29"/>
      <c r="Z138" s="104">
        <v>5325</v>
      </c>
      <c r="AA138" s="82">
        <v>0.58099999999999996</v>
      </c>
      <c r="AB138" s="29"/>
      <c r="AC138" s="83">
        <v>40140</v>
      </c>
      <c r="AD138" s="82">
        <v>0.38600000000000001</v>
      </c>
      <c r="AE138" s="29"/>
      <c r="AF138" s="104">
        <v>7924</v>
      </c>
      <c r="AG138" s="120">
        <v>0.35699999999999998</v>
      </c>
      <c r="AH138" s="85">
        <v>5.07</v>
      </c>
      <c r="AI138" s="84">
        <v>61.3</v>
      </c>
      <c r="AJ138" s="203">
        <v>321</v>
      </c>
      <c r="AK138" s="83">
        <v>112</v>
      </c>
      <c r="AL138" s="102">
        <v>32</v>
      </c>
      <c r="AM138" s="29"/>
      <c r="AN138" s="83">
        <v>13427</v>
      </c>
      <c r="AO138" s="83">
        <v>23395</v>
      </c>
      <c r="AP138" s="83">
        <v>3318</v>
      </c>
      <c r="AQ138" s="29"/>
      <c r="AR138" s="104">
        <v>2250</v>
      </c>
      <c r="AS138" s="104">
        <v>4909</v>
      </c>
      <c r="AT138" s="104">
        <v>765</v>
      </c>
      <c r="AU138" s="29"/>
      <c r="AV138" s="83">
        <v>36809</v>
      </c>
      <c r="AW138" s="104">
        <v>7238</v>
      </c>
      <c r="AX138" s="29"/>
      <c r="AY138" s="120">
        <v>0.83699999999999997</v>
      </c>
      <c r="AZ138" s="120">
        <v>1.4999999999999999E-2</v>
      </c>
      <c r="BA138" s="120">
        <v>0.104</v>
      </c>
      <c r="BB138" s="82">
        <v>4.3999999999999997E-2</v>
      </c>
      <c r="BC138" s="29"/>
      <c r="BD138" s="203">
        <v>0</v>
      </c>
      <c r="BE138" s="89"/>
      <c r="BF138" s="94"/>
      <c r="BG138" s="203">
        <v>12</v>
      </c>
      <c r="BH138" s="203" t="s">
        <v>208</v>
      </c>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c r="DB138" s="20"/>
      <c r="DC138" s="20"/>
      <c r="DD138" s="20"/>
      <c r="DE138" s="20"/>
      <c r="DF138" s="20"/>
      <c r="DG138" s="20"/>
      <c r="DH138" s="20"/>
      <c r="DI138" s="20"/>
      <c r="DJ138" s="20"/>
      <c r="DK138" s="20"/>
      <c r="DL138" s="20"/>
      <c r="DM138" s="20"/>
      <c r="DN138" s="20"/>
      <c r="DO138" s="20"/>
      <c r="DP138" s="20"/>
      <c r="DQ138" s="20"/>
      <c r="DR138" s="20"/>
      <c r="DS138" s="20"/>
      <c r="DT138" s="20"/>
      <c r="DU138" s="20"/>
      <c r="DV138" s="20"/>
      <c r="DW138" s="20"/>
      <c r="DX138" s="20"/>
      <c r="DY138" s="20"/>
      <c r="DZ138" s="20"/>
      <c r="EA138" s="20"/>
      <c r="EB138" s="20"/>
      <c r="EC138" s="20"/>
      <c r="ED138" s="20"/>
      <c r="EE138" s="20"/>
      <c r="EF138" s="20"/>
      <c r="EG138" s="20"/>
      <c r="EH138" s="20"/>
      <c r="EI138" s="20"/>
      <c r="EJ138" s="20"/>
      <c r="EK138" s="20"/>
      <c r="EL138" s="20"/>
      <c r="EM138" s="20"/>
      <c r="EN138" s="20"/>
      <c r="EO138" s="20"/>
      <c r="EP138" s="20"/>
      <c r="EQ138" s="20"/>
      <c r="ER138" s="20"/>
      <c r="ES138" s="20"/>
      <c r="ET138" s="20"/>
      <c r="EU138" s="20"/>
      <c r="EV138" s="20"/>
      <c r="EW138" s="20"/>
      <c r="EX138" s="20"/>
      <c r="EY138" s="20"/>
      <c r="EZ138" s="20"/>
      <c r="FA138" s="20"/>
      <c r="FB138" s="20"/>
      <c r="FC138" s="20"/>
      <c r="FD138" s="20"/>
      <c r="FE138" s="20"/>
      <c r="FF138" s="20"/>
      <c r="FG138" s="20"/>
      <c r="FH138" s="20"/>
      <c r="FI138" s="20"/>
      <c r="FJ138" s="20"/>
      <c r="FK138" s="20"/>
      <c r="FL138" s="20"/>
      <c r="FM138" s="20"/>
      <c r="FN138" s="20"/>
      <c r="FO138" s="20"/>
      <c r="FP138" s="20"/>
      <c r="FQ138" s="20"/>
      <c r="FR138" s="20"/>
      <c r="FS138" s="20"/>
      <c r="FT138" s="20"/>
      <c r="FU138" s="20"/>
      <c r="FV138" s="20"/>
      <c r="FW138" s="20"/>
      <c r="FX138" s="20"/>
      <c r="FY138" s="20"/>
      <c r="FZ138" s="20"/>
      <c r="GA138" s="20"/>
      <c r="GB138" s="20"/>
      <c r="GC138" s="20"/>
      <c r="GD138" s="20"/>
      <c r="GE138" s="20"/>
      <c r="GF138" s="20"/>
      <c r="GG138" s="20"/>
      <c r="GH138" s="20"/>
      <c r="GI138" s="20"/>
      <c r="GJ138" s="20"/>
      <c r="GK138" s="20"/>
      <c r="GL138" s="20"/>
      <c r="GM138" s="20"/>
      <c r="GN138" s="20"/>
      <c r="GO138" s="20"/>
      <c r="GP138" s="20"/>
      <c r="GQ138" s="20"/>
      <c r="GR138" s="20"/>
      <c r="GS138" s="20"/>
      <c r="GT138" s="20"/>
      <c r="GU138" s="20"/>
      <c r="GV138" s="20"/>
      <c r="GW138" s="20"/>
      <c r="GX138" s="20"/>
      <c r="GY138" s="20"/>
      <c r="GZ138" s="20"/>
      <c r="HA138" s="20"/>
      <c r="HB138" s="20"/>
      <c r="HC138" s="20"/>
      <c r="HD138" s="20"/>
      <c r="HE138" s="20"/>
      <c r="HF138" s="20"/>
      <c r="HG138" s="20"/>
      <c r="HH138" s="20"/>
      <c r="HI138" s="20"/>
      <c r="HJ138" s="20"/>
      <c r="HK138" s="20"/>
      <c r="HL138" s="20"/>
      <c r="HM138" s="20"/>
      <c r="HN138" s="20"/>
      <c r="HO138" s="20"/>
      <c r="HP138" s="20"/>
      <c r="HQ138" s="20"/>
      <c r="HR138" s="20"/>
      <c r="HS138" s="20"/>
      <c r="HT138" s="20"/>
      <c r="HU138" s="20"/>
      <c r="HV138" s="20"/>
      <c r="HW138" s="20"/>
      <c r="HX138" s="20"/>
      <c r="HY138" s="20"/>
      <c r="HZ138" s="20"/>
      <c r="IA138" s="20"/>
      <c r="IB138" s="20"/>
      <c r="IC138" s="20"/>
      <c r="ID138" s="20"/>
      <c r="IE138" s="20"/>
      <c r="IF138" s="20"/>
      <c r="IG138" s="20"/>
      <c r="IH138" s="20"/>
      <c r="II138" s="20"/>
      <c r="IJ138" s="20"/>
      <c r="IK138" s="20"/>
      <c r="IL138" s="20"/>
      <c r="IM138" s="20"/>
      <c r="IN138" s="20"/>
      <c r="IO138" s="20"/>
      <c r="IP138" s="20"/>
      <c r="IQ138" s="20"/>
      <c r="IR138" s="20"/>
      <c r="IS138" s="20"/>
      <c r="IT138" s="20"/>
      <c r="IU138" s="20"/>
      <c r="IV138" s="20"/>
      <c r="IW138" s="20"/>
      <c r="IX138" s="20"/>
      <c r="IY138" s="20"/>
      <c r="IZ138" s="20"/>
      <c r="JA138" s="20"/>
      <c r="JB138" s="20"/>
      <c r="JC138" s="20"/>
      <c r="JD138" s="20"/>
      <c r="JE138" s="20"/>
      <c r="JF138" s="20"/>
      <c r="JG138" s="20"/>
      <c r="JH138" s="20"/>
      <c r="JI138" s="20"/>
    </row>
    <row r="139" spans="1:269" ht="17.25" customHeight="1">
      <c r="A139" s="101"/>
      <c r="B139" s="20" t="s">
        <v>111</v>
      </c>
      <c r="C139" s="20" t="s">
        <v>153</v>
      </c>
      <c r="D139" s="83">
        <v>1939561</v>
      </c>
      <c r="E139" s="82">
        <v>2E-3</v>
      </c>
      <c r="F139" s="82">
        <v>3.1E-2</v>
      </c>
      <c r="G139" s="29"/>
      <c r="H139" s="83">
        <v>2402</v>
      </c>
      <c r="I139" s="104">
        <v>1171</v>
      </c>
      <c r="J139" s="29"/>
      <c r="K139" s="83">
        <v>16795</v>
      </c>
      <c r="L139" s="104">
        <v>4013</v>
      </c>
      <c r="M139" s="29"/>
      <c r="N139" s="204">
        <v>0.12</v>
      </c>
      <c r="O139" s="204">
        <v>0.09</v>
      </c>
      <c r="P139" s="29"/>
      <c r="Q139" s="85">
        <v>0</v>
      </c>
      <c r="R139" s="14"/>
      <c r="S139" s="15"/>
      <c r="T139" s="104">
        <v>9541</v>
      </c>
      <c r="U139" s="82">
        <v>-7.4999999999999997E-2</v>
      </c>
      <c r="V139" s="29"/>
      <c r="W139" s="83">
        <v>22603</v>
      </c>
      <c r="X139" s="82">
        <v>-0.161</v>
      </c>
      <c r="Y139" s="29"/>
      <c r="Z139" s="104">
        <v>4578</v>
      </c>
      <c r="AA139" s="86">
        <v>-0.14000000000000001</v>
      </c>
      <c r="AB139" s="29"/>
      <c r="AC139" s="83">
        <v>36528</v>
      </c>
      <c r="AD139" s="86">
        <v>-0.09</v>
      </c>
      <c r="AE139" s="29"/>
      <c r="AF139" s="104">
        <v>7102</v>
      </c>
      <c r="AG139" s="120">
        <v>-0.104</v>
      </c>
      <c r="AH139" s="85">
        <v>5.14</v>
      </c>
      <c r="AI139" s="84">
        <v>61.5</v>
      </c>
      <c r="AJ139" s="204">
        <v>321</v>
      </c>
      <c r="AK139" s="83">
        <v>169</v>
      </c>
      <c r="AL139" s="102">
        <v>42</v>
      </c>
      <c r="AM139" s="29"/>
      <c r="AN139" s="83">
        <v>10698</v>
      </c>
      <c r="AO139" s="83">
        <v>21816</v>
      </c>
      <c r="AP139" s="83">
        <v>4015</v>
      </c>
      <c r="AQ139" s="29"/>
      <c r="AR139" s="104">
        <v>1768</v>
      </c>
      <c r="AS139" s="104">
        <v>4506</v>
      </c>
      <c r="AT139" s="104">
        <v>828</v>
      </c>
      <c r="AU139" s="29"/>
      <c r="AV139" s="83">
        <v>34074</v>
      </c>
      <c r="AW139" s="104">
        <v>6642</v>
      </c>
      <c r="AX139" s="29"/>
      <c r="AY139" s="120">
        <v>0.77800000000000002</v>
      </c>
      <c r="AZ139" s="120">
        <v>1.2999999999999999E-2</v>
      </c>
      <c r="BA139" s="120">
        <v>0.16800000000000001</v>
      </c>
      <c r="BB139" s="82">
        <v>4.1000000000000002E-2</v>
      </c>
      <c r="BC139" s="29"/>
      <c r="BD139" s="204">
        <v>1</v>
      </c>
      <c r="BE139" s="89"/>
      <c r="BF139" s="94"/>
      <c r="BG139" s="204">
        <v>13</v>
      </c>
      <c r="BH139" s="204" t="s">
        <v>208</v>
      </c>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c r="DB139" s="20"/>
      <c r="DC139" s="20"/>
      <c r="DD139" s="20"/>
      <c r="DE139" s="20"/>
      <c r="DF139" s="20"/>
      <c r="DG139" s="20"/>
      <c r="DH139" s="20"/>
      <c r="DI139" s="20"/>
      <c r="DJ139" s="20"/>
      <c r="DK139" s="20"/>
      <c r="DL139" s="20"/>
      <c r="DM139" s="20"/>
      <c r="DN139" s="20"/>
      <c r="DO139" s="20"/>
      <c r="DP139" s="20"/>
      <c r="DQ139" s="20"/>
      <c r="DR139" s="20"/>
      <c r="DS139" s="20"/>
      <c r="DT139" s="20"/>
      <c r="DU139" s="20"/>
      <c r="DV139" s="20"/>
      <c r="DW139" s="20"/>
      <c r="DX139" s="20"/>
      <c r="DY139" s="20"/>
      <c r="DZ139" s="20"/>
      <c r="EA139" s="20"/>
      <c r="EB139" s="20"/>
      <c r="EC139" s="20"/>
      <c r="ED139" s="20"/>
      <c r="EE139" s="20"/>
      <c r="EF139" s="20"/>
      <c r="EG139" s="20"/>
      <c r="EH139" s="20"/>
      <c r="EI139" s="20"/>
      <c r="EJ139" s="20"/>
      <c r="EK139" s="20"/>
      <c r="EL139" s="20"/>
      <c r="EM139" s="20"/>
      <c r="EN139" s="20"/>
      <c r="EO139" s="20"/>
      <c r="EP139" s="20"/>
      <c r="EQ139" s="20"/>
      <c r="ER139" s="20"/>
      <c r="ES139" s="20"/>
      <c r="ET139" s="20"/>
      <c r="EU139" s="20"/>
      <c r="EV139" s="20"/>
      <c r="EW139" s="20"/>
      <c r="EX139" s="20"/>
      <c r="EY139" s="20"/>
      <c r="EZ139" s="20"/>
      <c r="FA139" s="20"/>
      <c r="FB139" s="20"/>
      <c r="FC139" s="20"/>
      <c r="FD139" s="20"/>
      <c r="FE139" s="20"/>
      <c r="FF139" s="20"/>
      <c r="FG139" s="20"/>
      <c r="FH139" s="20"/>
      <c r="FI139" s="20"/>
      <c r="FJ139" s="20"/>
      <c r="FK139" s="20"/>
      <c r="FL139" s="20"/>
      <c r="FM139" s="20"/>
      <c r="FN139" s="20"/>
      <c r="FO139" s="20"/>
      <c r="FP139" s="20"/>
      <c r="FQ139" s="20"/>
      <c r="FR139" s="20"/>
      <c r="FS139" s="20"/>
      <c r="FT139" s="20"/>
      <c r="FU139" s="20"/>
      <c r="FV139" s="20"/>
      <c r="FW139" s="20"/>
      <c r="FX139" s="20"/>
      <c r="FY139" s="20"/>
      <c r="FZ139" s="20"/>
      <c r="GA139" s="20"/>
      <c r="GB139" s="20"/>
      <c r="GC139" s="20"/>
      <c r="GD139" s="20"/>
      <c r="GE139" s="20"/>
      <c r="GF139" s="20"/>
      <c r="GG139" s="20"/>
      <c r="GH139" s="20"/>
      <c r="GI139" s="20"/>
      <c r="GJ139" s="20"/>
      <c r="GK139" s="20"/>
      <c r="GL139" s="20"/>
      <c r="GM139" s="20"/>
      <c r="GN139" s="20"/>
      <c r="GO139" s="20"/>
      <c r="GP139" s="20"/>
      <c r="GQ139" s="20"/>
      <c r="GR139" s="20"/>
      <c r="GS139" s="20"/>
      <c r="GT139" s="20"/>
      <c r="GU139" s="20"/>
      <c r="GV139" s="20"/>
      <c r="GW139" s="20"/>
      <c r="GX139" s="20"/>
      <c r="GY139" s="20"/>
      <c r="GZ139" s="20"/>
      <c r="HA139" s="20"/>
      <c r="HB139" s="20"/>
      <c r="HC139" s="20"/>
      <c r="HD139" s="20"/>
      <c r="HE139" s="20"/>
      <c r="HF139" s="20"/>
      <c r="HG139" s="20"/>
      <c r="HH139" s="20"/>
      <c r="HI139" s="20"/>
      <c r="HJ139" s="20"/>
      <c r="HK139" s="20"/>
      <c r="HL139" s="20"/>
      <c r="HM139" s="20"/>
      <c r="HN139" s="20"/>
      <c r="HO139" s="20"/>
      <c r="HP139" s="20"/>
      <c r="HQ139" s="20"/>
      <c r="HR139" s="20"/>
      <c r="HS139" s="20"/>
      <c r="HT139" s="20"/>
      <c r="HU139" s="20"/>
      <c r="HV139" s="20"/>
      <c r="HW139" s="20"/>
      <c r="HX139" s="20"/>
      <c r="HY139" s="20"/>
      <c r="HZ139" s="20"/>
      <c r="IA139" s="20"/>
      <c r="IB139" s="20"/>
      <c r="IC139" s="20"/>
      <c r="ID139" s="20"/>
      <c r="IE139" s="20"/>
      <c r="IF139" s="20"/>
      <c r="IG139" s="20"/>
      <c r="IH139" s="20"/>
      <c r="II139" s="20"/>
      <c r="IJ139" s="20"/>
      <c r="IK139" s="20"/>
      <c r="IL139" s="20"/>
      <c r="IM139" s="20"/>
      <c r="IN139" s="20"/>
      <c r="IO139" s="20"/>
      <c r="IP139" s="20"/>
      <c r="IQ139" s="20"/>
      <c r="IR139" s="20"/>
      <c r="IS139" s="20"/>
      <c r="IT139" s="20"/>
      <c r="IU139" s="20"/>
      <c r="IV139" s="20"/>
      <c r="IW139" s="20"/>
      <c r="IX139" s="20"/>
      <c r="IY139" s="20"/>
      <c r="IZ139" s="20"/>
      <c r="JA139" s="20"/>
      <c r="JB139" s="20"/>
      <c r="JC139" s="20"/>
      <c r="JD139" s="20"/>
      <c r="JE139" s="20"/>
      <c r="JF139" s="20"/>
      <c r="JG139" s="20"/>
      <c r="JH139" s="20"/>
      <c r="JI139" s="20"/>
    </row>
    <row r="140" spans="1:269" ht="17.25" customHeight="1">
      <c r="A140" s="101"/>
      <c r="B140" s="20" t="s">
        <v>110</v>
      </c>
      <c r="C140" s="20" t="s">
        <v>133</v>
      </c>
      <c r="D140" s="83">
        <v>1946916</v>
      </c>
      <c r="E140" s="82">
        <v>4.0000000000000001E-3</v>
      </c>
      <c r="F140" s="82">
        <v>3.3000000000000002E-2</v>
      </c>
      <c r="G140" s="29"/>
      <c r="H140" s="83">
        <v>2388</v>
      </c>
      <c r="I140" s="104">
        <v>1154</v>
      </c>
      <c r="J140" s="29"/>
      <c r="K140" s="83">
        <v>16692</v>
      </c>
      <c r="L140" s="104">
        <v>4006</v>
      </c>
      <c r="M140" s="29"/>
      <c r="N140" s="205">
        <v>0.11</v>
      </c>
      <c r="O140" s="205">
        <v>0.09</v>
      </c>
      <c r="P140" s="29"/>
      <c r="Q140" s="85">
        <v>0</v>
      </c>
      <c r="R140" s="14"/>
      <c r="S140" s="15"/>
      <c r="T140" s="104">
        <v>10767</v>
      </c>
      <c r="U140" s="82">
        <v>0.128</v>
      </c>
      <c r="V140" s="29"/>
      <c r="W140" s="83">
        <v>23573</v>
      </c>
      <c r="X140" s="82">
        <v>4.2999999999999997E-2</v>
      </c>
      <c r="Y140" s="29"/>
      <c r="Z140" s="104">
        <v>4728</v>
      </c>
      <c r="AA140" s="82">
        <v>3.3000000000000002E-2</v>
      </c>
      <c r="AB140" s="29"/>
      <c r="AC140" s="83">
        <v>40231</v>
      </c>
      <c r="AD140" s="82">
        <v>0.10100000000000001</v>
      </c>
      <c r="AE140" s="29"/>
      <c r="AF140" s="104">
        <v>8087</v>
      </c>
      <c r="AG140" s="120">
        <v>0.13900000000000001</v>
      </c>
      <c r="AH140" s="85">
        <v>4.97</v>
      </c>
      <c r="AI140" s="84">
        <v>60.3</v>
      </c>
      <c r="AJ140" s="205">
        <v>318</v>
      </c>
      <c r="AK140" s="83">
        <v>213</v>
      </c>
      <c r="AL140" s="102">
        <v>60</v>
      </c>
      <c r="AM140" s="29"/>
      <c r="AN140" s="83">
        <v>11701</v>
      </c>
      <c r="AO140" s="83">
        <v>23804</v>
      </c>
      <c r="AP140" s="83">
        <v>4726</v>
      </c>
      <c r="AQ140" s="29"/>
      <c r="AR140" s="104">
        <v>2027</v>
      </c>
      <c r="AS140" s="104">
        <v>5023</v>
      </c>
      <c r="AT140" s="104">
        <v>1037</v>
      </c>
      <c r="AU140" s="29"/>
      <c r="AV140" s="83">
        <v>37331</v>
      </c>
      <c r="AW140" s="104">
        <v>7491</v>
      </c>
      <c r="AX140" s="29"/>
      <c r="AY140" s="120">
        <v>0.73799999999999999</v>
      </c>
      <c r="AZ140" s="120">
        <v>1.2E-2</v>
      </c>
      <c r="BA140" s="120">
        <v>0.20699999999999999</v>
      </c>
      <c r="BB140" s="82">
        <v>4.2999999999999997E-2</v>
      </c>
      <c r="BC140" s="29"/>
      <c r="BD140" s="205">
        <v>0</v>
      </c>
      <c r="BE140" s="89"/>
      <c r="BF140" s="94"/>
      <c r="BG140" s="205">
        <v>13</v>
      </c>
      <c r="BH140" s="205" t="s">
        <v>208</v>
      </c>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c r="DB140" s="20"/>
      <c r="DC140" s="20"/>
      <c r="DD140" s="20"/>
      <c r="DE140" s="20"/>
      <c r="DF140" s="20"/>
      <c r="DG140" s="20"/>
      <c r="DH140" s="20"/>
      <c r="DI140" s="20"/>
      <c r="DJ140" s="20"/>
      <c r="DK140" s="20"/>
      <c r="DL140" s="20"/>
      <c r="DM140" s="20"/>
      <c r="DN140" s="20"/>
      <c r="DO140" s="20"/>
      <c r="DP140" s="20"/>
      <c r="DQ140" s="20"/>
      <c r="DR140" s="20"/>
      <c r="DS140" s="20"/>
      <c r="DT140" s="20"/>
      <c r="DU140" s="20"/>
      <c r="DV140" s="20"/>
      <c r="DW140" s="20"/>
      <c r="DX140" s="20"/>
      <c r="DY140" s="20"/>
      <c r="DZ140" s="20"/>
      <c r="EA140" s="20"/>
      <c r="EB140" s="20"/>
      <c r="EC140" s="20"/>
      <c r="ED140" s="20"/>
      <c r="EE140" s="20"/>
      <c r="EF140" s="20"/>
      <c r="EG140" s="20"/>
      <c r="EH140" s="20"/>
      <c r="EI140" s="20"/>
      <c r="EJ140" s="20"/>
      <c r="EK140" s="20"/>
      <c r="EL140" s="20"/>
      <c r="EM140" s="20"/>
      <c r="EN140" s="20"/>
      <c r="EO140" s="20"/>
      <c r="EP140" s="20"/>
      <c r="EQ140" s="20"/>
      <c r="ER140" s="20"/>
      <c r="ES140" s="20"/>
      <c r="ET140" s="20"/>
      <c r="EU140" s="20"/>
      <c r="EV140" s="20"/>
      <c r="EW140" s="20"/>
      <c r="EX140" s="20"/>
      <c r="EY140" s="20"/>
      <c r="EZ140" s="20"/>
      <c r="FA140" s="20"/>
      <c r="FB140" s="20"/>
      <c r="FC140" s="20"/>
      <c r="FD140" s="20"/>
      <c r="FE140" s="20"/>
      <c r="FF140" s="20"/>
      <c r="FG140" s="20"/>
      <c r="FH140" s="20"/>
      <c r="FI140" s="20"/>
      <c r="FJ140" s="20"/>
      <c r="FK140" s="20"/>
      <c r="FL140" s="20"/>
      <c r="FM140" s="20"/>
      <c r="FN140" s="20"/>
      <c r="FO140" s="20"/>
      <c r="FP140" s="20"/>
      <c r="FQ140" s="20"/>
      <c r="FR140" s="20"/>
      <c r="FS140" s="20"/>
      <c r="FT140" s="20"/>
      <c r="FU140" s="20"/>
      <c r="FV140" s="20"/>
      <c r="FW140" s="20"/>
      <c r="FX140" s="20"/>
      <c r="FY140" s="20"/>
      <c r="FZ140" s="20"/>
      <c r="GA140" s="20"/>
      <c r="GB140" s="20"/>
      <c r="GC140" s="20"/>
      <c r="GD140" s="20"/>
      <c r="GE140" s="20"/>
      <c r="GF140" s="20"/>
      <c r="GG140" s="20"/>
      <c r="GH140" s="20"/>
      <c r="GI140" s="20"/>
      <c r="GJ140" s="20"/>
      <c r="GK140" s="20"/>
      <c r="GL140" s="20"/>
      <c r="GM140" s="20"/>
      <c r="GN140" s="20"/>
      <c r="GO140" s="20"/>
      <c r="GP140" s="20"/>
      <c r="GQ140" s="20"/>
      <c r="GR140" s="20"/>
      <c r="GS140" s="20"/>
      <c r="GT140" s="20"/>
      <c r="GU140" s="20"/>
      <c r="GV140" s="20"/>
      <c r="GW140" s="20"/>
      <c r="GX140" s="20"/>
      <c r="GY140" s="20"/>
      <c r="GZ140" s="20"/>
      <c r="HA140" s="20"/>
      <c r="HB140" s="20"/>
      <c r="HC140" s="20"/>
      <c r="HD140" s="20"/>
      <c r="HE140" s="20"/>
      <c r="HF140" s="20"/>
      <c r="HG140" s="20"/>
      <c r="HH140" s="20"/>
      <c r="HI140" s="20"/>
      <c r="HJ140" s="20"/>
      <c r="HK140" s="20"/>
      <c r="HL140" s="20"/>
      <c r="HM140" s="20"/>
      <c r="HN140" s="20"/>
      <c r="HO140" s="20"/>
      <c r="HP140" s="20"/>
      <c r="HQ140" s="20"/>
      <c r="HR140" s="20"/>
      <c r="HS140" s="20"/>
      <c r="HT140" s="20"/>
      <c r="HU140" s="20"/>
      <c r="HV140" s="20"/>
      <c r="HW140" s="20"/>
      <c r="HX140" s="20"/>
      <c r="HY140" s="20"/>
      <c r="HZ140" s="20"/>
      <c r="IA140" s="20"/>
      <c r="IB140" s="20"/>
      <c r="IC140" s="20"/>
      <c r="ID140" s="20"/>
      <c r="IE140" s="20"/>
      <c r="IF140" s="20"/>
      <c r="IG140" s="20"/>
      <c r="IH140" s="20"/>
      <c r="II140" s="20"/>
      <c r="IJ140" s="20"/>
      <c r="IK140" s="20"/>
      <c r="IL140" s="20"/>
      <c r="IM140" s="20"/>
      <c r="IN140" s="20"/>
      <c r="IO140" s="20"/>
      <c r="IP140" s="20"/>
      <c r="IQ140" s="20"/>
      <c r="IR140" s="20"/>
      <c r="IS140" s="20"/>
      <c r="IT140" s="20"/>
      <c r="IU140" s="20"/>
      <c r="IV140" s="20"/>
      <c r="IW140" s="20"/>
      <c r="IX140" s="20"/>
      <c r="IY140" s="20"/>
      <c r="IZ140" s="20"/>
      <c r="JA140" s="20"/>
      <c r="JB140" s="20"/>
      <c r="JC140" s="20"/>
      <c r="JD140" s="20"/>
      <c r="JE140" s="20"/>
      <c r="JF140" s="20"/>
      <c r="JG140" s="20"/>
      <c r="JH140" s="20"/>
      <c r="JI140" s="20"/>
    </row>
    <row r="141" spans="1:269" ht="17.25" customHeight="1">
      <c r="A141" s="101"/>
      <c r="B141" s="20" t="s">
        <v>233</v>
      </c>
      <c r="C141" s="20" t="s">
        <v>149</v>
      </c>
      <c r="D141" s="83">
        <v>1955022</v>
      </c>
      <c r="E141" s="82">
        <v>4.0000000000000001E-3</v>
      </c>
      <c r="F141" s="82">
        <v>3.6999999999999998E-2</v>
      </c>
      <c r="G141" s="29"/>
      <c r="H141" s="83">
        <v>2399</v>
      </c>
      <c r="I141" s="104">
        <v>1141</v>
      </c>
      <c r="J141" s="29"/>
      <c r="K141" s="83">
        <v>16577</v>
      </c>
      <c r="L141" s="104">
        <v>3970</v>
      </c>
      <c r="M141" s="29"/>
      <c r="N141" s="206">
        <v>0.11</v>
      </c>
      <c r="O141" s="206">
        <v>0.08</v>
      </c>
      <c r="P141" s="29"/>
      <c r="Q141" s="85">
        <v>0</v>
      </c>
      <c r="R141" s="14"/>
      <c r="S141" s="15"/>
      <c r="T141" s="104">
        <v>12117</v>
      </c>
      <c r="U141" s="82">
        <v>0.125</v>
      </c>
      <c r="V141" s="29"/>
      <c r="W141" s="83">
        <v>27720</v>
      </c>
      <c r="X141" s="82">
        <v>0.17599999999999999</v>
      </c>
      <c r="Y141" s="29"/>
      <c r="Z141" s="104">
        <v>5570</v>
      </c>
      <c r="AA141" s="82">
        <v>0.17799999999999999</v>
      </c>
      <c r="AB141" s="29"/>
      <c r="AC141" s="83">
        <v>50592</v>
      </c>
      <c r="AD141" s="82">
        <v>0.25800000000000001</v>
      </c>
      <c r="AE141" s="29"/>
      <c r="AF141" s="104">
        <v>9526</v>
      </c>
      <c r="AG141" s="120">
        <v>0.17799999999999999</v>
      </c>
      <c r="AH141" s="85">
        <v>5.31</v>
      </c>
      <c r="AI141" s="84">
        <v>61.1</v>
      </c>
      <c r="AJ141" s="206">
        <v>321</v>
      </c>
      <c r="AK141" s="83">
        <v>233</v>
      </c>
      <c r="AL141" s="102">
        <v>62</v>
      </c>
      <c r="AM141" s="29"/>
      <c r="AN141" s="83">
        <v>15481</v>
      </c>
      <c r="AO141" s="83">
        <v>28941</v>
      </c>
      <c r="AP141" s="83">
        <v>6170</v>
      </c>
      <c r="AQ141" s="29"/>
      <c r="AR141" s="104">
        <v>2499</v>
      </c>
      <c r="AS141" s="104">
        <v>5801</v>
      </c>
      <c r="AT141" s="104">
        <v>1226</v>
      </c>
      <c r="AU141" s="29"/>
      <c r="AV141" s="83">
        <v>46662</v>
      </c>
      <c r="AW141" s="104">
        <v>8787</v>
      </c>
      <c r="AX141" s="29"/>
      <c r="AY141" s="121">
        <v>0.7</v>
      </c>
      <c r="AZ141" s="120">
        <v>1.2999999999999999E-2</v>
      </c>
      <c r="BA141" s="120">
        <v>0.251</v>
      </c>
      <c r="BB141" s="82">
        <v>3.6999999999999998E-2</v>
      </c>
      <c r="BC141" s="29"/>
      <c r="BD141" s="206">
        <v>0</v>
      </c>
      <c r="BE141" s="89"/>
      <c r="BF141" s="94"/>
      <c r="BG141" s="206">
        <v>12</v>
      </c>
      <c r="BH141" s="206" t="s">
        <v>208</v>
      </c>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c r="DB141" s="20"/>
      <c r="DC141" s="20"/>
      <c r="DD141" s="20"/>
      <c r="DE141" s="20"/>
      <c r="DF141" s="20"/>
      <c r="DG141" s="20"/>
      <c r="DH141" s="20"/>
      <c r="DI141" s="20"/>
      <c r="DJ141" s="20"/>
      <c r="DK141" s="20"/>
      <c r="DL141" s="20"/>
      <c r="DM141" s="20"/>
      <c r="DN141" s="20"/>
      <c r="DO141" s="20"/>
      <c r="DP141" s="20"/>
      <c r="DQ141" s="20"/>
      <c r="DR141" s="20"/>
      <c r="DS141" s="20"/>
      <c r="DT141" s="20"/>
      <c r="DU141" s="20"/>
      <c r="DV141" s="20"/>
      <c r="DW141" s="20"/>
      <c r="DX141" s="20"/>
      <c r="DY141" s="20"/>
      <c r="DZ141" s="20"/>
      <c r="EA141" s="20"/>
      <c r="EB141" s="20"/>
      <c r="EC141" s="20"/>
      <c r="ED141" s="20"/>
      <c r="EE141" s="20"/>
      <c r="EF141" s="20"/>
      <c r="EG141" s="20"/>
      <c r="EH141" s="20"/>
      <c r="EI141" s="20"/>
      <c r="EJ141" s="20"/>
      <c r="EK141" s="20"/>
      <c r="EL141" s="20"/>
      <c r="EM141" s="20"/>
      <c r="EN141" s="20"/>
      <c r="EO141" s="20"/>
      <c r="EP141" s="20"/>
      <c r="EQ141" s="20"/>
      <c r="ER141" s="20"/>
      <c r="ES141" s="20"/>
      <c r="ET141" s="20"/>
      <c r="EU141" s="20"/>
      <c r="EV141" s="20"/>
      <c r="EW141" s="20"/>
      <c r="EX141" s="20"/>
      <c r="EY141" s="20"/>
      <c r="EZ141" s="20"/>
      <c r="FA141" s="20"/>
      <c r="FB141" s="20"/>
      <c r="FC141" s="20"/>
      <c r="FD141" s="20"/>
      <c r="FE141" s="20"/>
      <c r="FF141" s="20"/>
      <c r="FG141" s="20"/>
      <c r="FH141" s="20"/>
      <c r="FI141" s="20"/>
      <c r="FJ141" s="20"/>
      <c r="FK141" s="20"/>
      <c r="FL141" s="20"/>
      <c r="FM141" s="20"/>
      <c r="FN141" s="20"/>
      <c r="FO141" s="20"/>
      <c r="FP141" s="20"/>
      <c r="FQ141" s="20"/>
      <c r="FR141" s="20"/>
      <c r="FS141" s="20"/>
      <c r="FT141" s="20"/>
      <c r="FU141" s="20"/>
      <c r="FV141" s="20"/>
      <c r="FW141" s="20"/>
      <c r="FX141" s="20"/>
      <c r="FY141" s="20"/>
      <c r="FZ141" s="20"/>
      <c r="GA141" s="20"/>
      <c r="GB141" s="20"/>
      <c r="GC141" s="20"/>
      <c r="GD141" s="20"/>
      <c r="GE141" s="20"/>
      <c r="GF141" s="20"/>
      <c r="GG141" s="20"/>
      <c r="GH141" s="20"/>
      <c r="GI141" s="20"/>
      <c r="GJ141" s="20"/>
      <c r="GK141" s="20"/>
      <c r="GL141" s="20"/>
      <c r="GM141" s="20"/>
      <c r="GN141" s="20"/>
      <c r="GO141" s="20"/>
      <c r="GP141" s="20"/>
      <c r="GQ141" s="20"/>
      <c r="GR141" s="20"/>
      <c r="GS141" s="20"/>
      <c r="GT141" s="20"/>
      <c r="GU141" s="20"/>
      <c r="GV141" s="20"/>
      <c r="GW141" s="20"/>
      <c r="GX141" s="20"/>
      <c r="GY141" s="20"/>
      <c r="GZ141" s="20"/>
      <c r="HA141" s="20"/>
      <c r="HB141" s="20"/>
      <c r="HC141" s="20"/>
      <c r="HD141" s="20"/>
      <c r="HE141" s="20"/>
      <c r="HF141" s="20"/>
      <c r="HG141" s="20"/>
      <c r="HH141" s="20"/>
      <c r="HI141" s="20"/>
      <c r="HJ141" s="20"/>
      <c r="HK141" s="20"/>
      <c r="HL141" s="20"/>
      <c r="HM141" s="20"/>
      <c r="HN141" s="20"/>
      <c r="HO141" s="20"/>
      <c r="HP141" s="20"/>
      <c r="HQ141" s="20"/>
      <c r="HR141" s="20"/>
      <c r="HS141" s="20"/>
      <c r="HT141" s="20"/>
      <c r="HU141" s="20"/>
      <c r="HV141" s="20"/>
      <c r="HW141" s="20"/>
      <c r="HX141" s="20"/>
      <c r="HY141" s="20"/>
      <c r="HZ141" s="20"/>
      <c r="IA141" s="20"/>
      <c r="IB141" s="20"/>
      <c r="IC141" s="20"/>
      <c r="ID141" s="20"/>
      <c r="IE141" s="20"/>
      <c r="IF141" s="20"/>
      <c r="IG141" s="20"/>
      <c r="IH141" s="20"/>
      <c r="II141" s="20"/>
      <c r="IJ141" s="20"/>
      <c r="IK141" s="20"/>
      <c r="IL141" s="20"/>
      <c r="IM141" s="20"/>
      <c r="IN141" s="20"/>
      <c r="IO141" s="20"/>
      <c r="IP141" s="20"/>
      <c r="IQ141" s="20"/>
      <c r="IR141" s="20"/>
      <c r="IS141" s="20"/>
      <c r="IT141" s="20"/>
      <c r="IU141" s="20"/>
      <c r="IV141" s="20"/>
      <c r="IW141" s="20"/>
      <c r="IX141" s="20"/>
      <c r="IY141" s="20"/>
      <c r="IZ141" s="20"/>
      <c r="JA141" s="20"/>
      <c r="JB141" s="20"/>
      <c r="JC141" s="20"/>
      <c r="JD141" s="20"/>
      <c r="JE141" s="20"/>
      <c r="JF141" s="20"/>
      <c r="JG141" s="20"/>
      <c r="JH141" s="20"/>
      <c r="JI141" s="20"/>
    </row>
    <row r="142" spans="1:269" ht="17.25" customHeight="1">
      <c r="A142" s="101"/>
      <c r="B142" s="20" t="s">
        <v>120</v>
      </c>
      <c r="C142" s="20" t="s">
        <v>147</v>
      </c>
      <c r="D142" s="83">
        <v>1963470</v>
      </c>
      <c r="E142" s="82">
        <v>4.0000000000000001E-3</v>
      </c>
      <c r="F142" s="86">
        <v>0.04</v>
      </c>
      <c r="G142" s="29"/>
      <c r="H142" s="83">
        <v>2394</v>
      </c>
      <c r="I142" s="104">
        <v>1129</v>
      </c>
      <c r="J142" s="29"/>
      <c r="K142" s="83">
        <v>16308</v>
      </c>
      <c r="L142" s="104">
        <v>3936</v>
      </c>
      <c r="M142" s="29"/>
      <c r="N142" s="207">
        <v>0.11</v>
      </c>
      <c r="O142" s="207">
        <v>0.08</v>
      </c>
      <c r="P142" s="29"/>
      <c r="Q142" s="85">
        <v>0</v>
      </c>
      <c r="R142" s="14"/>
      <c r="S142" s="15"/>
      <c r="T142" s="104">
        <v>9212</v>
      </c>
      <c r="U142" s="86">
        <v>-0.24</v>
      </c>
      <c r="V142" s="29"/>
      <c r="W142" s="83">
        <v>29371</v>
      </c>
      <c r="X142" s="86">
        <v>0.06</v>
      </c>
      <c r="Y142" s="29"/>
      <c r="Z142" s="104">
        <v>5594</v>
      </c>
      <c r="AA142" s="82">
        <v>4.0000000000000001E-3</v>
      </c>
      <c r="AB142" s="29"/>
      <c r="AC142" s="83">
        <v>44809</v>
      </c>
      <c r="AD142" s="82">
        <v>-0.114</v>
      </c>
      <c r="AE142" s="29"/>
      <c r="AF142" s="104">
        <v>8474</v>
      </c>
      <c r="AG142" s="121">
        <v>-0.11</v>
      </c>
      <c r="AH142" s="85">
        <v>5.29</v>
      </c>
      <c r="AI142" s="84">
        <v>60.7</v>
      </c>
      <c r="AJ142" s="207">
        <v>322</v>
      </c>
      <c r="AK142" s="83">
        <v>192</v>
      </c>
      <c r="AL142" s="102">
        <v>69</v>
      </c>
      <c r="AM142" s="29"/>
      <c r="AN142" s="83">
        <v>13300</v>
      </c>
      <c r="AO142" s="83">
        <v>24204</v>
      </c>
      <c r="AP142" s="83">
        <v>7305</v>
      </c>
      <c r="AQ142" s="29"/>
      <c r="AR142" s="104">
        <v>2051</v>
      </c>
      <c r="AS142" s="104">
        <v>4955</v>
      </c>
      <c r="AT142" s="104">
        <v>1468</v>
      </c>
      <c r="AU142" s="29"/>
      <c r="AV142" s="83">
        <v>41157</v>
      </c>
      <c r="AW142" s="104">
        <v>7795</v>
      </c>
      <c r="AX142" s="29"/>
      <c r="AY142" s="121">
        <v>0.61</v>
      </c>
      <c r="AZ142" s="120">
        <v>1.2999999999999999E-2</v>
      </c>
      <c r="BA142" s="120">
        <v>0.34100000000000003</v>
      </c>
      <c r="BB142" s="82">
        <v>3.6999999999999998E-2</v>
      </c>
      <c r="BC142" s="29"/>
      <c r="BD142" s="207">
        <v>0</v>
      </c>
      <c r="BE142" s="89"/>
      <c r="BF142" s="94"/>
      <c r="BG142" s="207">
        <v>12</v>
      </c>
      <c r="BH142" s="207" t="s">
        <v>208</v>
      </c>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c r="DC142" s="20"/>
      <c r="DD142" s="20"/>
      <c r="DE142" s="20"/>
      <c r="DF142" s="20"/>
      <c r="DG142" s="20"/>
      <c r="DH142" s="20"/>
      <c r="DI142" s="20"/>
      <c r="DJ142" s="20"/>
      <c r="DK142" s="20"/>
      <c r="DL142" s="20"/>
      <c r="DM142" s="20"/>
      <c r="DN142" s="20"/>
      <c r="DO142" s="20"/>
      <c r="DP142" s="20"/>
      <c r="DQ142" s="20"/>
      <c r="DR142" s="20"/>
      <c r="DS142" s="20"/>
      <c r="DT142" s="20"/>
      <c r="DU142" s="20"/>
      <c r="DV142" s="20"/>
      <c r="DW142" s="20"/>
      <c r="DX142" s="20"/>
      <c r="DY142" s="20"/>
      <c r="DZ142" s="20"/>
      <c r="EA142" s="20"/>
      <c r="EB142" s="20"/>
      <c r="EC142" s="20"/>
      <c r="ED142" s="20"/>
      <c r="EE142" s="20"/>
      <c r="EF142" s="20"/>
      <c r="EG142" s="20"/>
      <c r="EH142" s="20"/>
      <c r="EI142" s="20"/>
      <c r="EJ142" s="20"/>
      <c r="EK142" s="20"/>
      <c r="EL142" s="20"/>
      <c r="EM142" s="20"/>
      <c r="EN142" s="20"/>
      <c r="EO142" s="20"/>
      <c r="EP142" s="20"/>
      <c r="EQ142" s="20"/>
      <c r="ER142" s="20"/>
      <c r="ES142" s="20"/>
      <c r="ET142" s="20"/>
      <c r="EU142" s="20"/>
      <c r="EV142" s="20"/>
      <c r="EW142" s="20"/>
      <c r="EX142" s="20"/>
      <c r="EY142" s="20"/>
      <c r="EZ142" s="20"/>
      <c r="FA142" s="20"/>
      <c r="FB142" s="20"/>
      <c r="FC142" s="20"/>
      <c r="FD142" s="20"/>
      <c r="FE142" s="20"/>
      <c r="FF142" s="20"/>
      <c r="FG142" s="20"/>
      <c r="FH142" s="20"/>
      <c r="FI142" s="20"/>
      <c r="FJ142" s="20"/>
      <c r="FK142" s="20"/>
      <c r="FL142" s="20"/>
      <c r="FM142" s="20"/>
      <c r="FN142" s="20"/>
      <c r="FO142" s="20"/>
      <c r="FP142" s="20"/>
      <c r="FQ142" s="20"/>
      <c r="FR142" s="20"/>
      <c r="FS142" s="20"/>
      <c r="FT142" s="20"/>
      <c r="FU142" s="20"/>
      <c r="FV142" s="20"/>
      <c r="FW142" s="20"/>
      <c r="FX142" s="20"/>
      <c r="FY142" s="20"/>
      <c r="FZ142" s="20"/>
      <c r="GA142" s="20"/>
      <c r="GB142" s="20"/>
      <c r="GC142" s="20"/>
      <c r="GD142" s="20"/>
      <c r="GE142" s="20"/>
      <c r="GF142" s="20"/>
      <c r="GG142" s="20"/>
      <c r="GH142" s="20"/>
      <c r="GI142" s="20"/>
      <c r="GJ142" s="20"/>
      <c r="GK142" s="20"/>
      <c r="GL142" s="20"/>
      <c r="GM142" s="20"/>
      <c r="GN142" s="20"/>
      <c r="GO142" s="20"/>
      <c r="GP142" s="20"/>
      <c r="GQ142" s="20"/>
      <c r="GR142" s="20"/>
      <c r="GS142" s="20"/>
      <c r="GT142" s="20"/>
      <c r="GU142" s="20"/>
      <c r="GV142" s="20"/>
      <c r="GW142" s="20"/>
      <c r="GX142" s="20"/>
      <c r="GY142" s="20"/>
      <c r="GZ142" s="20"/>
      <c r="HA142" s="20"/>
      <c r="HB142" s="20"/>
      <c r="HC142" s="20"/>
      <c r="HD142" s="20"/>
      <c r="HE142" s="20"/>
      <c r="HF142" s="20"/>
      <c r="HG142" s="20"/>
      <c r="HH142" s="20"/>
      <c r="HI142" s="20"/>
      <c r="HJ142" s="20"/>
      <c r="HK142" s="20"/>
      <c r="HL142" s="20"/>
      <c r="HM142" s="20"/>
      <c r="HN142" s="20"/>
      <c r="HO142" s="20"/>
      <c r="HP142" s="20"/>
      <c r="HQ142" s="20"/>
      <c r="HR142" s="20"/>
      <c r="HS142" s="20"/>
      <c r="HT142" s="20"/>
      <c r="HU142" s="20"/>
      <c r="HV142" s="20"/>
      <c r="HW142" s="20"/>
      <c r="HX142" s="20"/>
      <c r="HY142" s="20"/>
      <c r="HZ142" s="20"/>
      <c r="IA142" s="20"/>
      <c r="IB142" s="20"/>
      <c r="IC142" s="20"/>
      <c r="ID142" s="20"/>
      <c r="IE142" s="20"/>
      <c r="IF142" s="20"/>
      <c r="IG142" s="20"/>
      <c r="IH142" s="20"/>
      <c r="II142" s="20"/>
      <c r="IJ142" s="20"/>
      <c r="IK142" s="20"/>
      <c r="IL142" s="20"/>
      <c r="IM142" s="20"/>
      <c r="IN142" s="20"/>
      <c r="IO142" s="20"/>
      <c r="IP142" s="20"/>
      <c r="IQ142" s="20"/>
      <c r="IR142" s="20"/>
      <c r="IS142" s="20"/>
      <c r="IT142" s="20"/>
      <c r="IU142" s="20"/>
      <c r="IV142" s="20"/>
      <c r="IW142" s="20"/>
      <c r="IX142" s="20"/>
      <c r="IY142" s="20"/>
      <c r="IZ142" s="20"/>
      <c r="JA142" s="20"/>
      <c r="JB142" s="20"/>
      <c r="JC142" s="20"/>
      <c r="JD142" s="20"/>
      <c r="JE142" s="20"/>
      <c r="JF142" s="20"/>
      <c r="JG142" s="20"/>
      <c r="JH142" s="20"/>
      <c r="JI142" s="20"/>
    </row>
    <row r="143" spans="1:269" ht="17.25" customHeight="1">
      <c r="A143" s="101"/>
      <c r="B143" s="20" t="s">
        <v>119</v>
      </c>
      <c r="C143" s="20" t="s">
        <v>145</v>
      </c>
      <c r="D143" s="83">
        <v>1975355</v>
      </c>
      <c r="E143" s="82">
        <v>6.0000000000000001E-3</v>
      </c>
      <c r="F143" s="82">
        <v>4.5999999999999999E-2</v>
      </c>
      <c r="G143" s="29"/>
      <c r="H143" s="83">
        <v>2407</v>
      </c>
      <c r="I143" s="104">
        <v>1121</v>
      </c>
      <c r="J143" s="29"/>
      <c r="K143" s="83">
        <v>16188</v>
      </c>
      <c r="L143" s="104">
        <v>3920</v>
      </c>
      <c r="M143" s="29"/>
      <c r="N143" s="210">
        <v>0.11</v>
      </c>
      <c r="O143" s="210">
        <v>0.08</v>
      </c>
      <c r="P143" s="29"/>
      <c r="Q143" s="85">
        <v>0</v>
      </c>
      <c r="R143" s="14"/>
      <c r="S143" s="15"/>
      <c r="T143" s="104">
        <v>8446</v>
      </c>
      <c r="U143" s="82">
        <v>-8.3000000000000004E-2</v>
      </c>
      <c r="V143" s="29"/>
      <c r="W143" s="83">
        <v>32768</v>
      </c>
      <c r="X143" s="82">
        <v>0.11600000000000001</v>
      </c>
      <c r="Y143" s="29"/>
      <c r="Z143" s="104">
        <v>6233</v>
      </c>
      <c r="AA143" s="82">
        <v>0.114</v>
      </c>
      <c r="AB143" s="29"/>
      <c r="AC143" s="83">
        <v>32191</v>
      </c>
      <c r="AD143" s="82">
        <v>-0.28199999999999997</v>
      </c>
      <c r="AE143" s="29"/>
      <c r="AF143" s="104">
        <v>6090</v>
      </c>
      <c r="AG143" s="120">
        <v>-0.28100000000000003</v>
      </c>
      <c r="AH143" s="85">
        <v>5.29</v>
      </c>
      <c r="AI143" s="84">
        <v>59.1</v>
      </c>
      <c r="AJ143" s="210">
        <v>317</v>
      </c>
      <c r="AK143" s="83">
        <v>207</v>
      </c>
      <c r="AL143" s="102">
        <v>38</v>
      </c>
      <c r="AM143" s="29"/>
      <c r="AN143" s="83">
        <v>9067</v>
      </c>
      <c r="AO143" s="83">
        <v>15320</v>
      </c>
      <c r="AP143" s="83">
        <v>7804</v>
      </c>
      <c r="AQ143" s="29"/>
      <c r="AR143" s="104">
        <v>1337</v>
      </c>
      <c r="AS143" s="104">
        <v>3167</v>
      </c>
      <c r="AT143" s="104">
        <v>1586</v>
      </c>
      <c r="AU143" s="29"/>
      <c r="AV143" s="83">
        <v>29324</v>
      </c>
      <c r="AW143" s="104">
        <v>5541</v>
      </c>
      <c r="AX143" s="29"/>
      <c r="AY143" s="121">
        <v>0.56999999999999995</v>
      </c>
      <c r="AZ143" s="120">
        <v>1.9E-2</v>
      </c>
      <c r="BA143" s="120">
        <v>0.374</v>
      </c>
      <c r="BB143" s="82">
        <v>3.6999999999999998E-2</v>
      </c>
      <c r="BC143" s="29"/>
      <c r="BD143" s="210">
        <v>0</v>
      </c>
      <c r="BE143" s="89"/>
      <c r="BF143" s="94"/>
      <c r="BG143" s="210">
        <v>11</v>
      </c>
      <c r="BH143" s="210" t="s">
        <v>208</v>
      </c>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20"/>
      <c r="DM143" s="20"/>
      <c r="DN143" s="20"/>
      <c r="DO143" s="20"/>
      <c r="DP143" s="20"/>
      <c r="DQ143" s="20"/>
      <c r="DR143" s="20"/>
      <c r="DS143" s="20"/>
      <c r="DT143" s="20"/>
      <c r="DU143" s="20"/>
      <c r="DV143" s="20"/>
      <c r="DW143" s="20"/>
      <c r="DX143" s="20"/>
      <c r="DY143" s="20"/>
      <c r="DZ143" s="20"/>
      <c r="EA143" s="20"/>
      <c r="EB143" s="20"/>
      <c r="EC143" s="20"/>
      <c r="ED143" s="20"/>
      <c r="EE143" s="20"/>
      <c r="EF143" s="20"/>
      <c r="EG143" s="20"/>
      <c r="EH143" s="20"/>
      <c r="EI143" s="20"/>
      <c r="EJ143" s="20"/>
      <c r="EK143" s="20"/>
      <c r="EL143" s="20"/>
      <c r="EM143" s="20"/>
      <c r="EN143" s="20"/>
      <c r="EO143" s="20"/>
      <c r="EP143" s="20"/>
      <c r="EQ143" s="20"/>
      <c r="ER143" s="20"/>
      <c r="ES143" s="20"/>
      <c r="ET143" s="20"/>
      <c r="EU143" s="20"/>
      <c r="EV143" s="20"/>
      <c r="EW143" s="20"/>
      <c r="EX143" s="20"/>
      <c r="EY143" s="20"/>
      <c r="EZ143" s="20"/>
      <c r="FA143" s="20"/>
      <c r="FB143" s="20"/>
      <c r="FC143" s="20"/>
      <c r="FD143" s="20"/>
      <c r="FE143" s="20"/>
      <c r="FF143" s="20"/>
      <c r="FG143" s="20"/>
      <c r="FH143" s="20"/>
      <c r="FI143" s="20"/>
      <c r="FJ143" s="20"/>
      <c r="FK143" s="20"/>
      <c r="FL143" s="20"/>
      <c r="FM143" s="20"/>
      <c r="FN143" s="20"/>
      <c r="FO143" s="20"/>
      <c r="FP143" s="20"/>
      <c r="FQ143" s="20"/>
      <c r="FR143" s="20"/>
      <c r="FS143" s="20"/>
      <c r="FT143" s="20"/>
      <c r="FU143" s="20"/>
      <c r="FV143" s="20"/>
      <c r="FW143" s="20"/>
      <c r="FX143" s="20"/>
      <c r="FY143" s="20"/>
      <c r="FZ143" s="20"/>
      <c r="GA143" s="20"/>
      <c r="GB143" s="20"/>
      <c r="GC143" s="20"/>
      <c r="GD143" s="20"/>
      <c r="GE143" s="20"/>
      <c r="GF143" s="20"/>
      <c r="GG143" s="20"/>
      <c r="GH143" s="20"/>
      <c r="GI143" s="20"/>
      <c r="GJ143" s="20"/>
      <c r="GK143" s="20"/>
      <c r="GL143" s="20"/>
      <c r="GM143" s="20"/>
      <c r="GN143" s="20"/>
      <c r="GO143" s="20"/>
      <c r="GP143" s="20"/>
      <c r="GQ143" s="20"/>
      <c r="GR143" s="20"/>
      <c r="GS143" s="20"/>
      <c r="GT143" s="20"/>
      <c r="GU143" s="20"/>
      <c r="GV143" s="20"/>
      <c r="GW143" s="20"/>
      <c r="GX143" s="20"/>
      <c r="GY143" s="20"/>
      <c r="GZ143" s="20"/>
      <c r="HA143" s="20"/>
      <c r="HB143" s="20"/>
      <c r="HC143" s="20"/>
      <c r="HD143" s="20"/>
      <c r="HE143" s="20"/>
      <c r="HF143" s="20"/>
      <c r="HG143" s="20"/>
      <c r="HH143" s="20"/>
      <c r="HI143" s="20"/>
      <c r="HJ143" s="20"/>
      <c r="HK143" s="20"/>
      <c r="HL143" s="20"/>
      <c r="HM143" s="20"/>
      <c r="HN143" s="20"/>
      <c r="HO143" s="20"/>
      <c r="HP143" s="20"/>
      <c r="HQ143" s="20"/>
      <c r="HR143" s="20"/>
      <c r="HS143" s="20"/>
      <c r="HT143" s="20"/>
      <c r="HU143" s="20"/>
      <c r="HV143" s="20"/>
      <c r="HW143" s="20"/>
      <c r="HX143" s="20"/>
      <c r="HY143" s="20"/>
      <c r="HZ143" s="20"/>
      <c r="IA143" s="20"/>
      <c r="IB143" s="20"/>
      <c r="IC143" s="20"/>
      <c r="ID143" s="20"/>
      <c r="IE143" s="20"/>
      <c r="IF143" s="20"/>
      <c r="IG143" s="20"/>
      <c r="IH143" s="20"/>
      <c r="II143" s="20"/>
      <c r="IJ143" s="20"/>
      <c r="IK143" s="20"/>
      <c r="IL143" s="20"/>
      <c r="IM143" s="20"/>
      <c r="IN143" s="20"/>
      <c r="IO143" s="20"/>
      <c r="IP143" s="20"/>
      <c r="IQ143" s="20"/>
      <c r="IR143" s="20"/>
      <c r="IS143" s="20"/>
      <c r="IT143" s="20"/>
      <c r="IU143" s="20"/>
      <c r="IV143" s="20"/>
      <c r="IW143" s="20"/>
      <c r="IX143" s="20"/>
      <c r="IY143" s="20"/>
      <c r="IZ143" s="20"/>
      <c r="JA143" s="20"/>
      <c r="JB143" s="20"/>
      <c r="JC143" s="20"/>
      <c r="JD143" s="20"/>
      <c r="JE143" s="20"/>
      <c r="JF143" s="20"/>
      <c r="JG143" s="20"/>
      <c r="JH143" s="20"/>
      <c r="JI143" s="20"/>
    </row>
    <row r="144" spans="1:269">
      <c r="A144" s="106"/>
      <c r="B144" s="20"/>
      <c r="C144" s="20"/>
      <c r="D144" s="23"/>
      <c r="E144" s="23"/>
      <c r="F144" s="23"/>
      <c r="G144" s="25"/>
      <c r="H144" s="23"/>
      <c r="I144" s="23"/>
      <c r="J144" s="25"/>
      <c r="K144" s="23"/>
      <c r="L144" s="23"/>
      <c r="M144" s="25"/>
      <c r="N144" s="23"/>
      <c r="O144" s="23"/>
      <c r="P144" s="25"/>
      <c r="Q144" s="23"/>
      <c r="R144" s="24"/>
      <c r="S144" s="25"/>
      <c r="T144" s="208"/>
      <c r="U144" s="209"/>
      <c r="V144" s="25"/>
      <c r="W144" s="208"/>
      <c r="X144" s="23"/>
      <c r="Y144" s="25"/>
      <c r="Z144" s="209"/>
      <c r="AA144" s="23"/>
      <c r="AB144" s="25"/>
      <c r="AC144" s="209"/>
      <c r="AD144" s="23"/>
      <c r="AE144" s="25"/>
      <c r="AF144" s="209"/>
      <c r="AG144" s="23"/>
      <c r="AH144" s="23"/>
      <c r="AI144" s="23"/>
      <c r="AJ144" s="23"/>
      <c r="AK144" s="23"/>
      <c r="AL144" s="23"/>
      <c r="AM144" s="25"/>
      <c r="AN144" s="23"/>
      <c r="AO144" s="23"/>
      <c r="AP144" s="23"/>
      <c r="AQ144" s="25"/>
      <c r="AR144" s="23"/>
      <c r="AS144" s="23"/>
      <c r="AT144" s="23"/>
      <c r="AU144" s="25"/>
      <c r="AV144" s="23"/>
      <c r="AW144" s="23"/>
      <c r="AX144" s="25"/>
      <c r="AY144" s="23"/>
      <c r="AZ144" s="23"/>
      <c r="BA144" s="23"/>
      <c r="BB144" s="23"/>
      <c r="BC144" s="25"/>
      <c r="BD144" s="22"/>
      <c r="BE144" s="22"/>
      <c r="BF144" s="107"/>
      <c r="BG144" s="22"/>
      <c r="BH144" s="22"/>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c r="DB144" s="20"/>
      <c r="DC144" s="20"/>
      <c r="DD144" s="20"/>
      <c r="DE144" s="20"/>
      <c r="DF144" s="20"/>
      <c r="DG144" s="20"/>
      <c r="DH144" s="20"/>
      <c r="DI144" s="20"/>
      <c r="DJ144" s="20"/>
      <c r="DK144" s="20"/>
      <c r="DL144" s="20"/>
      <c r="DM144" s="20"/>
      <c r="DN144" s="20"/>
      <c r="DO144" s="20"/>
      <c r="DP144" s="20"/>
      <c r="DQ144" s="20"/>
      <c r="DR144" s="20"/>
      <c r="DS144" s="20"/>
      <c r="DT144" s="20"/>
      <c r="DU144" s="20"/>
      <c r="DV144" s="20"/>
      <c r="DW144" s="20"/>
      <c r="DX144" s="20"/>
      <c r="DY144" s="20"/>
      <c r="DZ144" s="20"/>
      <c r="EA144" s="20"/>
      <c r="EB144" s="20"/>
      <c r="EC144" s="20"/>
      <c r="ED144" s="20"/>
      <c r="EE144" s="20"/>
      <c r="EF144" s="20"/>
      <c r="EG144" s="20"/>
      <c r="EH144" s="20"/>
      <c r="EI144" s="20"/>
      <c r="EJ144" s="20"/>
      <c r="EK144" s="20"/>
      <c r="EL144" s="20"/>
      <c r="EM144" s="20"/>
      <c r="EN144" s="20"/>
      <c r="EO144" s="20"/>
      <c r="EP144" s="20"/>
      <c r="EQ144" s="20"/>
      <c r="ER144" s="20"/>
      <c r="ES144" s="20"/>
      <c r="ET144" s="20"/>
      <c r="EU144" s="20"/>
      <c r="EV144" s="20"/>
      <c r="EW144" s="20"/>
      <c r="EX144" s="20"/>
      <c r="EY144" s="20"/>
      <c r="EZ144" s="20"/>
      <c r="FA144" s="20"/>
      <c r="FB144" s="20"/>
      <c r="FC144" s="20"/>
      <c r="FD144" s="20"/>
      <c r="FE144" s="20"/>
      <c r="FF144" s="20"/>
      <c r="FG144" s="20"/>
      <c r="FH144" s="20"/>
      <c r="FI144" s="20"/>
      <c r="FJ144" s="20"/>
      <c r="FK144" s="20"/>
      <c r="FL144" s="20"/>
      <c r="FM144" s="20"/>
      <c r="FN144" s="20"/>
      <c r="FO144" s="20"/>
      <c r="FP144" s="20"/>
      <c r="FQ144" s="20"/>
      <c r="FR144" s="20"/>
      <c r="FS144" s="20"/>
      <c r="FT144" s="20"/>
      <c r="FU144" s="20"/>
      <c r="FV144" s="20"/>
      <c r="FW144" s="20"/>
      <c r="FX144" s="20"/>
      <c r="FY144" s="20"/>
      <c r="FZ144" s="20"/>
      <c r="GA144" s="20"/>
      <c r="GB144" s="20"/>
      <c r="GC144" s="20"/>
      <c r="GD144" s="20"/>
      <c r="GE144" s="20"/>
      <c r="GF144" s="20"/>
      <c r="GG144" s="20"/>
      <c r="GH144" s="20"/>
      <c r="GI144" s="20"/>
      <c r="GJ144" s="20"/>
      <c r="GK144" s="20"/>
      <c r="GL144" s="20"/>
      <c r="GM144" s="20"/>
      <c r="GN144" s="20"/>
      <c r="GO144" s="20"/>
      <c r="GP144" s="20"/>
      <c r="GQ144" s="20"/>
      <c r="GR144" s="20"/>
      <c r="GS144" s="20"/>
      <c r="GT144" s="20"/>
      <c r="GU144" s="20"/>
      <c r="GV144" s="20"/>
      <c r="GW144" s="20"/>
      <c r="GX144" s="20"/>
      <c r="GY144" s="20"/>
      <c r="GZ144" s="20"/>
      <c r="HA144" s="20"/>
      <c r="HB144" s="20"/>
      <c r="HC144" s="20"/>
      <c r="HD144" s="20"/>
      <c r="HE144" s="20"/>
      <c r="HF144" s="20"/>
      <c r="HG144" s="20"/>
      <c r="HH144" s="20"/>
      <c r="HI144" s="20"/>
      <c r="HJ144" s="20"/>
      <c r="HK144" s="20"/>
      <c r="HL144" s="20"/>
      <c r="HM144" s="20"/>
      <c r="HN144" s="20"/>
      <c r="HO144" s="20"/>
      <c r="HP144" s="20"/>
      <c r="HQ144" s="20"/>
      <c r="HR144" s="20"/>
      <c r="HS144" s="20"/>
      <c r="HT144" s="20"/>
      <c r="HU144" s="20"/>
      <c r="HV144" s="20"/>
      <c r="HW144" s="20"/>
      <c r="HX144" s="20"/>
      <c r="HY144" s="20"/>
      <c r="HZ144" s="20"/>
      <c r="IA144" s="20"/>
      <c r="IB144" s="20"/>
      <c r="IC144" s="20"/>
      <c r="ID144" s="20"/>
      <c r="IE144" s="20"/>
      <c r="IF144" s="20"/>
      <c r="IG144" s="20"/>
      <c r="IH144" s="20"/>
      <c r="II144" s="20"/>
      <c r="IJ144" s="20"/>
      <c r="IK144" s="20"/>
      <c r="IL144" s="20"/>
      <c r="IM144" s="20"/>
      <c r="IN144" s="20"/>
      <c r="IO144" s="20"/>
      <c r="IP144" s="20"/>
      <c r="IQ144" s="20"/>
      <c r="IR144" s="20"/>
      <c r="IS144" s="20"/>
      <c r="IT144" s="20"/>
      <c r="IU144" s="20"/>
      <c r="IV144" s="20"/>
      <c r="IW144" s="20"/>
      <c r="IX144" s="20"/>
      <c r="IY144" s="20"/>
      <c r="IZ144" s="20"/>
      <c r="JA144" s="20"/>
      <c r="JB144" s="20"/>
      <c r="JC144" s="20"/>
      <c r="JD144" s="20"/>
      <c r="JE144" s="20"/>
      <c r="JF144" s="20"/>
      <c r="JG144" s="20"/>
      <c r="JH144" s="20"/>
      <c r="JI144" s="20"/>
    </row>
    <row r="145" spans="1:16375" ht="15" customHeight="1">
      <c r="A145" s="108" t="s">
        <v>48</v>
      </c>
      <c r="B145" s="232" t="s">
        <v>49</v>
      </c>
      <c r="C145" s="232"/>
      <c r="D145" s="232"/>
      <c r="E145" s="232"/>
      <c r="F145" s="232"/>
      <c r="G145" s="232"/>
      <c r="H145" s="232"/>
      <c r="I145" s="232"/>
      <c r="J145" s="232"/>
      <c r="K145" s="232"/>
      <c r="L145" s="232"/>
      <c r="M145" s="232"/>
      <c r="N145" s="232"/>
      <c r="O145" s="232"/>
      <c r="P145" s="232"/>
      <c r="Q145" s="232"/>
      <c r="R145" s="232"/>
      <c r="S145" s="232"/>
      <c r="T145" s="232"/>
      <c r="U145" s="232"/>
      <c r="V145" s="232"/>
      <c r="W145" s="232"/>
      <c r="X145" s="232"/>
      <c r="Y145" s="232"/>
      <c r="Z145" s="232"/>
      <c r="AA145" s="232"/>
      <c r="AB145" s="232"/>
      <c r="AC145" s="232"/>
      <c r="AD145" s="232"/>
      <c r="AE145" s="232"/>
      <c r="AF145" s="232"/>
      <c r="AG145" s="232"/>
      <c r="AH145" s="109" t="s">
        <v>227</v>
      </c>
      <c r="AI145" s="230" t="s">
        <v>219</v>
      </c>
      <c r="AJ145" s="230"/>
      <c r="AK145" s="230"/>
      <c r="AL145" s="230"/>
      <c r="AM145" s="230"/>
      <c r="AN145" s="230"/>
      <c r="AO145" s="230"/>
      <c r="AP145" s="230"/>
      <c r="AQ145" s="230"/>
      <c r="AR145" s="230"/>
      <c r="AS145" s="230"/>
      <c r="AT145" s="230"/>
      <c r="AU145" s="230"/>
      <c r="AV145" s="230"/>
      <c r="AW145" s="230"/>
      <c r="AX145" s="230"/>
      <c r="AY145" s="230"/>
      <c r="AZ145" s="230"/>
      <c r="BA145" s="230"/>
      <c r="BB145" s="230"/>
      <c r="BC145" s="110"/>
      <c r="BD145" s="110"/>
      <c r="BE145" s="111"/>
      <c r="BF145" s="111"/>
      <c r="BG145" s="111"/>
      <c r="BH145" s="111"/>
      <c r="BI145" s="112"/>
      <c r="BJ145" s="112"/>
      <c r="BK145" s="112"/>
      <c r="BL145" s="112"/>
      <c r="BM145" s="112"/>
      <c r="BN145" s="112"/>
      <c r="BO145" s="112"/>
      <c r="BP145" s="112"/>
      <c r="BQ145" s="112"/>
      <c r="BR145" s="112"/>
      <c r="BS145" s="112"/>
      <c r="BT145" s="112"/>
      <c r="BU145" s="112"/>
      <c r="BV145" s="112"/>
      <c r="BW145" s="112"/>
      <c r="BX145" s="112"/>
      <c r="BY145" s="112"/>
      <c r="BZ145" s="112"/>
      <c r="CA145" s="112"/>
      <c r="CB145" s="112"/>
      <c r="CC145" s="112"/>
      <c r="CD145" s="112"/>
      <c r="CE145" s="112"/>
      <c r="CF145" s="112"/>
      <c r="CG145" s="112"/>
      <c r="CH145" s="112"/>
      <c r="CI145" s="112"/>
      <c r="CJ145" s="112"/>
      <c r="CK145" s="112"/>
      <c r="CL145" s="112"/>
      <c r="CM145" s="112"/>
      <c r="CN145" s="112"/>
      <c r="CO145" s="112"/>
      <c r="CP145" s="112"/>
      <c r="CQ145" s="112"/>
      <c r="CR145" s="112"/>
      <c r="CS145" s="112"/>
      <c r="CT145" s="112"/>
      <c r="CU145" s="112"/>
      <c r="CV145" s="112"/>
      <c r="CW145" s="112"/>
      <c r="CX145" s="112"/>
      <c r="CY145" s="112"/>
      <c r="CZ145" s="112"/>
      <c r="DA145" s="112"/>
      <c r="DB145" s="112"/>
      <c r="DC145" s="112"/>
      <c r="DD145" s="112"/>
      <c r="DE145" s="112"/>
      <c r="DF145" s="112"/>
      <c r="DG145" s="112"/>
      <c r="DH145" s="112"/>
      <c r="DI145" s="112"/>
      <c r="DJ145" s="112"/>
      <c r="DK145" s="112"/>
      <c r="DL145" s="112"/>
      <c r="DM145" s="112"/>
      <c r="DN145" s="112"/>
      <c r="DO145" s="112"/>
      <c r="DP145" s="112"/>
      <c r="DQ145" s="112"/>
      <c r="DR145" s="112"/>
      <c r="DS145" s="112"/>
      <c r="DT145" s="112"/>
      <c r="DU145" s="112"/>
      <c r="DV145" s="112"/>
      <c r="DW145" s="112"/>
      <c r="DX145" s="112"/>
      <c r="DY145" s="112"/>
      <c r="DZ145" s="112"/>
      <c r="EA145" s="112"/>
      <c r="EB145" s="112"/>
      <c r="EC145" s="112"/>
      <c r="ED145" s="112"/>
      <c r="EE145" s="112"/>
      <c r="EF145" s="112"/>
      <c r="EG145" s="112"/>
      <c r="EH145" s="112"/>
      <c r="EI145" s="112"/>
      <c r="EJ145" s="112"/>
      <c r="EK145" s="112"/>
      <c r="EL145" s="112"/>
      <c r="EM145" s="112"/>
      <c r="EN145" s="112"/>
      <c r="EO145" s="112"/>
      <c r="EP145" s="112"/>
      <c r="EQ145" s="112"/>
      <c r="ER145" s="112"/>
      <c r="ES145" s="112"/>
      <c r="ET145" s="112"/>
      <c r="EU145" s="112"/>
      <c r="EV145" s="112"/>
      <c r="EW145" s="112"/>
      <c r="EX145" s="112"/>
      <c r="EY145" s="112"/>
      <c r="EZ145" s="112"/>
      <c r="FA145" s="112"/>
      <c r="FB145" s="112"/>
      <c r="FC145" s="112"/>
      <c r="FD145" s="112"/>
      <c r="FE145" s="112"/>
      <c r="FF145" s="112"/>
      <c r="FG145" s="112"/>
      <c r="FH145" s="112"/>
      <c r="FI145" s="112"/>
      <c r="FJ145" s="112"/>
      <c r="FK145" s="112"/>
      <c r="FL145" s="112"/>
      <c r="FM145" s="112"/>
      <c r="FN145" s="112"/>
      <c r="FO145" s="112"/>
      <c r="FP145" s="112"/>
      <c r="FQ145" s="112"/>
      <c r="FR145" s="112"/>
      <c r="FS145" s="112"/>
      <c r="FT145" s="112"/>
      <c r="FU145" s="112"/>
      <c r="FV145" s="112"/>
      <c r="FW145" s="112"/>
      <c r="FX145" s="112"/>
      <c r="FY145" s="112"/>
      <c r="FZ145" s="112"/>
      <c r="GA145" s="112"/>
      <c r="GB145" s="112"/>
      <c r="GC145" s="112"/>
      <c r="GD145" s="112"/>
      <c r="GE145" s="112"/>
      <c r="GF145" s="112"/>
      <c r="GG145" s="112"/>
      <c r="GH145" s="112"/>
      <c r="GI145" s="112"/>
      <c r="GJ145" s="112"/>
      <c r="GK145" s="112"/>
      <c r="GL145" s="112"/>
      <c r="GM145" s="112"/>
      <c r="GN145" s="112"/>
      <c r="GO145" s="112"/>
      <c r="GP145" s="112"/>
      <c r="GQ145" s="112"/>
      <c r="GR145" s="112"/>
      <c r="GS145" s="112"/>
      <c r="GT145" s="112"/>
      <c r="GU145" s="112"/>
      <c r="GV145" s="112"/>
      <c r="GW145" s="112"/>
      <c r="GX145" s="112"/>
      <c r="GY145" s="112"/>
      <c r="GZ145" s="112"/>
      <c r="HA145" s="112"/>
      <c r="HB145" s="112"/>
      <c r="HC145" s="112"/>
      <c r="HD145" s="112"/>
      <c r="HE145" s="112"/>
      <c r="HF145" s="112"/>
      <c r="HG145" s="112"/>
      <c r="HH145" s="112"/>
      <c r="HI145" s="112"/>
      <c r="HJ145" s="112"/>
      <c r="HK145" s="112"/>
      <c r="HL145" s="112"/>
      <c r="HM145" s="112"/>
      <c r="HN145" s="112"/>
      <c r="HO145" s="112"/>
      <c r="HP145" s="112"/>
      <c r="HQ145" s="112"/>
      <c r="HR145" s="112"/>
      <c r="HS145" s="112"/>
      <c r="HT145" s="112"/>
      <c r="HU145" s="112"/>
      <c r="HV145" s="112"/>
      <c r="HW145" s="112"/>
      <c r="HX145" s="112"/>
      <c r="HY145" s="112"/>
      <c r="HZ145" s="112"/>
      <c r="IA145" s="112"/>
      <c r="IB145" s="112"/>
      <c r="IC145" s="112"/>
      <c r="ID145" s="112"/>
      <c r="IE145" s="112"/>
      <c r="IF145" s="112"/>
      <c r="IG145" s="112"/>
      <c r="IH145" s="112"/>
      <c r="II145" s="112"/>
      <c r="IJ145" s="112"/>
      <c r="IK145" s="112"/>
      <c r="IL145" s="112"/>
      <c r="IM145" s="112"/>
      <c r="IN145" s="112"/>
      <c r="IO145" s="112"/>
      <c r="IP145" s="112"/>
      <c r="IQ145" s="112"/>
      <c r="IR145" s="112"/>
      <c r="IS145" s="112"/>
      <c r="IT145" s="112"/>
      <c r="IU145" s="112"/>
      <c r="IV145" s="112"/>
      <c r="IW145" s="112"/>
      <c r="IX145" s="112"/>
      <c r="IY145" s="112"/>
      <c r="IZ145" s="112"/>
      <c r="JA145" s="112"/>
      <c r="JB145" s="112"/>
      <c r="JC145" s="112"/>
      <c r="JD145" s="112"/>
      <c r="JE145" s="112"/>
      <c r="JF145" s="112"/>
      <c r="JG145" s="112"/>
      <c r="JH145" s="112"/>
      <c r="JI145" s="112"/>
    </row>
    <row r="146" spans="1:16375" ht="15" customHeight="1">
      <c r="A146" s="108" t="s">
        <v>50</v>
      </c>
      <c r="B146" s="231" t="s">
        <v>51</v>
      </c>
      <c r="C146" s="231"/>
      <c r="D146" s="231"/>
      <c r="E146" s="231"/>
      <c r="F146" s="231"/>
      <c r="G146" s="231"/>
      <c r="H146" s="231"/>
      <c r="I146" s="231"/>
      <c r="J146" s="231"/>
      <c r="K146" s="231"/>
      <c r="L146" s="231"/>
      <c r="M146" s="231"/>
      <c r="N146" s="231"/>
      <c r="O146" s="231"/>
      <c r="P146" s="231"/>
      <c r="Q146" s="231"/>
      <c r="R146" s="231"/>
      <c r="S146" s="231"/>
      <c r="T146" s="231"/>
      <c r="U146" s="231"/>
      <c r="V146" s="231"/>
      <c r="W146" s="231"/>
      <c r="X146" s="231"/>
      <c r="Y146" s="231"/>
      <c r="Z146" s="231"/>
      <c r="AA146" s="231"/>
      <c r="AB146" s="231"/>
      <c r="AC146" s="231"/>
      <c r="AD146" s="231"/>
      <c r="AE146" s="231"/>
      <c r="AF146" s="231"/>
      <c r="AG146" s="231"/>
      <c r="AH146" s="109" t="s">
        <v>50</v>
      </c>
      <c r="AI146" s="229" t="s">
        <v>220</v>
      </c>
      <c r="AJ146" s="229"/>
      <c r="AK146" s="229"/>
      <c r="AL146" s="229"/>
      <c r="AM146" s="229"/>
      <c r="AN146" s="229"/>
      <c r="AO146" s="229"/>
      <c r="AP146" s="229"/>
      <c r="AQ146" s="229"/>
      <c r="AR146" s="229"/>
      <c r="AS146" s="229"/>
      <c r="AT146" s="229"/>
      <c r="AU146" s="229"/>
      <c r="AV146" s="229"/>
      <c r="AW146" s="229"/>
      <c r="AX146" s="229"/>
      <c r="AY146" s="229"/>
      <c r="AZ146" s="229"/>
      <c r="BA146" s="229"/>
      <c r="BB146" s="229"/>
      <c r="BC146" s="113"/>
      <c r="BD146" s="113"/>
      <c r="BE146" s="111"/>
      <c r="BF146" s="111"/>
      <c r="BG146" s="111"/>
      <c r="BH146" s="111"/>
      <c r="BI146" s="112"/>
      <c r="BJ146" s="112"/>
      <c r="BK146" s="112"/>
      <c r="BL146" s="112"/>
      <c r="BM146" s="112"/>
      <c r="BN146" s="112"/>
      <c r="BO146" s="112"/>
      <c r="BP146" s="112"/>
      <c r="BQ146" s="112"/>
      <c r="BR146" s="112"/>
      <c r="BS146" s="112"/>
      <c r="BT146" s="112"/>
      <c r="BU146" s="112"/>
      <c r="BV146" s="112"/>
      <c r="BW146" s="112"/>
      <c r="BX146" s="112"/>
      <c r="BY146" s="112"/>
      <c r="BZ146" s="112"/>
      <c r="CA146" s="112"/>
      <c r="CB146" s="112"/>
      <c r="CC146" s="112"/>
      <c r="CD146" s="112"/>
      <c r="CE146" s="112"/>
      <c r="CF146" s="112"/>
      <c r="CG146" s="112"/>
      <c r="CH146" s="112"/>
      <c r="CI146" s="112"/>
      <c r="CJ146" s="112"/>
      <c r="CK146" s="112"/>
      <c r="CL146" s="112"/>
      <c r="CM146" s="112"/>
      <c r="CN146" s="112"/>
      <c r="CO146" s="112"/>
      <c r="CP146" s="112"/>
      <c r="CQ146" s="112"/>
      <c r="CR146" s="112"/>
      <c r="CS146" s="112"/>
      <c r="CT146" s="112"/>
      <c r="CU146" s="112"/>
      <c r="CV146" s="112"/>
      <c r="CW146" s="112"/>
      <c r="CX146" s="112"/>
      <c r="CY146" s="112"/>
      <c r="CZ146" s="112"/>
      <c r="DA146" s="112"/>
      <c r="DB146" s="112"/>
      <c r="DC146" s="112"/>
      <c r="DD146" s="112"/>
      <c r="DE146" s="112"/>
      <c r="DF146" s="112"/>
      <c r="DG146" s="112"/>
      <c r="DH146" s="112"/>
      <c r="DI146" s="112"/>
      <c r="DJ146" s="112"/>
      <c r="DK146" s="112"/>
      <c r="DL146" s="112"/>
      <c r="DM146" s="112"/>
      <c r="DN146" s="112"/>
      <c r="DO146" s="112"/>
      <c r="DP146" s="112"/>
      <c r="DQ146" s="112"/>
      <c r="DR146" s="112"/>
      <c r="DS146" s="112"/>
      <c r="DT146" s="112"/>
      <c r="DU146" s="112"/>
      <c r="DV146" s="112"/>
      <c r="DW146" s="112"/>
      <c r="DX146" s="112"/>
      <c r="DY146" s="112"/>
      <c r="DZ146" s="112"/>
      <c r="EA146" s="112"/>
      <c r="EB146" s="112"/>
      <c r="EC146" s="112"/>
      <c r="ED146" s="112"/>
      <c r="EE146" s="112"/>
      <c r="EF146" s="112"/>
      <c r="EG146" s="112"/>
      <c r="EH146" s="112"/>
      <c r="EI146" s="112"/>
      <c r="EJ146" s="112"/>
      <c r="EK146" s="112"/>
      <c r="EL146" s="112"/>
      <c r="EM146" s="112"/>
      <c r="EN146" s="112"/>
      <c r="EO146" s="112"/>
      <c r="EP146" s="112"/>
      <c r="EQ146" s="112"/>
      <c r="ER146" s="112"/>
      <c r="ES146" s="112"/>
      <c r="ET146" s="112"/>
      <c r="EU146" s="112"/>
      <c r="EV146" s="112"/>
      <c r="EW146" s="112"/>
      <c r="EX146" s="112"/>
      <c r="EY146" s="112"/>
      <c r="EZ146" s="112"/>
      <c r="FA146" s="112"/>
      <c r="FB146" s="112"/>
      <c r="FC146" s="112"/>
      <c r="FD146" s="112"/>
      <c r="FE146" s="112"/>
      <c r="FF146" s="112"/>
      <c r="FG146" s="112"/>
      <c r="FH146" s="112"/>
      <c r="FI146" s="112"/>
      <c r="FJ146" s="112"/>
      <c r="FK146" s="112"/>
      <c r="FL146" s="112"/>
      <c r="FM146" s="112"/>
      <c r="FN146" s="112"/>
      <c r="FO146" s="112"/>
      <c r="FP146" s="112"/>
      <c r="FQ146" s="112"/>
      <c r="FR146" s="112"/>
      <c r="FS146" s="112"/>
      <c r="FT146" s="112"/>
      <c r="FU146" s="112"/>
      <c r="FV146" s="112"/>
      <c r="FW146" s="112"/>
      <c r="FX146" s="112"/>
      <c r="FY146" s="112"/>
      <c r="FZ146" s="112"/>
      <c r="GA146" s="112"/>
      <c r="GB146" s="112"/>
      <c r="GC146" s="112"/>
      <c r="GD146" s="112"/>
      <c r="GE146" s="112"/>
      <c r="GF146" s="112"/>
      <c r="GG146" s="112"/>
      <c r="GH146" s="112"/>
      <c r="GI146" s="112"/>
      <c r="GJ146" s="112"/>
      <c r="GK146" s="112"/>
      <c r="GL146" s="112"/>
      <c r="GM146" s="112"/>
      <c r="GN146" s="112"/>
      <c r="GO146" s="112"/>
      <c r="GP146" s="112"/>
      <c r="GQ146" s="112"/>
      <c r="GR146" s="112"/>
      <c r="GS146" s="112"/>
      <c r="GT146" s="112"/>
      <c r="GU146" s="112"/>
      <c r="GV146" s="112"/>
      <c r="GW146" s="112"/>
      <c r="GX146" s="112"/>
      <c r="GY146" s="112"/>
      <c r="GZ146" s="112"/>
      <c r="HA146" s="112"/>
      <c r="HB146" s="112"/>
      <c r="HC146" s="112"/>
      <c r="HD146" s="112"/>
      <c r="HE146" s="112"/>
      <c r="HF146" s="112"/>
      <c r="HG146" s="112"/>
      <c r="HH146" s="112"/>
      <c r="HI146" s="112"/>
      <c r="HJ146" s="112"/>
      <c r="HK146" s="112"/>
      <c r="HL146" s="112"/>
      <c r="HM146" s="112"/>
      <c r="HN146" s="112"/>
      <c r="HO146" s="112"/>
      <c r="HP146" s="112"/>
      <c r="HQ146" s="112"/>
      <c r="HR146" s="112"/>
      <c r="HS146" s="112"/>
      <c r="HT146" s="112"/>
      <c r="HU146" s="112"/>
      <c r="HV146" s="112"/>
      <c r="HW146" s="112"/>
      <c r="HX146" s="112"/>
      <c r="HY146" s="112"/>
      <c r="HZ146" s="112"/>
      <c r="IA146" s="112"/>
      <c r="IB146" s="112"/>
      <c r="IC146" s="112"/>
      <c r="ID146" s="112"/>
      <c r="IE146" s="112"/>
      <c r="IF146" s="112"/>
      <c r="IG146" s="112"/>
      <c r="IH146" s="112"/>
      <c r="II146" s="112"/>
      <c r="IJ146" s="112"/>
      <c r="IK146" s="112"/>
      <c r="IL146" s="112"/>
      <c r="IM146" s="112"/>
      <c r="IN146" s="112"/>
      <c r="IO146" s="112"/>
      <c r="IP146" s="112"/>
      <c r="IQ146" s="112"/>
      <c r="IR146" s="112"/>
      <c r="IS146" s="112"/>
      <c r="IT146" s="112"/>
      <c r="IU146" s="112"/>
      <c r="IV146" s="112"/>
      <c r="IW146" s="112"/>
      <c r="IX146" s="112"/>
      <c r="IY146" s="112"/>
      <c r="IZ146" s="112"/>
      <c r="JA146" s="112"/>
      <c r="JB146" s="112"/>
      <c r="JC146" s="112"/>
      <c r="JD146" s="112"/>
      <c r="JE146" s="112"/>
      <c r="JF146" s="112"/>
      <c r="JG146" s="112"/>
      <c r="JH146" s="112"/>
      <c r="JI146" s="112"/>
    </row>
    <row r="147" spans="1:16375" ht="15" customHeight="1">
      <c r="A147" s="108" t="s">
        <v>52</v>
      </c>
      <c r="B147" s="231" t="s">
        <v>236</v>
      </c>
      <c r="C147" s="231"/>
      <c r="D147" s="231"/>
      <c r="E147" s="231"/>
      <c r="F147" s="231"/>
      <c r="G147" s="231"/>
      <c r="H147" s="231"/>
      <c r="I147" s="231"/>
      <c r="J147" s="231"/>
      <c r="K147" s="231"/>
      <c r="L147" s="231"/>
      <c r="M147" s="231"/>
      <c r="N147" s="231"/>
      <c r="O147" s="231"/>
      <c r="P147" s="231"/>
      <c r="Q147" s="231"/>
      <c r="R147" s="231"/>
      <c r="S147" s="231"/>
      <c r="T147" s="231"/>
      <c r="U147" s="231"/>
      <c r="V147" s="231"/>
      <c r="W147" s="231"/>
      <c r="X147" s="231"/>
      <c r="Y147" s="231"/>
      <c r="Z147" s="231"/>
      <c r="AA147" s="231"/>
      <c r="AB147" s="231"/>
      <c r="AC147" s="231"/>
      <c r="AD147" s="231"/>
      <c r="AE147" s="231"/>
      <c r="AF147" s="231"/>
      <c r="AG147" s="231"/>
      <c r="AH147" s="109" t="s">
        <v>52</v>
      </c>
      <c r="AI147" s="231" t="s">
        <v>226</v>
      </c>
      <c r="AJ147" s="231"/>
      <c r="AK147" s="231"/>
      <c r="AL147" s="231"/>
      <c r="AM147" s="231"/>
      <c r="AN147" s="231"/>
      <c r="AO147" s="231"/>
      <c r="AP147" s="231"/>
      <c r="AQ147" s="231"/>
      <c r="AR147" s="231"/>
      <c r="AS147" s="231"/>
      <c r="AT147" s="231"/>
      <c r="AU147" s="231"/>
      <c r="AV147" s="231"/>
      <c r="AW147" s="231"/>
      <c r="AX147" s="231"/>
      <c r="AY147" s="231"/>
      <c r="AZ147" s="231"/>
      <c r="BA147" s="231"/>
      <c r="BB147" s="231"/>
      <c r="BC147" s="113"/>
      <c r="BD147" s="113"/>
      <c r="BE147" s="111"/>
      <c r="BF147" s="111"/>
      <c r="BG147" s="111"/>
      <c r="BH147" s="111"/>
      <c r="BI147" s="112"/>
      <c r="BJ147" s="112"/>
      <c r="BK147" s="112"/>
      <c r="BL147" s="112"/>
      <c r="BM147" s="112"/>
      <c r="BN147" s="112"/>
      <c r="BO147" s="112"/>
      <c r="BP147" s="112"/>
      <c r="BQ147" s="112"/>
      <c r="BR147" s="112"/>
      <c r="BS147" s="112"/>
      <c r="BT147" s="112"/>
      <c r="BU147" s="112"/>
      <c r="BV147" s="112"/>
      <c r="BW147" s="112"/>
      <c r="BX147" s="112"/>
      <c r="BY147" s="112"/>
      <c r="BZ147" s="112"/>
      <c r="CA147" s="112"/>
      <c r="CB147" s="112"/>
      <c r="CC147" s="112"/>
      <c r="CD147" s="112"/>
      <c r="CE147" s="112"/>
      <c r="CF147" s="112"/>
      <c r="CG147" s="112"/>
      <c r="CH147" s="112"/>
      <c r="CI147" s="112"/>
      <c r="CJ147" s="112"/>
      <c r="CK147" s="112"/>
      <c r="CL147" s="112"/>
      <c r="CM147" s="112"/>
      <c r="CN147" s="112"/>
      <c r="CO147" s="112"/>
      <c r="CP147" s="112"/>
      <c r="CQ147" s="112"/>
      <c r="CR147" s="112"/>
      <c r="CS147" s="112"/>
      <c r="CT147" s="112"/>
      <c r="CU147" s="112"/>
      <c r="CV147" s="112"/>
      <c r="CW147" s="112"/>
      <c r="CX147" s="112"/>
      <c r="CY147" s="112"/>
      <c r="CZ147" s="112"/>
      <c r="DA147" s="112"/>
      <c r="DB147" s="112"/>
      <c r="DC147" s="112"/>
      <c r="DD147" s="112"/>
      <c r="DE147" s="112"/>
      <c r="DF147" s="112"/>
      <c r="DG147" s="112"/>
      <c r="DH147" s="112"/>
      <c r="DI147" s="112"/>
      <c r="DJ147" s="112"/>
      <c r="DK147" s="112"/>
      <c r="DL147" s="112"/>
      <c r="DM147" s="112"/>
      <c r="DN147" s="112"/>
      <c r="DO147" s="112"/>
      <c r="DP147" s="112"/>
      <c r="DQ147" s="112"/>
      <c r="DR147" s="112"/>
      <c r="DS147" s="112"/>
      <c r="DT147" s="112"/>
      <c r="DU147" s="112"/>
      <c r="DV147" s="112"/>
      <c r="DW147" s="112"/>
      <c r="DX147" s="112"/>
      <c r="DY147" s="112"/>
      <c r="DZ147" s="112"/>
      <c r="EA147" s="112"/>
      <c r="EB147" s="112"/>
      <c r="EC147" s="112"/>
      <c r="ED147" s="112"/>
      <c r="EE147" s="112"/>
      <c r="EF147" s="112"/>
      <c r="EG147" s="112"/>
      <c r="EH147" s="112"/>
      <c r="EI147" s="112"/>
      <c r="EJ147" s="112"/>
      <c r="EK147" s="112"/>
      <c r="EL147" s="112"/>
      <c r="EM147" s="112"/>
      <c r="EN147" s="112"/>
      <c r="EO147" s="112"/>
      <c r="EP147" s="112"/>
      <c r="EQ147" s="112"/>
      <c r="ER147" s="112"/>
      <c r="ES147" s="112"/>
      <c r="ET147" s="112"/>
      <c r="EU147" s="112"/>
      <c r="EV147" s="112"/>
      <c r="EW147" s="112"/>
      <c r="EX147" s="112"/>
      <c r="EY147" s="112"/>
      <c r="EZ147" s="112"/>
      <c r="FA147" s="112"/>
      <c r="FB147" s="112"/>
      <c r="FC147" s="112"/>
      <c r="FD147" s="112"/>
      <c r="FE147" s="112"/>
      <c r="FF147" s="112"/>
      <c r="FG147" s="112"/>
      <c r="FH147" s="112"/>
      <c r="FI147" s="112"/>
      <c r="FJ147" s="112"/>
      <c r="FK147" s="112"/>
      <c r="FL147" s="112"/>
      <c r="FM147" s="112"/>
      <c r="FN147" s="112"/>
      <c r="FO147" s="112"/>
      <c r="FP147" s="112"/>
      <c r="FQ147" s="112"/>
      <c r="FR147" s="112"/>
      <c r="FS147" s="112"/>
      <c r="FT147" s="112"/>
      <c r="FU147" s="112"/>
      <c r="FV147" s="112"/>
      <c r="FW147" s="112"/>
      <c r="FX147" s="112"/>
      <c r="FY147" s="112"/>
      <c r="FZ147" s="112"/>
      <c r="GA147" s="112"/>
      <c r="GB147" s="112"/>
      <c r="GC147" s="112"/>
      <c r="GD147" s="112"/>
      <c r="GE147" s="112"/>
      <c r="GF147" s="112"/>
      <c r="GG147" s="112"/>
      <c r="GH147" s="112"/>
      <c r="GI147" s="112"/>
      <c r="GJ147" s="112"/>
      <c r="GK147" s="112"/>
      <c r="GL147" s="112"/>
      <c r="GM147" s="112"/>
      <c r="GN147" s="112"/>
      <c r="GO147" s="112"/>
      <c r="GP147" s="112"/>
      <c r="GQ147" s="112"/>
      <c r="GR147" s="112"/>
      <c r="GS147" s="112"/>
      <c r="GT147" s="112"/>
      <c r="GU147" s="112"/>
      <c r="GV147" s="112"/>
      <c r="GW147" s="112"/>
      <c r="GX147" s="112"/>
      <c r="GY147" s="112"/>
      <c r="GZ147" s="112"/>
      <c r="HA147" s="112"/>
      <c r="HB147" s="112"/>
      <c r="HC147" s="112"/>
      <c r="HD147" s="112"/>
      <c r="HE147" s="112"/>
      <c r="HF147" s="112"/>
      <c r="HG147" s="112"/>
      <c r="HH147" s="112"/>
      <c r="HI147" s="112"/>
      <c r="HJ147" s="112"/>
      <c r="HK147" s="112"/>
      <c r="HL147" s="112"/>
      <c r="HM147" s="112"/>
      <c r="HN147" s="112"/>
      <c r="HO147" s="112"/>
      <c r="HP147" s="112"/>
      <c r="HQ147" s="112"/>
      <c r="HR147" s="112"/>
      <c r="HS147" s="112"/>
      <c r="HT147" s="112"/>
      <c r="HU147" s="112"/>
      <c r="HV147" s="112"/>
      <c r="HW147" s="112"/>
      <c r="HX147" s="112"/>
      <c r="HY147" s="112"/>
      <c r="HZ147" s="112"/>
      <c r="IA147" s="112"/>
      <c r="IB147" s="112"/>
      <c r="IC147" s="112"/>
      <c r="ID147" s="112"/>
      <c r="IE147" s="112"/>
      <c r="IF147" s="112"/>
      <c r="IG147" s="112"/>
      <c r="IH147" s="112"/>
      <c r="II147" s="112"/>
      <c r="IJ147" s="112"/>
      <c r="IK147" s="112"/>
      <c r="IL147" s="112"/>
      <c r="IM147" s="112"/>
      <c r="IN147" s="112"/>
      <c r="IO147" s="112"/>
      <c r="IP147" s="112"/>
      <c r="IQ147" s="112"/>
      <c r="IR147" s="112"/>
      <c r="IS147" s="112"/>
      <c r="IT147" s="112"/>
      <c r="IU147" s="112"/>
      <c r="IV147" s="112"/>
      <c r="IW147" s="112"/>
      <c r="IX147" s="112"/>
      <c r="IY147" s="112"/>
      <c r="IZ147" s="112"/>
      <c r="JA147" s="112"/>
      <c r="JB147" s="112"/>
      <c r="JC147" s="112"/>
      <c r="JD147" s="112"/>
      <c r="JE147" s="112"/>
      <c r="JF147" s="112"/>
      <c r="JG147" s="112"/>
      <c r="JH147" s="112"/>
      <c r="JI147" s="112"/>
    </row>
    <row r="148" spans="1:16375" ht="15" customHeight="1">
      <c r="A148" s="108" t="s">
        <v>53</v>
      </c>
      <c r="B148" s="231" t="s">
        <v>54</v>
      </c>
      <c r="C148" s="231"/>
      <c r="D148" s="231"/>
      <c r="E148" s="231"/>
      <c r="F148" s="231"/>
      <c r="G148" s="231"/>
      <c r="H148" s="231"/>
      <c r="I148" s="231"/>
      <c r="J148" s="231"/>
      <c r="K148" s="231"/>
      <c r="L148" s="231"/>
      <c r="M148" s="231"/>
      <c r="N148" s="231"/>
      <c r="O148" s="231"/>
      <c r="P148" s="231"/>
      <c r="Q148" s="231"/>
      <c r="R148" s="231"/>
      <c r="S148" s="231"/>
      <c r="T148" s="231"/>
      <c r="U148" s="231"/>
      <c r="V148" s="231"/>
      <c r="W148" s="231"/>
      <c r="X148" s="231"/>
      <c r="Y148" s="231"/>
      <c r="Z148" s="231"/>
      <c r="AA148" s="231"/>
      <c r="AB148" s="231"/>
      <c r="AC148" s="231"/>
      <c r="AD148" s="231"/>
      <c r="AE148" s="231"/>
      <c r="AF148" s="231"/>
      <c r="AG148" s="231"/>
      <c r="AH148" s="109" t="s">
        <v>53</v>
      </c>
      <c r="AI148" s="229" t="s">
        <v>221</v>
      </c>
      <c r="AJ148" s="229"/>
      <c r="AK148" s="229"/>
      <c r="AL148" s="229"/>
      <c r="AM148" s="229"/>
      <c r="AN148" s="229"/>
      <c r="AO148" s="229"/>
      <c r="AP148" s="229"/>
      <c r="AQ148" s="229"/>
      <c r="AR148" s="229"/>
      <c r="AS148" s="229"/>
      <c r="AT148" s="229"/>
      <c r="AU148" s="229"/>
      <c r="AV148" s="229"/>
      <c r="AW148" s="229"/>
      <c r="AX148" s="229"/>
      <c r="AY148" s="229"/>
      <c r="AZ148" s="229"/>
      <c r="BA148" s="229"/>
      <c r="BB148" s="229"/>
      <c r="BC148" s="113"/>
      <c r="BD148" s="113"/>
      <c r="BE148" s="89"/>
      <c r="BF148" s="89"/>
      <c r="BG148" s="89"/>
      <c r="BH148" s="89"/>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0"/>
      <c r="DG148" s="20"/>
      <c r="DH148" s="20"/>
      <c r="DI148" s="20"/>
      <c r="DJ148" s="20"/>
      <c r="DK148" s="20"/>
      <c r="DL148" s="20"/>
      <c r="DM148" s="20"/>
      <c r="DN148" s="20"/>
      <c r="DO148" s="20"/>
      <c r="DP148" s="20"/>
      <c r="DQ148" s="20"/>
      <c r="DR148" s="20"/>
      <c r="DS148" s="20"/>
      <c r="DT148" s="20"/>
      <c r="DU148" s="20"/>
      <c r="DV148" s="20"/>
      <c r="DW148" s="20"/>
      <c r="DX148" s="20"/>
      <c r="DY148" s="20"/>
      <c r="DZ148" s="20"/>
      <c r="EA148" s="20"/>
      <c r="EB148" s="20"/>
      <c r="EC148" s="20"/>
      <c r="ED148" s="20"/>
      <c r="EE148" s="20"/>
      <c r="EF148" s="20"/>
      <c r="EG148" s="20"/>
      <c r="EH148" s="20"/>
      <c r="EI148" s="20"/>
      <c r="EJ148" s="20"/>
      <c r="EK148" s="20"/>
      <c r="EL148" s="20"/>
      <c r="EM148" s="20"/>
      <c r="EN148" s="20"/>
      <c r="EO148" s="20"/>
      <c r="EP148" s="20"/>
      <c r="EQ148" s="20"/>
      <c r="ER148" s="20"/>
      <c r="ES148" s="20"/>
      <c r="ET148" s="20"/>
      <c r="EU148" s="20"/>
      <c r="EV148" s="20"/>
      <c r="EW148" s="20"/>
      <c r="EX148" s="20"/>
      <c r="EY148" s="20"/>
      <c r="EZ148" s="20"/>
      <c r="FA148" s="20"/>
      <c r="FB148" s="20"/>
      <c r="FC148" s="20"/>
      <c r="FD148" s="20"/>
      <c r="FE148" s="20"/>
      <c r="FF148" s="20"/>
      <c r="FG148" s="20"/>
      <c r="FH148" s="20"/>
      <c r="FI148" s="20"/>
      <c r="FJ148" s="20"/>
      <c r="FK148" s="20"/>
      <c r="FL148" s="20"/>
      <c r="FM148" s="20"/>
      <c r="FN148" s="20"/>
      <c r="FO148" s="20"/>
      <c r="FP148" s="20"/>
      <c r="FQ148" s="20"/>
      <c r="FR148" s="20"/>
      <c r="FS148" s="20"/>
      <c r="FT148" s="20"/>
      <c r="FU148" s="20"/>
      <c r="FV148" s="20"/>
      <c r="FW148" s="20"/>
      <c r="FX148" s="20"/>
      <c r="FY148" s="20"/>
      <c r="FZ148" s="20"/>
      <c r="GA148" s="20"/>
      <c r="GB148" s="20"/>
      <c r="GC148" s="20"/>
      <c r="GD148" s="20"/>
      <c r="GE148" s="20"/>
      <c r="GF148" s="20"/>
      <c r="GG148" s="20"/>
      <c r="GH148" s="20"/>
      <c r="GI148" s="20"/>
      <c r="GJ148" s="20"/>
      <c r="GK148" s="20"/>
      <c r="GL148" s="20"/>
      <c r="GM148" s="20"/>
      <c r="GN148" s="20"/>
      <c r="GO148" s="20"/>
      <c r="GP148" s="20"/>
      <c r="GQ148" s="20"/>
      <c r="GR148" s="20"/>
      <c r="GS148" s="20"/>
      <c r="GT148" s="20"/>
      <c r="GU148" s="20"/>
      <c r="GV148" s="20"/>
      <c r="GW148" s="20"/>
      <c r="GX148" s="20"/>
      <c r="GY148" s="20"/>
      <c r="GZ148" s="20"/>
      <c r="HA148" s="20"/>
      <c r="HB148" s="20"/>
      <c r="HC148" s="20"/>
      <c r="HD148" s="20"/>
      <c r="HE148" s="20"/>
      <c r="HF148" s="20"/>
      <c r="HG148" s="20"/>
      <c r="HH148" s="20"/>
      <c r="HI148" s="20"/>
      <c r="HJ148" s="20"/>
      <c r="HK148" s="20"/>
      <c r="HL148" s="20"/>
      <c r="HM148" s="20"/>
      <c r="HN148" s="20"/>
      <c r="HO148" s="20"/>
      <c r="HP148" s="20"/>
      <c r="HQ148" s="20"/>
      <c r="HR148" s="20"/>
      <c r="HS148" s="20"/>
      <c r="HT148" s="20"/>
      <c r="HU148" s="20"/>
      <c r="HV148" s="20"/>
      <c r="HW148" s="20"/>
      <c r="HX148" s="20"/>
      <c r="HY148" s="20"/>
      <c r="HZ148" s="20"/>
      <c r="IA148" s="20"/>
      <c r="IB148" s="20"/>
      <c r="IC148" s="20"/>
      <c r="ID148" s="20"/>
      <c r="IE148" s="20"/>
      <c r="IF148" s="20"/>
      <c r="IG148" s="20"/>
      <c r="IH148" s="20"/>
      <c r="II148" s="20"/>
      <c r="IJ148" s="20"/>
      <c r="IK148" s="20"/>
      <c r="IL148" s="20"/>
      <c r="IM148" s="20"/>
      <c r="IN148" s="20"/>
      <c r="IO148" s="20"/>
      <c r="IP148" s="20"/>
      <c r="IQ148" s="20"/>
      <c r="IR148" s="20"/>
      <c r="IS148" s="20"/>
      <c r="IT148" s="20"/>
      <c r="IU148" s="20"/>
      <c r="IV148" s="20"/>
      <c r="IW148" s="20"/>
      <c r="IX148" s="20"/>
      <c r="IY148" s="20"/>
      <c r="IZ148" s="20"/>
      <c r="JA148" s="20"/>
      <c r="JB148" s="20"/>
      <c r="JC148" s="20"/>
      <c r="JD148" s="20"/>
      <c r="JE148" s="20"/>
      <c r="JF148" s="20"/>
      <c r="JG148" s="20"/>
      <c r="JH148" s="20"/>
      <c r="JI148" s="20"/>
    </row>
    <row r="149" spans="1:16375" ht="15" customHeight="1">
      <c r="A149" s="108" t="s">
        <v>55</v>
      </c>
      <c r="B149" s="231" t="s">
        <v>56</v>
      </c>
      <c r="C149" s="231"/>
      <c r="D149" s="231"/>
      <c r="E149" s="231"/>
      <c r="F149" s="231"/>
      <c r="G149" s="231"/>
      <c r="H149" s="231"/>
      <c r="I149" s="231"/>
      <c r="J149" s="231"/>
      <c r="K149" s="231"/>
      <c r="L149" s="231"/>
      <c r="M149" s="231"/>
      <c r="N149" s="231"/>
      <c r="O149" s="231"/>
      <c r="P149" s="231"/>
      <c r="Q149" s="231"/>
      <c r="R149" s="231"/>
      <c r="S149" s="231"/>
      <c r="T149" s="231"/>
      <c r="U149" s="231"/>
      <c r="V149" s="231"/>
      <c r="W149" s="231"/>
      <c r="X149" s="231"/>
      <c r="Y149" s="231"/>
      <c r="Z149" s="231"/>
      <c r="AA149" s="231"/>
      <c r="AB149" s="231"/>
      <c r="AC149" s="231"/>
      <c r="AD149" s="231"/>
      <c r="AE149" s="231"/>
      <c r="AF149" s="231"/>
      <c r="AG149" s="231"/>
      <c r="AH149" s="109" t="s">
        <v>55</v>
      </c>
      <c r="AI149" s="229" t="s">
        <v>222</v>
      </c>
      <c r="AJ149" s="229"/>
      <c r="AK149" s="229"/>
      <c r="AL149" s="229"/>
      <c r="AM149" s="229"/>
      <c r="AN149" s="229"/>
      <c r="AO149" s="229"/>
      <c r="AP149" s="229"/>
      <c r="AQ149" s="229"/>
      <c r="AR149" s="229"/>
      <c r="AS149" s="229"/>
      <c r="AT149" s="229"/>
      <c r="AU149" s="229"/>
      <c r="AV149" s="229"/>
      <c r="AW149" s="229"/>
      <c r="AX149" s="229"/>
      <c r="AY149" s="229"/>
      <c r="AZ149" s="229"/>
      <c r="BA149" s="229"/>
      <c r="BB149" s="229"/>
      <c r="BC149" s="113"/>
      <c r="BD149" s="113"/>
      <c r="BE149" s="89"/>
      <c r="BF149" s="89"/>
      <c r="BG149" s="89"/>
      <c r="BH149" s="89"/>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c r="DB149" s="20"/>
      <c r="DC149" s="20"/>
      <c r="DD149" s="20"/>
      <c r="DE149" s="20"/>
      <c r="DF149" s="20"/>
      <c r="DG149" s="20"/>
      <c r="DH149" s="20"/>
      <c r="DI149" s="20"/>
      <c r="DJ149" s="20"/>
      <c r="DK149" s="20"/>
      <c r="DL149" s="20"/>
      <c r="DM149" s="20"/>
      <c r="DN149" s="20"/>
      <c r="DO149" s="20"/>
      <c r="DP149" s="20"/>
      <c r="DQ149" s="20"/>
      <c r="DR149" s="20"/>
      <c r="DS149" s="20"/>
      <c r="DT149" s="20"/>
      <c r="DU149" s="20"/>
      <c r="DV149" s="20"/>
      <c r="DW149" s="20"/>
      <c r="DX149" s="20"/>
      <c r="DY149" s="20"/>
      <c r="DZ149" s="20"/>
      <c r="EA149" s="20"/>
      <c r="EB149" s="20"/>
      <c r="EC149" s="20"/>
      <c r="ED149" s="20"/>
      <c r="EE149" s="20"/>
      <c r="EF149" s="20"/>
      <c r="EG149" s="20"/>
      <c r="EH149" s="20"/>
      <c r="EI149" s="20"/>
      <c r="EJ149" s="20"/>
      <c r="EK149" s="20"/>
      <c r="EL149" s="20"/>
      <c r="EM149" s="20"/>
      <c r="EN149" s="20"/>
      <c r="EO149" s="20"/>
      <c r="EP149" s="20"/>
      <c r="EQ149" s="20"/>
      <c r="ER149" s="20"/>
      <c r="ES149" s="20"/>
      <c r="ET149" s="20"/>
      <c r="EU149" s="20"/>
      <c r="EV149" s="20"/>
      <c r="EW149" s="20"/>
      <c r="EX149" s="20"/>
      <c r="EY149" s="20"/>
      <c r="EZ149" s="20"/>
      <c r="FA149" s="20"/>
      <c r="FB149" s="20"/>
      <c r="FC149" s="20"/>
      <c r="FD149" s="20"/>
      <c r="FE149" s="20"/>
      <c r="FF149" s="20"/>
      <c r="FG149" s="20"/>
      <c r="FH149" s="20"/>
      <c r="FI149" s="20"/>
      <c r="FJ149" s="20"/>
      <c r="FK149" s="20"/>
      <c r="FL149" s="20"/>
      <c r="FM149" s="20"/>
      <c r="FN149" s="20"/>
      <c r="FO149" s="20"/>
      <c r="FP149" s="20"/>
      <c r="FQ149" s="20"/>
      <c r="FR149" s="20"/>
      <c r="FS149" s="20"/>
      <c r="FT149" s="20"/>
      <c r="FU149" s="20"/>
      <c r="FV149" s="20"/>
      <c r="FW149" s="20"/>
      <c r="FX149" s="20"/>
      <c r="FY149" s="20"/>
      <c r="FZ149" s="20"/>
      <c r="GA149" s="20"/>
      <c r="GB149" s="20"/>
      <c r="GC149" s="20"/>
      <c r="GD149" s="20"/>
      <c r="GE149" s="20"/>
      <c r="GF149" s="20"/>
      <c r="GG149" s="20"/>
      <c r="GH149" s="20"/>
      <c r="GI149" s="20"/>
      <c r="GJ149" s="20"/>
      <c r="GK149" s="20"/>
      <c r="GL149" s="20"/>
      <c r="GM149" s="20"/>
      <c r="GN149" s="20"/>
      <c r="GO149" s="20"/>
      <c r="GP149" s="20"/>
      <c r="GQ149" s="20"/>
      <c r="GR149" s="20"/>
      <c r="GS149" s="20"/>
      <c r="GT149" s="20"/>
      <c r="GU149" s="20"/>
      <c r="GV149" s="20"/>
      <c r="GW149" s="20"/>
      <c r="GX149" s="20"/>
      <c r="GY149" s="20"/>
      <c r="GZ149" s="20"/>
      <c r="HA149" s="20"/>
      <c r="HB149" s="20"/>
      <c r="HC149" s="20"/>
      <c r="HD149" s="20"/>
      <c r="HE149" s="20"/>
      <c r="HF149" s="20"/>
      <c r="HG149" s="20"/>
      <c r="HH149" s="20"/>
      <c r="HI149" s="20"/>
      <c r="HJ149" s="20"/>
      <c r="HK149" s="20"/>
      <c r="HL149" s="20"/>
      <c r="HM149" s="20"/>
      <c r="HN149" s="20"/>
      <c r="HO149" s="20"/>
      <c r="HP149" s="20"/>
      <c r="HQ149" s="20"/>
      <c r="HR149" s="20"/>
      <c r="HS149" s="20"/>
      <c r="HT149" s="20"/>
      <c r="HU149" s="20"/>
      <c r="HV149" s="20"/>
      <c r="HW149" s="20"/>
      <c r="HX149" s="20"/>
      <c r="HY149" s="20"/>
      <c r="HZ149" s="20"/>
      <c r="IA149" s="20"/>
      <c r="IB149" s="20"/>
      <c r="IC149" s="20"/>
      <c r="ID149" s="20"/>
      <c r="IE149" s="20"/>
      <c r="IF149" s="20"/>
      <c r="IG149" s="20"/>
      <c r="IH149" s="20"/>
      <c r="II149" s="20"/>
      <c r="IJ149" s="20"/>
      <c r="IK149" s="20"/>
      <c r="IL149" s="20"/>
      <c r="IM149" s="20"/>
      <c r="IN149" s="20"/>
      <c r="IO149" s="20"/>
      <c r="IP149" s="20"/>
      <c r="IQ149" s="20"/>
      <c r="IR149" s="20"/>
      <c r="IS149" s="20"/>
      <c r="IT149" s="20"/>
      <c r="IU149" s="20"/>
      <c r="IV149" s="20"/>
      <c r="IW149" s="20"/>
      <c r="IX149" s="20"/>
      <c r="IY149" s="20"/>
      <c r="IZ149" s="20"/>
      <c r="JA149" s="20"/>
      <c r="JB149" s="20"/>
      <c r="JC149" s="20"/>
      <c r="JD149" s="20"/>
      <c r="JE149" s="20"/>
      <c r="JF149" s="20"/>
      <c r="JG149" s="20"/>
      <c r="JH149" s="20"/>
      <c r="JI149" s="20"/>
    </row>
    <row r="150" spans="1:16375" ht="15" customHeight="1">
      <c r="A150" s="108" t="s">
        <v>57</v>
      </c>
      <c r="B150" s="231" t="s">
        <v>58</v>
      </c>
      <c r="C150" s="231"/>
      <c r="D150" s="231"/>
      <c r="E150" s="231"/>
      <c r="F150" s="231"/>
      <c r="G150" s="231"/>
      <c r="H150" s="231"/>
      <c r="I150" s="231"/>
      <c r="J150" s="231"/>
      <c r="K150" s="231"/>
      <c r="L150" s="231"/>
      <c r="M150" s="231"/>
      <c r="N150" s="231"/>
      <c r="O150" s="231"/>
      <c r="P150" s="231"/>
      <c r="Q150" s="231"/>
      <c r="R150" s="231"/>
      <c r="S150" s="231"/>
      <c r="T150" s="231"/>
      <c r="U150" s="231"/>
      <c r="V150" s="231"/>
      <c r="W150" s="231"/>
      <c r="X150" s="231"/>
      <c r="Y150" s="231"/>
      <c r="Z150" s="231"/>
      <c r="AA150" s="231"/>
      <c r="AB150" s="231"/>
      <c r="AC150" s="231"/>
      <c r="AD150" s="231"/>
      <c r="AE150" s="231"/>
      <c r="AF150" s="231"/>
      <c r="AG150" s="231"/>
      <c r="AH150" s="109" t="s">
        <v>57</v>
      </c>
      <c r="AI150" s="229" t="s">
        <v>223</v>
      </c>
      <c r="AJ150" s="229"/>
      <c r="AK150" s="229"/>
      <c r="AL150" s="229"/>
      <c r="AM150" s="229"/>
      <c r="AN150" s="229"/>
      <c r="AO150" s="229"/>
      <c r="AP150" s="229"/>
      <c r="AQ150" s="229"/>
      <c r="AR150" s="229"/>
      <c r="AS150" s="229"/>
      <c r="AT150" s="229"/>
      <c r="AU150" s="229"/>
      <c r="AV150" s="229"/>
      <c r="AW150" s="229"/>
      <c r="AX150" s="229"/>
      <c r="AY150" s="229"/>
      <c r="AZ150" s="229"/>
      <c r="BA150" s="229"/>
      <c r="BB150" s="229"/>
      <c r="BC150" s="113"/>
      <c r="BD150" s="113"/>
      <c r="BE150" s="89"/>
      <c r="BF150" s="89"/>
      <c r="BG150" s="89"/>
      <c r="BH150" s="89"/>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c r="DA150" s="20"/>
      <c r="DB150" s="20"/>
      <c r="DC150" s="20"/>
      <c r="DD150" s="20"/>
      <c r="DE150" s="20"/>
      <c r="DF150" s="20"/>
      <c r="DG150" s="20"/>
      <c r="DH150" s="20"/>
      <c r="DI150" s="20"/>
      <c r="DJ150" s="20"/>
      <c r="DK150" s="20"/>
      <c r="DL150" s="20"/>
      <c r="DM150" s="20"/>
      <c r="DN150" s="20"/>
      <c r="DO150" s="20"/>
      <c r="DP150" s="20"/>
      <c r="DQ150" s="20"/>
      <c r="DR150" s="20"/>
      <c r="DS150" s="20"/>
      <c r="DT150" s="20"/>
      <c r="DU150" s="20"/>
      <c r="DV150" s="20"/>
      <c r="DW150" s="20"/>
      <c r="DX150" s="20"/>
      <c r="DY150" s="20"/>
      <c r="DZ150" s="20"/>
      <c r="EA150" s="20"/>
      <c r="EB150" s="20"/>
      <c r="EC150" s="20"/>
      <c r="ED150" s="20"/>
      <c r="EE150" s="20"/>
      <c r="EF150" s="20"/>
      <c r="EG150" s="20"/>
      <c r="EH150" s="20"/>
      <c r="EI150" s="20"/>
      <c r="EJ150" s="20"/>
      <c r="EK150" s="20"/>
      <c r="EL150" s="20"/>
      <c r="EM150" s="20"/>
      <c r="EN150" s="20"/>
      <c r="EO150" s="20"/>
      <c r="EP150" s="20"/>
      <c r="EQ150" s="20"/>
      <c r="ER150" s="20"/>
      <c r="ES150" s="20"/>
      <c r="ET150" s="20"/>
      <c r="EU150" s="20"/>
      <c r="EV150" s="20"/>
      <c r="EW150" s="20"/>
      <c r="EX150" s="20"/>
      <c r="EY150" s="20"/>
      <c r="EZ150" s="20"/>
      <c r="FA150" s="20"/>
      <c r="FB150" s="20"/>
      <c r="FC150" s="20"/>
      <c r="FD150" s="20"/>
      <c r="FE150" s="20"/>
      <c r="FF150" s="20"/>
      <c r="FG150" s="20"/>
      <c r="FH150" s="20"/>
      <c r="FI150" s="20"/>
      <c r="FJ150" s="20"/>
      <c r="FK150" s="20"/>
      <c r="FL150" s="20"/>
      <c r="FM150" s="20"/>
      <c r="FN150" s="20"/>
      <c r="FO150" s="20"/>
      <c r="FP150" s="20"/>
      <c r="FQ150" s="20"/>
      <c r="FR150" s="20"/>
      <c r="FS150" s="20"/>
      <c r="FT150" s="20"/>
      <c r="FU150" s="20"/>
      <c r="FV150" s="20"/>
      <c r="FW150" s="20"/>
      <c r="FX150" s="20"/>
      <c r="FY150" s="20"/>
      <c r="FZ150" s="20"/>
      <c r="GA150" s="20"/>
      <c r="GB150" s="20"/>
      <c r="GC150" s="20"/>
      <c r="GD150" s="20"/>
      <c r="GE150" s="20"/>
      <c r="GF150" s="20"/>
      <c r="GG150" s="20"/>
      <c r="GH150" s="20"/>
      <c r="GI150" s="20"/>
      <c r="GJ150" s="20"/>
      <c r="GK150" s="20"/>
      <c r="GL150" s="20"/>
      <c r="GM150" s="20"/>
      <c r="GN150" s="20"/>
      <c r="GO150" s="20"/>
      <c r="GP150" s="20"/>
      <c r="GQ150" s="20"/>
      <c r="GR150" s="20"/>
      <c r="GS150" s="20"/>
      <c r="GT150" s="20"/>
      <c r="GU150" s="20"/>
      <c r="GV150" s="20"/>
      <c r="GW150" s="20"/>
      <c r="GX150" s="20"/>
      <c r="GY150" s="20"/>
      <c r="GZ150" s="20"/>
      <c r="HA150" s="20"/>
      <c r="HB150" s="20"/>
      <c r="HC150" s="20"/>
      <c r="HD150" s="20"/>
      <c r="HE150" s="20"/>
      <c r="HF150" s="20"/>
      <c r="HG150" s="20"/>
      <c r="HH150" s="20"/>
      <c r="HI150" s="20"/>
      <c r="HJ150" s="20"/>
      <c r="HK150" s="20"/>
      <c r="HL150" s="20"/>
      <c r="HM150" s="20"/>
      <c r="HN150" s="20"/>
      <c r="HO150" s="20"/>
      <c r="HP150" s="20"/>
      <c r="HQ150" s="20"/>
      <c r="HR150" s="20"/>
      <c r="HS150" s="20"/>
      <c r="HT150" s="20"/>
      <c r="HU150" s="20"/>
      <c r="HV150" s="20"/>
      <c r="HW150" s="20"/>
      <c r="HX150" s="20"/>
      <c r="HY150" s="20"/>
      <c r="HZ150" s="20"/>
      <c r="IA150" s="20"/>
      <c r="IB150" s="20"/>
      <c r="IC150" s="20"/>
      <c r="ID150" s="20"/>
      <c r="IE150" s="20"/>
      <c r="IF150" s="20"/>
      <c r="IG150" s="20"/>
      <c r="IH150" s="20"/>
      <c r="II150" s="20"/>
      <c r="IJ150" s="20"/>
      <c r="IK150" s="20"/>
      <c r="IL150" s="20"/>
      <c r="IM150" s="20"/>
      <c r="IN150" s="20"/>
      <c r="IO150" s="20"/>
      <c r="IP150" s="20"/>
      <c r="IQ150" s="20"/>
      <c r="IR150" s="20"/>
      <c r="IS150" s="20"/>
      <c r="IT150" s="20"/>
      <c r="IU150" s="20"/>
      <c r="IV150" s="20"/>
      <c r="IW150" s="20"/>
      <c r="IX150" s="20"/>
      <c r="IY150" s="20"/>
      <c r="IZ150" s="20"/>
      <c r="JA150" s="20"/>
      <c r="JB150" s="20"/>
      <c r="JC150" s="20"/>
      <c r="JD150" s="20"/>
      <c r="JE150" s="20"/>
      <c r="JF150" s="20"/>
      <c r="JG150" s="20"/>
      <c r="JH150" s="20"/>
      <c r="JI150" s="20"/>
    </row>
    <row r="151" spans="1:16375" ht="15" customHeight="1">
      <c r="A151" s="108" t="s">
        <v>59</v>
      </c>
      <c r="B151" s="231" t="s">
        <v>228</v>
      </c>
      <c r="C151" s="231"/>
      <c r="D151" s="231"/>
      <c r="E151" s="231"/>
      <c r="F151" s="231"/>
      <c r="G151" s="231"/>
      <c r="H151" s="231"/>
      <c r="I151" s="231"/>
      <c r="J151" s="231"/>
      <c r="K151" s="231"/>
      <c r="L151" s="231"/>
      <c r="M151" s="231"/>
      <c r="N151" s="231"/>
      <c r="O151" s="231"/>
      <c r="P151" s="231"/>
      <c r="Q151" s="231"/>
      <c r="R151" s="231"/>
      <c r="S151" s="231"/>
      <c r="T151" s="231"/>
      <c r="U151" s="231"/>
      <c r="V151" s="231"/>
      <c r="W151" s="231"/>
      <c r="X151" s="231"/>
      <c r="Y151" s="231"/>
      <c r="Z151" s="231"/>
      <c r="AA151" s="231"/>
      <c r="AB151" s="231"/>
      <c r="AC151" s="231"/>
      <c r="AD151" s="231"/>
      <c r="AE151" s="231"/>
      <c r="AF151" s="231"/>
      <c r="AG151" s="231"/>
      <c r="AH151" s="109" t="s">
        <v>59</v>
      </c>
      <c r="AI151" s="229" t="s">
        <v>224</v>
      </c>
      <c r="AJ151" s="229"/>
      <c r="AK151" s="229"/>
      <c r="AL151" s="229"/>
      <c r="AM151" s="229"/>
      <c r="AN151" s="229"/>
      <c r="AO151" s="229"/>
      <c r="AP151" s="229"/>
      <c r="AQ151" s="229"/>
      <c r="AR151" s="229"/>
      <c r="AS151" s="229"/>
      <c r="AT151" s="229"/>
      <c r="AU151" s="229"/>
      <c r="AV151" s="229"/>
      <c r="AW151" s="229"/>
      <c r="AX151" s="229"/>
      <c r="AY151" s="229"/>
      <c r="AZ151" s="229"/>
      <c r="BA151" s="229"/>
      <c r="BB151" s="229"/>
      <c r="BC151" s="113"/>
      <c r="BD151" s="113"/>
      <c r="BE151" s="89"/>
      <c r="BF151" s="89"/>
      <c r="BG151" s="89"/>
      <c r="BH151" s="89"/>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0"/>
      <c r="DG151" s="20"/>
      <c r="DH151" s="20"/>
      <c r="DI151" s="20"/>
      <c r="DJ151" s="20"/>
      <c r="DK151" s="20"/>
      <c r="DL151" s="20"/>
      <c r="DM151" s="20"/>
      <c r="DN151" s="20"/>
      <c r="DO151" s="20"/>
      <c r="DP151" s="20"/>
      <c r="DQ151" s="20"/>
      <c r="DR151" s="20"/>
      <c r="DS151" s="20"/>
      <c r="DT151" s="20"/>
      <c r="DU151" s="20"/>
      <c r="DV151" s="20"/>
      <c r="DW151" s="20"/>
      <c r="DX151" s="20"/>
      <c r="DY151" s="20"/>
      <c r="DZ151" s="20"/>
      <c r="EA151" s="20"/>
      <c r="EB151" s="20"/>
      <c r="EC151" s="20"/>
      <c r="ED151" s="20"/>
      <c r="EE151" s="20"/>
      <c r="EF151" s="20"/>
      <c r="EG151" s="20"/>
      <c r="EH151" s="20"/>
      <c r="EI151" s="20"/>
      <c r="EJ151" s="20"/>
      <c r="EK151" s="20"/>
      <c r="EL151" s="20"/>
      <c r="EM151" s="20"/>
      <c r="EN151" s="20"/>
      <c r="EO151" s="20"/>
      <c r="EP151" s="20"/>
      <c r="EQ151" s="20"/>
      <c r="ER151" s="20"/>
      <c r="ES151" s="20"/>
      <c r="ET151" s="20"/>
      <c r="EU151" s="20"/>
      <c r="EV151" s="20"/>
      <c r="EW151" s="20"/>
      <c r="EX151" s="20"/>
      <c r="EY151" s="20"/>
      <c r="EZ151" s="20"/>
      <c r="FA151" s="20"/>
      <c r="FB151" s="20"/>
      <c r="FC151" s="20"/>
      <c r="FD151" s="20"/>
      <c r="FE151" s="20"/>
      <c r="FF151" s="20"/>
      <c r="FG151" s="20"/>
      <c r="FH151" s="20"/>
      <c r="FI151" s="20"/>
      <c r="FJ151" s="20"/>
      <c r="FK151" s="20"/>
      <c r="FL151" s="20"/>
      <c r="FM151" s="20"/>
      <c r="FN151" s="20"/>
      <c r="FO151" s="20"/>
      <c r="FP151" s="20"/>
      <c r="FQ151" s="20"/>
      <c r="FR151" s="20"/>
      <c r="FS151" s="20"/>
      <c r="FT151" s="20"/>
      <c r="FU151" s="20"/>
      <c r="FV151" s="20"/>
      <c r="FW151" s="20"/>
      <c r="FX151" s="20"/>
      <c r="FY151" s="20"/>
      <c r="FZ151" s="20"/>
      <c r="GA151" s="20"/>
      <c r="GB151" s="20"/>
      <c r="GC151" s="20"/>
      <c r="GD151" s="20"/>
      <c r="GE151" s="20"/>
      <c r="GF151" s="20"/>
      <c r="GG151" s="20"/>
      <c r="GH151" s="20"/>
      <c r="GI151" s="20"/>
      <c r="GJ151" s="20"/>
      <c r="GK151" s="20"/>
      <c r="GL151" s="20"/>
      <c r="GM151" s="20"/>
      <c r="GN151" s="20"/>
      <c r="GO151" s="20"/>
      <c r="GP151" s="20"/>
      <c r="GQ151" s="20"/>
      <c r="GR151" s="20"/>
      <c r="GS151" s="20"/>
      <c r="GT151" s="20"/>
      <c r="GU151" s="20"/>
      <c r="GV151" s="20"/>
      <c r="GW151" s="20"/>
      <c r="GX151" s="20"/>
      <c r="GY151" s="20"/>
      <c r="GZ151" s="20"/>
      <c r="HA151" s="20"/>
      <c r="HB151" s="20"/>
      <c r="HC151" s="20"/>
      <c r="HD151" s="20"/>
      <c r="HE151" s="20"/>
      <c r="HF151" s="20"/>
      <c r="HG151" s="20"/>
      <c r="HH151" s="20"/>
      <c r="HI151" s="20"/>
      <c r="HJ151" s="20"/>
      <c r="HK151" s="20"/>
      <c r="HL151" s="20"/>
      <c r="HM151" s="20"/>
      <c r="HN151" s="20"/>
      <c r="HO151" s="20"/>
      <c r="HP151" s="20"/>
      <c r="HQ151" s="20"/>
      <c r="HR151" s="20"/>
      <c r="HS151" s="20"/>
      <c r="HT151" s="20"/>
      <c r="HU151" s="20"/>
      <c r="HV151" s="20"/>
      <c r="HW151" s="20"/>
      <c r="HX151" s="20"/>
      <c r="HY151" s="20"/>
      <c r="HZ151" s="20"/>
      <c r="IA151" s="20"/>
      <c r="IB151" s="20"/>
      <c r="IC151" s="20"/>
      <c r="ID151" s="20"/>
      <c r="IE151" s="20"/>
      <c r="IF151" s="20"/>
      <c r="IG151" s="20"/>
      <c r="IH151" s="20"/>
      <c r="II151" s="20"/>
      <c r="IJ151" s="20"/>
      <c r="IK151" s="20"/>
      <c r="IL151" s="20"/>
      <c r="IM151" s="20"/>
      <c r="IN151" s="20"/>
      <c r="IO151" s="20"/>
      <c r="IP151" s="20"/>
      <c r="IQ151" s="20"/>
      <c r="IR151" s="20"/>
      <c r="IS151" s="20"/>
      <c r="IT151" s="20"/>
      <c r="IU151" s="20"/>
      <c r="IV151" s="20"/>
      <c r="IW151" s="20"/>
      <c r="IX151" s="20"/>
      <c r="IY151" s="20"/>
      <c r="IZ151" s="20"/>
      <c r="JA151" s="20"/>
      <c r="JB151" s="20"/>
      <c r="JC151" s="20"/>
      <c r="JD151" s="20"/>
      <c r="JE151" s="20"/>
      <c r="JF151" s="20"/>
      <c r="JG151" s="20"/>
      <c r="JH151" s="20"/>
      <c r="JI151" s="20"/>
    </row>
    <row r="152" spans="1:16375" ht="15" customHeight="1">
      <c r="A152" s="108" t="s">
        <v>60</v>
      </c>
      <c r="B152" s="231" t="s">
        <v>218</v>
      </c>
      <c r="C152" s="231"/>
      <c r="D152" s="231"/>
      <c r="E152" s="231"/>
      <c r="F152" s="231"/>
      <c r="G152" s="231"/>
      <c r="H152" s="231"/>
      <c r="I152" s="231"/>
      <c r="J152" s="231"/>
      <c r="K152" s="231"/>
      <c r="L152" s="231"/>
      <c r="M152" s="231"/>
      <c r="N152" s="231"/>
      <c r="O152" s="231"/>
      <c r="P152" s="231"/>
      <c r="Q152" s="231"/>
      <c r="R152" s="231"/>
      <c r="S152" s="231"/>
      <c r="T152" s="231"/>
      <c r="U152" s="231"/>
      <c r="V152" s="231"/>
      <c r="W152" s="231"/>
      <c r="X152" s="231"/>
      <c r="Y152" s="231"/>
      <c r="Z152" s="231"/>
      <c r="AA152" s="231"/>
      <c r="AB152" s="231"/>
      <c r="AC152" s="231"/>
      <c r="AD152" s="231"/>
      <c r="AE152" s="231"/>
      <c r="AF152" s="231"/>
      <c r="AG152" s="231"/>
      <c r="AH152" s="109" t="s">
        <v>60</v>
      </c>
      <c r="AI152" s="229" t="s">
        <v>225</v>
      </c>
      <c r="AJ152" s="229"/>
      <c r="AK152" s="229"/>
      <c r="AL152" s="229"/>
      <c r="AM152" s="229"/>
      <c r="AN152" s="229"/>
      <c r="AO152" s="229"/>
      <c r="AP152" s="229"/>
      <c r="AQ152" s="229"/>
      <c r="AR152" s="229"/>
      <c r="AS152" s="229"/>
      <c r="AT152" s="229"/>
      <c r="AU152" s="229"/>
      <c r="AV152" s="229"/>
      <c r="AW152" s="229"/>
      <c r="AX152" s="229"/>
      <c r="AY152" s="229"/>
      <c r="AZ152" s="229"/>
      <c r="BA152" s="229"/>
      <c r="BB152" s="229"/>
      <c r="BC152" s="113"/>
      <c r="BD152" s="113"/>
      <c r="BE152" s="89"/>
      <c r="BF152" s="89"/>
      <c r="BG152" s="89"/>
      <c r="BH152" s="89"/>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c r="DB152" s="20"/>
      <c r="DC152" s="20"/>
      <c r="DD152" s="20"/>
      <c r="DE152" s="20"/>
      <c r="DF152" s="20"/>
      <c r="DG152" s="20"/>
      <c r="DH152" s="20"/>
      <c r="DI152" s="20"/>
      <c r="DJ152" s="20"/>
      <c r="DK152" s="20"/>
      <c r="DL152" s="20"/>
      <c r="DM152" s="20"/>
      <c r="DN152" s="20"/>
      <c r="DO152" s="20"/>
      <c r="DP152" s="20"/>
      <c r="DQ152" s="20"/>
      <c r="DR152" s="20"/>
      <c r="DS152" s="20"/>
      <c r="DT152" s="20"/>
      <c r="DU152" s="20"/>
      <c r="DV152" s="20"/>
      <c r="DW152" s="20"/>
      <c r="DX152" s="20"/>
      <c r="DY152" s="20"/>
      <c r="DZ152" s="20"/>
      <c r="EA152" s="20"/>
      <c r="EB152" s="20"/>
      <c r="EC152" s="20"/>
      <c r="ED152" s="20"/>
      <c r="EE152" s="20"/>
      <c r="EF152" s="20"/>
      <c r="EG152" s="20"/>
      <c r="EH152" s="20"/>
      <c r="EI152" s="20"/>
      <c r="EJ152" s="20"/>
      <c r="EK152" s="20"/>
      <c r="EL152" s="20"/>
      <c r="EM152" s="20"/>
      <c r="EN152" s="20"/>
      <c r="EO152" s="20"/>
      <c r="EP152" s="20"/>
      <c r="EQ152" s="20"/>
      <c r="ER152" s="20"/>
      <c r="ES152" s="20"/>
      <c r="ET152" s="20"/>
      <c r="EU152" s="20"/>
      <c r="EV152" s="20"/>
      <c r="EW152" s="20"/>
      <c r="EX152" s="20"/>
      <c r="EY152" s="20"/>
      <c r="EZ152" s="20"/>
      <c r="FA152" s="20"/>
      <c r="FB152" s="20"/>
      <c r="FC152" s="20"/>
      <c r="FD152" s="20"/>
      <c r="FE152" s="20"/>
      <c r="FF152" s="20"/>
      <c r="FG152" s="20"/>
      <c r="FH152" s="20"/>
      <c r="FI152" s="20"/>
      <c r="FJ152" s="20"/>
      <c r="FK152" s="20"/>
      <c r="FL152" s="20"/>
      <c r="FM152" s="20"/>
      <c r="FN152" s="20"/>
      <c r="FO152" s="20"/>
      <c r="FP152" s="20"/>
      <c r="FQ152" s="20"/>
      <c r="FR152" s="20"/>
      <c r="FS152" s="20"/>
      <c r="FT152" s="20"/>
      <c r="FU152" s="20"/>
      <c r="FV152" s="20"/>
      <c r="FW152" s="20"/>
      <c r="FX152" s="20"/>
      <c r="FY152" s="20"/>
      <c r="FZ152" s="20"/>
      <c r="GA152" s="20"/>
      <c r="GB152" s="20"/>
      <c r="GC152" s="20"/>
      <c r="GD152" s="20"/>
      <c r="GE152" s="20"/>
      <c r="GF152" s="20"/>
      <c r="GG152" s="20"/>
      <c r="GH152" s="20"/>
      <c r="GI152" s="20"/>
      <c r="GJ152" s="20"/>
      <c r="GK152" s="20"/>
      <c r="GL152" s="20"/>
      <c r="GM152" s="20"/>
      <c r="GN152" s="20"/>
      <c r="GO152" s="20"/>
      <c r="GP152" s="20"/>
      <c r="GQ152" s="20"/>
      <c r="GR152" s="20"/>
      <c r="GS152" s="20"/>
      <c r="GT152" s="20"/>
      <c r="GU152" s="20"/>
      <c r="GV152" s="20"/>
      <c r="GW152" s="20"/>
      <c r="GX152" s="20"/>
      <c r="GY152" s="20"/>
      <c r="GZ152" s="20"/>
      <c r="HA152" s="20"/>
      <c r="HB152" s="20"/>
      <c r="HC152" s="20"/>
      <c r="HD152" s="20"/>
      <c r="HE152" s="20"/>
      <c r="HF152" s="20"/>
      <c r="HG152" s="20"/>
      <c r="HH152" s="20"/>
      <c r="HI152" s="20"/>
      <c r="HJ152" s="20"/>
      <c r="HK152" s="20"/>
      <c r="HL152" s="20"/>
      <c r="HM152" s="20"/>
      <c r="HN152" s="20"/>
      <c r="HO152" s="20"/>
      <c r="HP152" s="20"/>
      <c r="HQ152" s="20"/>
      <c r="HR152" s="20"/>
      <c r="HS152" s="20"/>
      <c r="HT152" s="20"/>
      <c r="HU152" s="20"/>
      <c r="HV152" s="20"/>
      <c r="HW152" s="20"/>
      <c r="HX152" s="20"/>
      <c r="HY152" s="20"/>
      <c r="HZ152" s="20"/>
      <c r="IA152" s="20"/>
      <c r="IB152" s="20"/>
      <c r="IC152" s="20"/>
      <c r="ID152" s="20"/>
      <c r="IE152" s="20"/>
      <c r="IF152" s="20"/>
      <c r="IG152" s="20"/>
      <c r="IH152" s="20"/>
      <c r="II152" s="20"/>
      <c r="IJ152" s="20"/>
      <c r="IK152" s="20"/>
      <c r="IL152" s="20"/>
      <c r="IM152" s="20"/>
      <c r="IN152" s="20"/>
      <c r="IO152" s="20"/>
      <c r="IP152" s="20"/>
      <c r="IQ152" s="20"/>
      <c r="IR152" s="20"/>
      <c r="IS152" s="20"/>
      <c r="IT152" s="20"/>
      <c r="IU152" s="20"/>
      <c r="IV152" s="20"/>
      <c r="IW152" s="20"/>
      <c r="IX152" s="20"/>
      <c r="IY152" s="20"/>
      <c r="IZ152" s="20"/>
      <c r="JA152" s="20"/>
      <c r="JB152" s="20"/>
      <c r="JC152" s="20"/>
      <c r="JD152" s="20"/>
      <c r="JE152" s="20"/>
      <c r="JF152" s="20"/>
      <c r="JG152" s="20"/>
      <c r="JH152" s="20"/>
      <c r="JI152" s="20"/>
    </row>
    <row r="153" spans="1:16375" ht="15" customHeight="1">
      <c r="A153" s="117" t="s">
        <v>232</v>
      </c>
      <c r="B153" s="119" t="s">
        <v>234</v>
      </c>
      <c r="C153" s="88"/>
      <c r="D153" s="88"/>
      <c r="E153" s="88"/>
      <c r="F153" s="88"/>
      <c r="G153" s="88"/>
      <c r="H153" s="88"/>
      <c r="I153" s="88"/>
      <c r="J153" s="88"/>
      <c r="K153" s="88"/>
      <c r="L153" s="88"/>
      <c r="M153" s="88"/>
      <c r="N153" s="88"/>
      <c r="O153" s="88"/>
      <c r="P153" s="88"/>
      <c r="Q153" s="88"/>
      <c r="R153" s="88"/>
      <c r="S153" s="88"/>
      <c r="T153" s="88"/>
      <c r="U153" s="88"/>
      <c r="V153" s="88"/>
      <c r="Y153" s="88"/>
      <c r="AB153" s="88"/>
      <c r="AE153" s="88"/>
      <c r="AH153" s="109" t="s">
        <v>232</v>
      </c>
      <c r="AI153" s="118" t="s">
        <v>235</v>
      </c>
      <c r="AM153" s="88"/>
      <c r="AQ153" s="88"/>
      <c r="AU153" s="88"/>
      <c r="AX153" s="88"/>
      <c r="BC153" s="113"/>
      <c r="BD153" s="113"/>
      <c r="BE153" s="89"/>
      <c r="BF153" s="89"/>
      <c r="BG153" s="89"/>
      <c r="BH153" s="89"/>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c r="DB153" s="20"/>
      <c r="DC153" s="20"/>
      <c r="DD153" s="20"/>
      <c r="DE153" s="20"/>
      <c r="DF153" s="20"/>
      <c r="DG153" s="20"/>
      <c r="DH153" s="20"/>
      <c r="DI153" s="20"/>
      <c r="DJ153" s="20"/>
      <c r="DK153" s="20"/>
      <c r="DL153" s="20"/>
      <c r="DM153" s="20"/>
      <c r="DN153" s="20"/>
      <c r="DO153" s="20"/>
      <c r="DP153" s="20"/>
      <c r="DQ153" s="20"/>
      <c r="DR153" s="20"/>
      <c r="DS153" s="20"/>
      <c r="DT153" s="20"/>
      <c r="DU153" s="20"/>
      <c r="DV153" s="20"/>
      <c r="DW153" s="20"/>
      <c r="DX153" s="20"/>
      <c r="DY153" s="20"/>
      <c r="DZ153" s="20"/>
      <c r="EA153" s="20"/>
      <c r="EB153" s="20"/>
      <c r="EC153" s="20"/>
      <c r="ED153" s="20"/>
      <c r="EE153" s="20"/>
      <c r="EF153" s="20"/>
      <c r="EG153" s="20"/>
      <c r="EH153" s="20"/>
      <c r="EI153" s="20"/>
      <c r="EJ153" s="20"/>
      <c r="EK153" s="20"/>
      <c r="EL153" s="20"/>
      <c r="EM153" s="20"/>
      <c r="EN153" s="20"/>
      <c r="EO153" s="20"/>
      <c r="EP153" s="20"/>
      <c r="EQ153" s="20"/>
      <c r="ER153" s="20"/>
      <c r="ES153" s="20"/>
      <c r="ET153" s="20"/>
      <c r="EU153" s="20"/>
      <c r="EV153" s="20"/>
      <c r="EW153" s="20"/>
      <c r="EX153" s="20"/>
      <c r="EY153" s="20"/>
      <c r="EZ153" s="20"/>
      <c r="FA153" s="20"/>
      <c r="FB153" s="20"/>
      <c r="FC153" s="20"/>
      <c r="FD153" s="20"/>
      <c r="FE153" s="20"/>
      <c r="FF153" s="20"/>
      <c r="FG153" s="20"/>
      <c r="FH153" s="20"/>
      <c r="FI153" s="20"/>
      <c r="FJ153" s="20"/>
      <c r="FK153" s="20"/>
      <c r="FL153" s="20"/>
      <c r="FM153" s="20"/>
      <c r="FN153" s="20"/>
      <c r="FO153" s="20"/>
      <c r="FP153" s="20"/>
      <c r="FQ153" s="20"/>
      <c r="FR153" s="20"/>
      <c r="FS153" s="20"/>
      <c r="FT153" s="20"/>
      <c r="FU153" s="20"/>
      <c r="FV153" s="20"/>
      <c r="FW153" s="20"/>
      <c r="FX153" s="20"/>
      <c r="FY153" s="20"/>
      <c r="FZ153" s="20"/>
      <c r="GA153" s="20"/>
      <c r="GB153" s="20"/>
      <c r="GC153" s="20"/>
      <c r="GD153" s="20"/>
      <c r="GE153" s="20"/>
      <c r="GF153" s="20"/>
      <c r="GG153" s="20"/>
      <c r="GH153" s="20"/>
      <c r="GI153" s="20"/>
      <c r="GJ153" s="20"/>
      <c r="GK153" s="20"/>
      <c r="GL153" s="20"/>
      <c r="GM153" s="20"/>
      <c r="GN153" s="20"/>
      <c r="GO153" s="20"/>
      <c r="GP153" s="20"/>
      <c r="GQ153" s="20"/>
      <c r="GR153" s="20"/>
      <c r="GS153" s="20"/>
      <c r="GT153" s="20"/>
      <c r="GU153" s="20"/>
      <c r="GV153" s="20"/>
      <c r="GW153" s="20"/>
      <c r="GX153" s="20"/>
      <c r="GY153" s="20"/>
      <c r="GZ153" s="20"/>
      <c r="HA153" s="20"/>
      <c r="HB153" s="20"/>
      <c r="HC153" s="20"/>
      <c r="HD153" s="20"/>
      <c r="HE153" s="20"/>
      <c r="HF153" s="20"/>
      <c r="HG153" s="20"/>
      <c r="HH153" s="20"/>
      <c r="HI153" s="20"/>
      <c r="HJ153" s="20"/>
      <c r="HK153" s="20"/>
      <c r="HL153" s="20"/>
      <c r="HM153" s="20"/>
      <c r="HN153" s="20"/>
      <c r="HO153" s="20"/>
      <c r="HP153" s="20"/>
      <c r="HQ153" s="20"/>
      <c r="HR153" s="20"/>
      <c r="HS153" s="20"/>
      <c r="HT153" s="20"/>
      <c r="HU153" s="20"/>
      <c r="HV153" s="20"/>
      <c r="HW153" s="20"/>
      <c r="HX153" s="20"/>
      <c r="HY153" s="20"/>
      <c r="HZ153" s="20"/>
      <c r="IA153" s="20"/>
      <c r="IB153" s="20"/>
      <c r="IC153" s="20"/>
      <c r="ID153" s="20"/>
      <c r="IE153" s="20"/>
      <c r="IF153" s="20"/>
      <c r="IG153" s="20"/>
      <c r="IH153" s="20"/>
      <c r="II153" s="20"/>
      <c r="IJ153" s="20"/>
      <c r="IK153" s="20"/>
      <c r="IL153" s="20"/>
      <c r="IM153" s="20"/>
      <c r="IN153" s="20"/>
      <c r="IO153" s="20"/>
      <c r="IP153" s="20"/>
      <c r="IQ153" s="20"/>
      <c r="IR153" s="20"/>
      <c r="IS153" s="20"/>
      <c r="IT153" s="20"/>
      <c r="IU153" s="20"/>
      <c r="IV153" s="20"/>
      <c r="IW153" s="20"/>
      <c r="IX153" s="20"/>
      <c r="IY153" s="20"/>
      <c r="IZ153" s="20"/>
      <c r="JA153" s="20"/>
      <c r="JB153" s="20"/>
      <c r="JC153" s="20"/>
      <c r="JD153" s="20"/>
      <c r="JE153" s="20"/>
      <c r="JF153" s="20"/>
      <c r="JG153" s="20"/>
      <c r="JH153" s="20"/>
      <c r="JI153" s="20"/>
    </row>
    <row r="154" spans="1:16375">
      <c r="A154" s="189" t="s">
        <v>239</v>
      </c>
      <c r="B154" s="20" t="s">
        <v>238</v>
      </c>
      <c r="C154" s="20"/>
      <c r="D154" s="27"/>
      <c r="E154" s="27"/>
      <c r="F154" s="27"/>
      <c r="G154" s="18"/>
      <c r="H154" s="27"/>
      <c r="I154" s="27"/>
      <c r="J154" s="18"/>
      <c r="K154" s="27"/>
      <c r="L154" s="27"/>
      <c r="M154" s="18"/>
      <c r="N154" s="27"/>
      <c r="O154" s="27"/>
      <c r="P154" s="18"/>
      <c r="Q154" s="27"/>
      <c r="R154" s="18"/>
      <c r="S154" s="18"/>
      <c r="T154" s="18"/>
      <c r="U154" s="18"/>
      <c r="V154" s="18"/>
      <c r="W154" s="105"/>
      <c r="X154" s="105"/>
      <c r="Y154" s="18"/>
      <c r="Z154" s="105"/>
      <c r="AA154" s="105"/>
      <c r="AB154" s="18"/>
      <c r="AC154" s="105"/>
      <c r="AD154" s="105"/>
      <c r="AE154" s="18"/>
      <c r="AF154" s="105"/>
      <c r="AG154" s="105"/>
      <c r="AH154" s="109" t="s">
        <v>239</v>
      </c>
      <c r="AI154" s="118" t="s">
        <v>240</v>
      </c>
      <c r="AJ154" s="105"/>
      <c r="AK154" s="105"/>
      <c r="AL154" s="105"/>
      <c r="AM154" s="18"/>
      <c r="AN154" s="105"/>
      <c r="AO154" s="105"/>
      <c r="AP154" s="105"/>
      <c r="AQ154" s="18"/>
      <c r="AR154" s="105"/>
      <c r="AS154" s="105"/>
      <c r="AT154" s="105"/>
      <c r="AU154" s="18"/>
      <c r="AV154" s="105"/>
      <c r="AW154" s="105"/>
      <c r="AX154" s="18"/>
      <c r="AZ154" s="105"/>
      <c r="BA154" s="105"/>
      <c r="BB154" s="105"/>
      <c r="BC154" s="18"/>
      <c r="BD154" s="89"/>
      <c r="BE154" s="89"/>
      <c r="BF154" s="89"/>
      <c r="BG154" s="89"/>
      <c r="BH154" s="89"/>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c r="DB154" s="20"/>
      <c r="DC154" s="20"/>
      <c r="DD154" s="20"/>
      <c r="DE154" s="20"/>
      <c r="DF154" s="20"/>
      <c r="DG154" s="20"/>
      <c r="DH154" s="20"/>
      <c r="DI154" s="20"/>
      <c r="DJ154" s="20"/>
      <c r="DK154" s="20"/>
      <c r="DL154" s="20"/>
      <c r="DM154" s="20"/>
      <c r="DN154" s="20"/>
      <c r="DO154" s="20"/>
      <c r="DP154" s="20"/>
      <c r="DQ154" s="20"/>
      <c r="DR154" s="20"/>
      <c r="DS154" s="20"/>
      <c r="DT154" s="20"/>
      <c r="DU154" s="20"/>
      <c r="DV154" s="20"/>
      <c r="DW154" s="20"/>
      <c r="DX154" s="20"/>
      <c r="DY154" s="20"/>
      <c r="DZ154" s="20"/>
      <c r="EA154" s="20"/>
      <c r="EB154" s="20"/>
      <c r="EC154" s="20"/>
      <c r="ED154" s="20"/>
      <c r="EE154" s="20"/>
      <c r="EF154" s="20"/>
      <c r="EG154" s="20"/>
      <c r="EH154" s="20"/>
      <c r="EI154" s="20"/>
      <c r="EJ154" s="20"/>
      <c r="EK154" s="20"/>
      <c r="EL154" s="20"/>
      <c r="EM154" s="20"/>
      <c r="EN154" s="20"/>
      <c r="EO154" s="20"/>
      <c r="EP154" s="20"/>
      <c r="EQ154" s="20"/>
      <c r="ER154" s="20"/>
      <c r="ES154" s="20"/>
      <c r="ET154" s="20"/>
      <c r="EU154" s="20"/>
      <c r="EV154" s="20"/>
      <c r="EW154" s="20"/>
      <c r="EX154" s="20"/>
      <c r="EY154" s="20"/>
      <c r="EZ154" s="20"/>
      <c r="FA154" s="20"/>
      <c r="FB154" s="20"/>
      <c r="FC154" s="20"/>
      <c r="FD154" s="20"/>
      <c r="FE154" s="20"/>
      <c r="FF154" s="20"/>
      <c r="FG154" s="20"/>
      <c r="FH154" s="20"/>
      <c r="FI154" s="20"/>
      <c r="FJ154" s="20"/>
      <c r="FK154" s="20"/>
      <c r="FL154" s="20"/>
      <c r="FM154" s="20"/>
      <c r="FN154" s="20"/>
      <c r="FO154" s="20"/>
      <c r="FP154" s="20"/>
      <c r="FQ154" s="20"/>
      <c r="FR154" s="20"/>
      <c r="FS154" s="20"/>
      <c r="FT154" s="20"/>
      <c r="FU154" s="20"/>
      <c r="FV154" s="20"/>
      <c r="FW154" s="20"/>
      <c r="FX154" s="20"/>
      <c r="FY154" s="20"/>
      <c r="FZ154" s="20"/>
      <c r="GA154" s="20"/>
      <c r="GB154" s="20"/>
      <c r="GC154" s="20"/>
      <c r="GD154" s="20"/>
      <c r="GE154" s="20"/>
      <c r="GF154" s="20"/>
      <c r="GG154" s="20"/>
      <c r="GH154" s="20"/>
      <c r="GI154" s="20"/>
      <c r="GJ154" s="20"/>
      <c r="GK154" s="20"/>
      <c r="GL154" s="20"/>
      <c r="GM154" s="20"/>
      <c r="GN154" s="20"/>
      <c r="GO154" s="20"/>
      <c r="GP154" s="20"/>
      <c r="GQ154" s="20"/>
      <c r="GR154" s="20"/>
      <c r="GS154" s="20"/>
      <c r="GT154" s="20"/>
      <c r="GU154" s="20"/>
      <c r="GV154" s="20"/>
      <c r="GW154" s="20"/>
      <c r="GX154" s="20"/>
      <c r="GY154" s="20"/>
      <c r="GZ154" s="20"/>
      <c r="HA154" s="20"/>
      <c r="HB154" s="20"/>
      <c r="HC154" s="20"/>
      <c r="HD154" s="20"/>
      <c r="HE154" s="20"/>
      <c r="HF154" s="20"/>
      <c r="HG154" s="20"/>
      <c r="HH154" s="20"/>
      <c r="HI154" s="20"/>
      <c r="HJ154" s="20"/>
      <c r="HK154" s="20"/>
      <c r="HL154" s="20"/>
      <c r="HM154" s="20"/>
      <c r="HN154" s="20"/>
      <c r="HO154" s="20"/>
      <c r="HP154" s="20"/>
      <c r="HQ154" s="20"/>
      <c r="HR154" s="20"/>
      <c r="HS154" s="20"/>
      <c r="HT154" s="20"/>
      <c r="HU154" s="20"/>
      <c r="HV154" s="20"/>
      <c r="HW154" s="20"/>
      <c r="HX154" s="20"/>
      <c r="HY154" s="20"/>
      <c r="HZ154" s="20"/>
      <c r="IA154" s="20"/>
      <c r="IB154" s="20"/>
      <c r="IC154" s="20"/>
      <c r="ID154" s="20"/>
      <c r="IE154" s="20"/>
      <c r="IF154" s="20"/>
      <c r="IG154" s="20"/>
      <c r="IH154" s="20"/>
      <c r="II154" s="20"/>
      <c r="IJ154" s="20"/>
      <c r="IK154" s="20"/>
      <c r="IL154" s="20"/>
      <c r="IM154" s="20"/>
      <c r="IN154" s="20"/>
      <c r="IO154" s="20"/>
      <c r="IP154" s="20"/>
      <c r="IQ154" s="20"/>
      <c r="IR154" s="20"/>
      <c r="IS154" s="20"/>
      <c r="IT154" s="20"/>
      <c r="IU154" s="20"/>
      <c r="IV154" s="20"/>
      <c r="IW154" s="20"/>
      <c r="IX154" s="20"/>
      <c r="IY154" s="20"/>
      <c r="IZ154" s="20"/>
      <c r="JA154" s="20"/>
      <c r="JB154" s="20"/>
      <c r="JC154" s="20"/>
      <c r="JD154" s="20"/>
      <c r="JE154" s="20"/>
      <c r="JF154" s="20"/>
      <c r="JG154" s="20"/>
      <c r="JH154" s="20"/>
      <c r="JI154" s="20"/>
    </row>
    <row r="155" spans="1:16375">
      <c r="A155" s="61"/>
      <c r="B155" s="20"/>
      <c r="C155" s="20"/>
      <c r="D155" s="27"/>
      <c r="E155" s="27"/>
      <c r="F155" s="27"/>
      <c r="G155" s="18"/>
      <c r="H155" s="27"/>
      <c r="I155" s="27"/>
      <c r="J155" s="18"/>
      <c r="K155" s="27"/>
      <c r="L155" s="27"/>
      <c r="M155" s="18"/>
      <c r="N155" s="27"/>
      <c r="O155" s="27"/>
      <c r="P155" s="18"/>
      <c r="Q155" s="27"/>
      <c r="R155" s="18"/>
      <c r="S155" s="18"/>
      <c r="T155" s="18"/>
      <c r="U155" s="18"/>
      <c r="V155" s="18"/>
      <c r="W155" s="105"/>
      <c r="X155" s="105"/>
      <c r="Y155" s="18"/>
      <c r="Z155" s="105"/>
      <c r="AA155" s="105"/>
      <c r="AB155" s="18"/>
      <c r="AC155" s="105"/>
      <c r="AD155" s="105"/>
      <c r="AE155" s="18"/>
      <c r="AF155" s="105"/>
      <c r="AG155" s="105"/>
      <c r="AH155" s="105"/>
      <c r="AI155" s="105"/>
      <c r="AJ155" s="105"/>
      <c r="AK155" s="105"/>
      <c r="AL155" s="105"/>
      <c r="AM155" s="18"/>
      <c r="AN155" s="105"/>
      <c r="AO155" s="105"/>
      <c r="AP155" s="105"/>
      <c r="AQ155" s="18"/>
      <c r="AR155" s="105"/>
      <c r="AS155" s="105"/>
      <c r="AT155" s="105"/>
      <c r="AU155" s="18"/>
      <c r="AV155" s="105"/>
      <c r="AW155" s="105"/>
      <c r="AX155" s="18"/>
      <c r="AZ155" s="105"/>
      <c r="BA155" s="105"/>
      <c r="BB155" s="105"/>
      <c r="BC155" s="18"/>
      <c r="BD155" s="89"/>
      <c r="BE155" s="89"/>
      <c r="BF155" s="89"/>
      <c r="BG155" s="89"/>
      <c r="BH155" s="89"/>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c r="DB155" s="20"/>
      <c r="DC155" s="20"/>
      <c r="DD155" s="20"/>
      <c r="DE155" s="20"/>
      <c r="DF155" s="20"/>
      <c r="DG155" s="20"/>
      <c r="DH155" s="20"/>
      <c r="DI155" s="20"/>
      <c r="DJ155" s="20"/>
      <c r="DK155" s="20"/>
      <c r="DL155" s="20"/>
      <c r="DM155" s="20"/>
      <c r="DN155" s="20"/>
      <c r="DO155" s="20"/>
      <c r="DP155" s="20"/>
      <c r="DQ155" s="20"/>
      <c r="DR155" s="20"/>
      <c r="DS155" s="20"/>
      <c r="DT155" s="20"/>
      <c r="DU155" s="20"/>
      <c r="DV155" s="20"/>
      <c r="DW155" s="20"/>
      <c r="DX155" s="20"/>
      <c r="DY155" s="20"/>
      <c r="DZ155" s="20"/>
      <c r="EA155" s="20"/>
      <c r="EB155" s="20"/>
      <c r="EC155" s="20"/>
      <c r="ED155" s="20"/>
      <c r="EE155" s="20"/>
      <c r="EF155" s="20"/>
      <c r="EG155" s="20"/>
      <c r="EH155" s="20"/>
      <c r="EI155" s="20"/>
      <c r="EJ155" s="20"/>
      <c r="EK155" s="20"/>
      <c r="EL155" s="20"/>
      <c r="EM155" s="20"/>
      <c r="EN155" s="20"/>
      <c r="EO155" s="20"/>
      <c r="EP155" s="20"/>
      <c r="EQ155" s="20"/>
      <c r="ER155" s="20"/>
      <c r="ES155" s="20"/>
      <c r="ET155" s="20"/>
      <c r="EU155" s="20"/>
      <c r="EV155" s="20"/>
      <c r="EW155" s="20"/>
      <c r="EX155" s="20"/>
      <c r="EY155" s="20"/>
      <c r="EZ155" s="20"/>
      <c r="FA155" s="20"/>
      <c r="FB155" s="20"/>
      <c r="FC155" s="20"/>
      <c r="FD155" s="20"/>
      <c r="FE155" s="20"/>
      <c r="FF155" s="20"/>
      <c r="FG155" s="20"/>
      <c r="FH155" s="20"/>
      <c r="FI155" s="20"/>
      <c r="FJ155" s="20"/>
      <c r="FK155" s="20"/>
      <c r="FL155" s="20"/>
      <c r="FM155" s="20"/>
      <c r="FN155" s="20"/>
      <c r="FO155" s="20"/>
      <c r="FP155" s="20"/>
      <c r="FQ155" s="20"/>
      <c r="FR155" s="20"/>
      <c r="FS155" s="20"/>
      <c r="FT155" s="20"/>
      <c r="FU155" s="20"/>
      <c r="FV155" s="20"/>
      <c r="FW155" s="20"/>
      <c r="FX155" s="20"/>
      <c r="FY155" s="20"/>
      <c r="FZ155" s="20"/>
      <c r="GA155" s="20"/>
      <c r="GB155" s="20"/>
      <c r="GC155" s="20"/>
      <c r="GD155" s="20"/>
      <c r="GE155" s="20"/>
      <c r="GF155" s="20"/>
      <c r="GG155" s="20"/>
      <c r="GH155" s="20"/>
      <c r="GI155" s="20"/>
      <c r="GJ155" s="20"/>
      <c r="GK155" s="20"/>
      <c r="GL155" s="20"/>
      <c r="GM155" s="20"/>
      <c r="GN155" s="20"/>
      <c r="GO155" s="20"/>
      <c r="GP155" s="20"/>
      <c r="GQ155" s="20"/>
      <c r="GR155" s="20"/>
      <c r="GS155" s="20"/>
      <c r="GT155" s="20"/>
      <c r="GU155" s="20"/>
      <c r="GV155" s="20"/>
      <c r="GW155" s="20"/>
      <c r="GX155" s="20"/>
      <c r="GY155" s="20"/>
      <c r="GZ155" s="20"/>
      <c r="HA155" s="20"/>
      <c r="HB155" s="20"/>
      <c r="HC155" s="20"/>
      <c r="HD155" s="20"/>
      <c r="HE155" s="20"/>
      <c r="HF155" s="20"/>
      <c r="HG155" s="20"/>
      <c r="HH155" s="20"/>
      <c r="HI155" s="20"/>
      <c r="HJ155" s="20"/>
      <c r="HK155" s="20"/>
      <c r="HL155" s="20"/>
      <c r="HM155" s="20"/>
      <c r="HN155" s="20"/>
      <c r="HO155" s="20"/>
      <c r="HP155" s="20"/>
      <c r="HQ155" s="20"/>
      <c r="HR155" s="20"/>
      <c r="HS155" s="20"/>
      <c r="HT155" s="20"/>
      <c r="HU155" s="20"/>
      <c r="HV155" s="20"/>
      <c r="HW155" s="20"/>
      <c r="HX155" s="20"/>
      <c r="HY155" s="20"/>
      <c r="HZ155" s="20"/>
      <c r="IA155" s="20"/>
      <c r="IB155" s="20"/>
      <c r="IC155" s="20"/>
      <c r="ID155" s="20"/>
      <c r="IE155" s="20"/>
      <c r="IF155" s="20"/>
      <c r="IG155" s="20"/>
      <c r="IH155" s="20"/>
      <c r="II155" s="20"/>
      <c r="IJ155" s="20"/>
      <c r="IK155" s="20"/>
      <c r="IL155" s="20"/>
      <c r="IM155" s="20"/>
      <c r="IN155" s="20"/>
      <c r="IO155" s="20"/>
      <c r="IP155" s="20"/>
      <c r="IQ155" s="20"/>
      <c r="IR155" s="20"/>
      <c r="IS155" s="20"/>
      <c r="IT155" s="20"/>
      <c r="IU155" s="20"/>
      <c r="IV155" s="20"/>
      <c r="IW155" s="20"/>
      <c r="IX155" s="20"/>
      <c r="IY155" s="20"/>
      <c r="IZ155" s="20"/>
      <c r="JA155" s="20"/>
      <c r="JB155" s="20"/>
      <c r="JC155" s="20"/>
      <c r="JD155" s="20"/>
      <c r="JE155" s="20"/>
      <c r="JF155" s="20"/>
      <c r="JG155" s="20"/>
      <c r="JH155" s="20"/>
      <c r="JI155" s="20"/>
    </row>
    <row r="156" spans="1:16375">
      <c r="A156" s="61"/>
      <c r="B156" s="20"/>
      <c r="C156" s="20"/>
      <c r="D156" s="27"/>
      <c r="E156" s="27"/>
      <c r="F156" s="27"/>
      <c r="G156" s="18"/>
      <c r="H156" s="27"/>
      <c r="I156" s="27"/>
      <c r="J156" s="18"/>
      <c r="K156" s="27"/>
      <c r="L156" s="27"/>
      <c r="M156" s="18"/>
      <c r="N156" s="27"/>
      <c r="O156" s="27"/>
      <c r="P156" s="18"/>
      <c r="Q156" s="27"/>
      <c r="R156" s="18"/>
      <c r="S156" s="18"/>
      <c r="T156" s="18"/>
      <c r="U156" s="18"/>
      <c r="V156" s="18"/>
      <c r="W156" s="105"/>
      <c r="X156" s="105"/>
      <c r="Y156" s="18"/>
      <c r="Z156" s="105"/>
      <c r="AA156" s="105"/>
      <c r="AB156" s="18"/>
      <c r="AC156" s="105"/>
      <c r="AD156" s="105"/>
      <c r="AE156" s="18"/>
      <c r="AF156" s="105"/>
      <c r="AG156" s="105"/>
      <c r="AH156" s="105"/>
      <c r="AI156" s="105"/>
      <c r="AJ156" s="105"/>
      <c r="AK156" s="105"/>
      <c r="AL156" s="105"/>
      <c r="AM156" s="18"/>
      <c r="AN156" s="105"/>
      <c r="AO156" s="105"/>
      <c r="AP156" s="105"/>
      <c r="AQ156" s="18"/>
      <c r="AR156" s="105"/>
      <c r="AS156" s="105"/>
      <c r="AT156" s="105"/>
      <c r="AU156" s="18"/>
      <c r="AV156" s="105"/>
      <c r="AW156" s="105"/>
      <c r="AX156" s="18"/>
      <c r="AZ156" s="105"/>
      <c r="BA156" s="105"/>
      <c r="BB156" s="105"/>
      <c r="BC156" s="18"/>
      <c r="BD156" s="89"/>
      <c r="BE156" s="89"/>
      <c r="BF156" s="89"/>
      <c r="BG156" s="89"/>
      <c r="BH156" s="89"/>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c r="DB156" s="20"/>
      <c r="DC156" s="20"/>
      <c r="DD156" s="20"/>
      <c r="DE156" s="20"/>
      <c r="DF156" s="20"/>
      <c r="DG156" s="20"/>
      <c r="DH156" s="20"/>
      <c r="DI156" s="20"/>
      <c r="DJ156" s="20"/>
      <c r="DK156" s="20"/>
      <c r="DL156" s="20"/>
      <c r="DM156" s="20"/>
      <c r="DN156" s="20"/>
      <c r="DO156" s="20"/>
      <c r="DP156" s="20"/>
      <c r="DQ156" s="20"/>
      <c r="DR156" s="20"/>
      <c r="DS156" s="20"/>
      <c r="DT156" s="20"/>
      <c r="DU156" s="20"/>
      <c r="DV156" s="20"/>
      <c r="DW156" s="20"/>
      <c r="DX156" s="20"/>
      <c r="DY156" s="20"/>
      <c r="DZ156" s="20"/>
      <c r="EA156" s="20"/>
      <c r="EB156" s="20"/>
      <c r="EC156" s="20"/>
      <c r="ED156" s="20"/>
      <c r="EE156" s="20"/>
      <c r="EF156" s="20"/>
      <c r="EG156" s="20"/>
      <c r="EH156" s="20"/>
      <c r="EI156" s="20"/>
      <c r="EJ156" s="20"/>
      <c r="EK156" s="20"/>
      <c r="EL156" s="20"/>
      <c r="EM156" s="20"/>
      <c r="EN156" s="20"/>
      <c r="EO156" s="20"/>
      <c r="EP156" s="20"/>
      <c r="EQ156" s="20"/>
      <c r="ER156" s="20"/>
      <c r="ES156" s="20"/>
      <c r="ET156" s="20"/>
      <c r="EU156" s="20"/>
      <c r="EV156" s="20"/>
      <c r="EW156" s="20"/>
      <c r="EX156" s="20"/>
      <c r="EY156" s="20"/>
      <c r="EZ156" s="20"/>
      <c r="FA156" s="20"/>
      <c r="FB156" s="20"/>
      <c r="FC156" s="20"/>
      <c r="FD156" s="20"/>
      <c r="FE156" s="20"/>
      <c r="FF156" s="20"/>
      <c r="FG156" s="20"/>
      <c r="FH156" s="20"/>
      <c r="FI156" s="20"/>
      <c r="FJ156" s="20"/>
      <c r="FK156" s="20"/>
      <c r="FL156" s="20"/>
      <c r="FM156" s="20"/>
      <c r="FN156" s="20"/>
      <c r="FO156" s="20"/>
      <c r="FP156" s="20"/>
      <c r="FQ156" s="20"/>
      <c r="FR156" s="20"/>
      <c r="FS156" s="20"/>
      <c r="FT156" s="20"/>
      <c r="FU156" s="20"/>
      <c r="FV156" s="20"/>
      <c r="FW156" s="20"/>
      <c r="FX156" s="20"/>
      <c r="FY156" s="20"/>
      <c r="FZ156" s="20"/>
      <c r="GA156" s="20"/>
      <c r="GB156" s="20"/>
      <c r="GC156" s="20"/>
      <c r="GD156" s="20"/>
      <c r="GE156" s="20"/>
      <c r="GF156" s="20"/>
      <c r="GG156" s="20"/>
      <c r="GH156" s="20"/>
      <c r="GI156" s="20"/>
      <c r="GJ156" s="20"/>
      <c r="GK156" s="20"/>
      <c r="GL156" s="20"/>
      <c r="GM156" s="20"/>
      <c r="GN156" s="20"/>
      <c r="GO156" s="20"/>
      <c r="GP156" s="20"/>
      <c r="GQ156" s="20"/>
      <c r="GR156" s="20"/>
      <c r="GS156" s="20"/>
      <c r="GT156" s="20"/>
      <c r="GU156" s="20"/>
      <c r="GV156" s="20"/>
      <c r="GW156" s="20"/>
      <c r="GX156" s="20"/>
      <c r="GY156" s="20"/>
      <c r="GZ156" s="20"/>
      <c r="HA156" s="20"/>
      <c r="HB156" s="20"/>
      <c r="HC156" s="20"/>
      <c r="HD156" s="20"/>
      <c r="HE156" s="20"/>
      <c r="HF156" s="20"/>
      <c r="HG156" s="20"/>
      <c r="HH156" s="20"/>
      <c r="HI156" s="20"/>
      <c r="HJ156" s="20"/>
      <c r="HK156" s="20"/>
      <c r="HL156" s="20"/>
      <c r="HM156" s="20"/>
      <c r="HN156" s="20"/>
      <c r="HO156" s="20"/>
      <c r="HP156" s="20"/>
      <c r="HQ156" s="20"/>
      <c r="HR156" s="20"/>
      <c r="HS156" s="20"/>
      <c r="HT156" s="20"/>
      <c r="HU156" s="20"/>
      <c r="HV156" s="20"/>
      <c r="HW156" s="20"/>
      <c r="HX156" s="20"/>
      <c r="HY156" s="20"/>
      <c r="HZ156" s="20"/>
      <c r="IA156" s="20"/>
      <c r="IB156" s="20"/>
      <c r="IC156" s="20"/>
      <c r="ID156" s="20"/>
      <c r="IE156" s="20"/>
      <c r="IF156" s="20"/>
      <c r="IG156" s="20"/>
      <c r="IH156" s="20"/>
      <c r="II156" s="20"/>
      <c r="IJ156" s="20"/>
      <c r="IK156" s="20"/>
      <c r="IL156" s="20"/>
      <c r="IM156" s="20"/>
      <c r="IN156" s="20"/>
      <c r="IO156" s="20"/>
      <c r="IP156" s="20"/>
      <c r="IQ156" s="20"/>
      <c r="IR156" s="20"/>
      <c r="IS156" s="20"/>
      <c r="IT156" s="20"/>
      <c r="IU156" s="20"/>
      <c r="IV156" s="20"/>
      <c r="IW156" s="20"/>
      <c r="IX156" s="20"/>
      <c r="IY156" s="20"/>
      <c r="IZ156" s="20"/>
      <c r="JA156" s="20"/>
      <c r="JB156" s="20"/>
      <c r="JC156" s="20"/>
      <c r="JD156" s="20"/>
      <c r="JE156" s="20"/>
      <c r="JF156" s="20"/>
      <c r="JG156" s="20"/>
      <c r="JH156" s="20"/>
      <c r="JI156" s="20"/>
    </row>
    <row r="157" spans="1:16375">
      <c r="A157" s="61" ph="1"/>
      <c r="B157" s="20" ph="1"/>
      <c r="C157" s="20" ph="1"/>
      <c r="D157" s="27" ph="1"/>
      <c r="E157" s="27" ph="1"/>
      <c r="F157" s="27" ph="1"/>
      <c r="G157" s="18" ph="1"/>
      <c r="H157" s="27" ph="1"/>
      <c r="I157" s="27" ph="1"/>
      <c r="J157" s="18" ph="1"/>
      <c r="K157" s="27" ph="1"/>
      <c r="L157" s="27" ph="1"/>
      <c r="M157" s="18" ph="1"/>
      <c r="N157" s="27" ph="1"/>
      <c r="O157" s="27" ph="1"/>
      <c r="P157" s="18" ph="1"/>
      <c r="Q157" s="27" ph="1"/>
      <c r="R157" s="18" ph="1"/>
      <c r="S157" s="18" ph="1"/>
      <c r="T157" s="18" ph="1"/>
      <c r="U157" s="18" ph="1"/>
      <c r="V157" s="18" ph="1"/>
      <c r="W157" s="105" ph="1"/>
      <c r="X157" s="105" ph="1"/>
      <c r="Y157" s="18" ph="1"/>
      <c r="Z157" s="105" ph="1"/>
      <c r="AA157" s="105" ph="1"/>
      <c r="AB157" s="18" ph="1"/>
      <c r="AC157" s="105" ph="1"/>
      <c r="AD157" s="105" ph="1"/>
      <c r="AE157" s="18" ph="1"/>
      <c r="AF157" s="105" ph="1"/>
      <c r="AG157" s="105" ph="1"/>
      <c r="AH157" s="105" ph="1"/>
      <c r="AI157" s="105" ph="1"/>
      <c r="AJ157" s="105" ph="1"/>
      <c r="AK157" s="105" ph="1"/>
      <c r="AL157" s="105" ph="1"/>
      <c r="AM157" s="18" ph="1"/>
      <c r="AN157" s="105" ph="1"/>
      <c r="AO157" s="105" ph="1"/>
      <c r="AP157" s="105" ph="1"/>
      <c r="AQ157" s="18" ph="1"/>
      <c r="AR157" s="105" ph="1"/>
      <c r="AS157" s="105" ph="1"/>
      <c r="AT157" s="105" ph="1"/>
      <c r="AU157" s="18" ph="1"/>
      <c r="AV157" s="105" ph="1"/>
      <c r="AW157" s="105" ph="1"/>
      <c r="AX157" s="18" ph="1"/>
      <c r="AZ157" s="105" ph="1"/>
      <c r="BA157" s="105" ph="1"/>
      <c r="BB157" s="105" ph="1"/>
      <c r="BC157" s="18" ph="1"/>
      <c r="BD157" s="89"/>
      <c r="BE157" s="89"/>
      <c r="BF157" s="89"/>
      <c r="BG157" s="89"/>
      <c r="BH157" s="89"/>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c r="DB157" s="20"/>
      <c r="DC157" s="20"/>
      <c r="DD157" s="20"/>
      <c r="DE157" s="20"/>
      <c r="DF157" s="20"/>
      <c r="DG157" s="20"/>
      <c r="DH157" s="20"/>
      <c r="DI157" s="20"/>
      <c r="DJ157" s="20"/>
      <c r="DK157" s="20"/>
      <c r="DL157" s="20"/>
      <c r="DM157" s="20"/>
      <c r="DN157" s="20"/>
      <c r="DO157" s="20"/>
      <c r="DP157" s="20"/>
      <c r="DQ157" s="20"/>
      <c r="DR157" s="20"/>
      <c r="DS157" s="20"/>
      <c r="DT157" s="20"/>
      <c r="DU157" s="20"/>
      <c r="DV157" s="20"/>
      <c r="DW157" s="20"/>
      <c r="DX157" s="20"/>
      <c r="DY157" s="20"/>
      <c r="DZ157" s="20"/>
      <c r="EA157" s="20"/>
      <c r="EB157" s="20"/>
      <c r="EC157" s="20"/>
      <c r="ED157" s="20"/>
      <c r="EE157" s="20"/>
      <c r="EF157" s="20"/>
      <c r="EG157" s="20"/>
      <c r="EH157" s="20"/>
      <c r="EI157" s="20"/>
      <c r="EJ157" s="20"/>
      <c r="EK157" s="20"/>
      <c r="EL157" s="20"/>
      <c r="EM157" s="20"/>
      <c r="EN157" s="20"/>
      <c r="EO157" s="20"/>
      <c r="EP157" s="20"/>
      <c r="EQ157" s="20"/>
      <c r="ER157" s="20"/>
      <c r="ES157" s="20"/>
      <c r="ET157" s="20"/>
      <c r="EU157" s="20"/>
      <c r="EV157" s="20"/>
      <c r="EW157" s="20"/>
      <c r="EX157" s="20"/>
      <c r="EY157" s="20"/>
      <c r="EZ157" s="20"/>
      <c r="FA157" s="20"/>
      <c r="FB157" s="20"/>
      <c r="FC157" s="20"/>
      <c r="FD157" s="20"/>
      <c r="FE157" s="20"/>
      <c r="FF157" s="20"/>
      <c r="FG157" s="20"/>
      <c r="FH157" s="20"/>
      <c r="FI157" s="20"/>
      <c r="FJ157" s="20"/>
      <c r="FK157" s="20"/>
      <c r="FL157" s="20"/>
      <c r="FM157" s="20"/>
      <c r="FN157" s="20"/>
      <c r="FO157" s="20"/>
      <c r="FP157" s="20"/>
      <c r="FQ157" s="20"/>
      <c r="FR157" s="20"/>
      <c r="FS157" s="20"/>
      <c r="FT157" s="20"/>
      <c r="FU157" s="20"/>
      <c r="FV157" s="20"/>
      <c r="FW157" s="20"/>
      <c r="FX157" s="20"/>
      <c r="FY157" s="20"/>
      <c r="FZ157" s="20"/>
      <c r="GA157" s="20"/>
      <c r="GB157" s="20"/>
      <c r="GC157" s="20"/>
      <c r="GD157" s="20"/>
      <c r="GE157" s="20"/>
      <c r="GF157" s="20"/>
      <c r="GG157" s="20"/>
      <c r="GH157" s="20"/>
      <c r="GI157" s="20"/>
      <c r="GJ157" s="20"/>
      <c r="GK157" s="20"/>
      <c r="GL157" s="20"/>
      <c r="GM157" s="20"/>
      <c r="GN157" s="20"/>
      <c r="GO157" s="20"/>
      <c r="GP157" s="20"/>
      <c r="GQ157" s="20"/>
      <c r="GR157" s="20"/>
      <c r="GS157" s="20"/>
      <c r="GT157" s="20"/>
      <c r="GU157" s="20"/>
      <c r="GV157" s="20"/>
      <c r="GW157" s="20"/>
      <c r="GX157" s="20"/>
      <c r="GY157" s="20"/>
      <c r="GZ157" s="20"/>
      <c r="HA157" s="20"/>
      <c r="HB157" s="20"/>
      <c r="HC157" s="20"/>
      <c r="HD157" s="20"/>
      <c r="HE157" s="20"/>
      <c r="HF157" s="20"/>
      <c r="HG157" s="20"/>
      <c r="HH157" s="20"/>
      <c r="HI157" s="20"/>
      <c r="HJ157" s="20"/>
      <c r="HK157" s="20"/>
      <c r="HL157" s="20"/>
      <c r="HM157" s="20"/>
      <c r="HN157" s="20"/>
      <c r="HO157" s="20"/>
      <c r="HP157" s="20"/>
      <c r="HQ157" s="20"/>
      <c r="HR157" s="20"/>
      <c r="HS157" s="20"/>
      <c r="HT157" s="20"/>
      <c r="HU157" s="20"/>
      <c r="HV157" s="20"/>
      <c r="HW157" s="20"/>
      <c r="HX157" s="20"/>
      <c r="HY157" s="20"/>
      <c r="HZ157" s="20"/>
      <c r="IA157" s="20"/>
      <c r="IB157" s="20"/>
      <c r="IC157" s="20"/>
      <c r="ID157" s="20"/>
      <c r="IE157" s="20"/>
      <c r="IF157" s="20"/>
      <c r="IG157" s="20"/>
      <c r="IH157" s="20"/>
      <c r="II157" s="20"/>
      <c r="IJ157" s="20"/>
      <c r="IK157" s="20"/>
      <c r="IL157" s="20"/>
      <c r="IM157" s="20"/>
      <c r="IN157" s="20"/>
      <c r="IO157" s="20"/>
      <c r="IP157" s="20"/>
      <c r="IQ157" s="20"/>
      <c r="IR157" s="20"/>
      <c r="IS157" s="20"/>
      <c r="IT157" s="20"/>
      <c r="IU157" s="20"/>
      <c r="IV157" s="20"/>
      <c r="IW157" s="20"/>
      <c r="IX157" s="20"/>
      <c r="IY157" s="20"/>
      <c r="IZ157" s="20"/>
      <c r="JA157" s="20"/>
      <c r="JB157" s="20"/>
      <c r="JC157" s="20"/>
      <c r="JD157" s="20"/>
      <c r="JE157" s="20"/>
      <c r="JF157" s="20"/>
      <c r="JG157" s="20"/>
      <c r="JH157" s="20"/>
      <c r="JI157" s="20"/>
    </row>
    <row r="158" spans="1:16375">
      <c r="A158" s="61"/>
      <c r="B158" s="20"/>
      <c r="C158" s="20"/>
      <c r="D158" s="27"/>
      <c r="E158" s="27"/>
      <c r="F158" s="27"/>
      <c r="G158" s="18"/>
      <c r="H158" s="27"/>
      <c r="I158" s="27"/>
      <c r="J158" s="18"/>
      <c r="K158" s="27"/>
      <c r="L158" s="27"/>
      <c r="M158" s="18"/>
      <c r="N158" s="27"/>
      <c r="O158" s="27"/>
      <c r="P158" s="18"/>
      <c r="Q158" s="27"/>
      <c r="R158" s="18"/>
      <c r="S158" s="18"/>
      <c r="T158" s="18"/>
      <c r="U158" s="18"/>
      <c r="V158" s="18"/>
      <c r="W158" s="105"/>
      <c r="X158" s="105"/>
      <c r="Y158" s="18"/>
      <c r="Z158" s="105"/>
      <c r="AA158" s="105"/>
      <c r="AB158" s="18"/>
      <c r="AC158" s="105"/>
      <c r="AD158" s="105"/>
      <c r="AE158" s="18"/>
      <c r="AF158" s="105"/>
      <c r="AG158" s="105"/>
      <c r="AH158" s="105"/>
      <c r="AI158" s="105"/>
      <c r="AJ158" s="105"/>
      <c r="AK158" s="105"/>
      <c r="AL158" s="105"/>
      <c r="AM158" s="18"/>
      <c r="AN158" s="105"/>
      <c r="AO158" s="105"/>
      <c r="AP158" s="105"/>
      <c r="AQ158" s="18"/>
      <c r="AR158" s="105"/>
      <c r="AS158" s="105"/>
      <c r="AT158" s="105"/>
      <c r="AU158" s="18"/>
      <c r="AV158" s="105"/>
      <c r="AW158" s="105"/>
      <c r="AX158" s="18"/>
      <c r="AZ158" s="105"/>
      <c r="BA158" s="105"/>
      <c r="BB158" s="105"/>
      <c r="BC158" s="18"/>
      <c r="BD158" s="89"/>
      <c r="BE158" s="89"/>
      <c r="BF158" s="89"/>
      <c r="BG158" s="89"/>
      <c r="BH158" s="89"/>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c r="CL158" s="20"/>
      <c r="CM158" s="20"/>
      <c r="CN158" s="20"/>
      <c r="CO158" s="20"/>
      <c r="CP158" s="20"/>
      <c r="CQ158" s="20"/>
      <c r="CR158" s="20"/>
      <c r="CS158" s="20"/>
      <c r="CT158" s="20"/>
      <c r="CU158" s="20"/>
      <c r="CV158" s="20"/>
      <c r="CW158" s="20"/>
      <c r="CX158" s="20"/>
      <c r="CY158" s="20"/>
      <c r="CZ158" s="20"/>
      <c r="DA158" s="20"/>
      <c r="DB158" s="20"/>
      <c r="DC158" s="20"/>
      <c r="DD158" s="20"/>
      <c r="DE158" s="20"/>
      <c r="DF158" s="20"/>
      <c r="DG158" s="20"/>
      <c r="DH158" s="20"/>
      <c r="DI158" s="20"/>
      <c r="DJ158" s="20"/>
      <c r="DK158" s="20"/>
      <c r="DL158" s="20"/>
      <c r="DM158" s="20"/>
      <c r="DN158" s="20"/>
      <c r="DO158" s="20"/>
      <c r="DP158" s="20"/>
      <c r="DQ158" s="20"/>
      <c r="DR158" s="20"/>
      <c r="DS158" s="20"/>
      <c r="DT158" s="20"/>
      <c r="DU158" s="20"/>
      <c r="DV158" s="20"/>
      <c r="DW158" s="20"/>
      <c r="DX158" s="20"/>
      <c r="DY158" s="20"/>
      <c r="DZ158" s="20"/>
      <c r="EA158" s="20"/>
      <c r="EB158" s="20"/>
      <c r="EC158" s="20"/>
      <c r="ED158" s="20"/>
      <c r="EE158" s="20"/>
      <c r="EF158" s="20"/>
      <c r="EG158" s="20"/>
      <c r="EH158" s="20"/>
      <c r="EI158" s="20"/>
      <c r="EJ158" s="20"/>
      <c r="EK158" s="20"/>
      <c r="EL158" s="20"/>
      <c r="EM158" s="20"/>
      <c r="EN158" s="20"/>
      <c r="EO158" s="20"/>
      <c r="EP158" s="20"/>
      <c r="EQ158" s="20"/>
      <c r="ER158" s="20"/>
      <c r="ES158" s="20"/>
      <c r="ET158" s="20"/>
      <c r="EU158" s="20"/>
      <c r="EV158" s="20"/>
      <c r="EW158" s="20"/>
      <c r="EX158" s="20"/>
      <c r="EY158" s="20"/>
      <c r="EZ158" s="20"/>
      <c r="FA158" s="20"/>
      <c r="FB158" s="20"/>
      <c r="FC158" s="20"/>
      <c r="FD158" s="20"/>
      <c r="FE158" s="20"/>
      <c r="FF158" s="20"/>
      <c r="FG158" s="20"/>
      <c r="FH158" s="20"/>
      <c r="FI158" s="20"/>
      <c r="FJ158" s="20"/>
      <c r="FK158" s="20"/>
      <c r="FL158" s="20"/>
      <c r="FM158" s="20"/>
      <c r="FN158" s="20"/>
      <c r="FO158" s="20"/>
      <c r="FP158" s="20"/>
      <c r="FQ158" s="20"/>
      <c r="FR158" s="20"/>
      <c r="FS158" s="20"/>
      <c r="FT158" s="20"/>
      <c r="FU158" s="20"/>
      <c r="FV158" s="20"/>
      <c r="FW158" s="20"/>
      <c r="FX158" s="20"/>
      <c r="FY158" s="20"/>
      <c r="FZ158" s="20"/>
      <c r="GA158" s="20"/>
      <c r="GB158" s="20"/>
      <c r="GC158" s="20"/>
      <c r="GD158" s="20"/>
      <c r="GE158" s="20"/>
      <c r="GF158" s="20"/>
      <c r="GG158" s="20"/>
      <c r="GH158" s="20"/>
      <c r="GI158" s="20"/>
      <c r="GJ158" s="20"/>
      <c r="GK158" s="20"/>
      <c r="GL158" s="20"/>
      <c r="GM158" s="20"/>
      <c r="GN158" s="20"/>
      <c r="GO158" s="20"/>
      <c r="GP158" s="20"/>
      <c r="GQ158" s="20"/>
      <c r="GR158" s="20"/>
      <c r="GS158" s="20"/>
      <c r="GT158" s="20"/>
      <c r="GU158" s="20"/>
      <c r="GV158" s="20"/>
      <c r="GW158" s="20"/>
      <c r="GX158" s="20"/>
      <c r="GY158" s="20"/>
      <c r="GZ158" s="20"/>
      <c r="HA158" s="20"/>
      <c r="HB158" s="20"/>
      <c r="HC158" s="20"/>
      <c r="HD158" s="20"/>
      <c r="HE158" s="20"/>
      <c r="HF158" s="20"/>
      <c r="HG158" s="20"/>
      <c r="HH158" s="20"/>
      <c r="HI158" s="20"/>
      <c r="HJ158" s="20"/>
      <c r="HK158" s="20"/>
      <c r="HL158" s="20"/>
      <c r="HM158" s="20"/>
      <c r="HN158" s="20"/>
      <c r="HO158" s="20"/>
      <c r="HP158" s="20"/>
      <c r="HQ158" s="20"/>
      <c r="HR158" s="20"/>
      <c r="HS158" s="20"/>
      <c r="HT158" s="20"/>
      <c r="HU158" s="20"/>
      <c r="HV158" s="20"/>
      <c r="HW158" s="20"/>
      <c r="HX158" s="20"/>
      <c r="HY158" s="20"/>
      <c r="HZ158" s="20"/>
      <c r="IA158" s="20"/>
      <c r="IB158" s="20"/>
      <c r="IC158" s="20"/>
      <c r="ID158" s="20"/>
      <c r="IE158" s="20"/>
      <c r="IF158" s="20"/>
      <c r="IG158" s="20"/>
      <c r="IH158" s="20"/>
      <c r="II158" s="20"/>
      <c r="IJ158" s="20"/>
      <c r="IK158" s="20"/>
      <c r="IL158" s="20"/>
      <c r="IM158" s="20"/>
      <c r="IN158" s="20"/>
      <c r="IO158" s="20"/>
      <c r="IP158" s="20"/>
      <c r="IQ158" s="20"/>
      <c r="IR158" s="20"/>
      <c r="IS158" s="20"/>
      <c r="IT158" s="20"/>
      <c r="IU158" s="20"/>
      <c r="IV158" s="20"/>
      <c r="IW158" s="20"/>
      <c r="IX158" s="20"/>
      <c r="IY158" s="20"/>
      <c r="IZ158" s="20"/>
      <c r="JA158" s="20"/>
      <c r="JB158" s="20"/>
      <c r="JC158" s="20"/>
      <c r="JD158" s="20"/>
      <c r="JE158" s="20"/>
      <c r="JF158" s="20"/>
      <c r="JG158" s="20"/>
      <c r="JH158" s="20"/>
      <c r="JI158" s="20"/>
    </row>
    <row r="159" spans="1:16375">
      <c r="A159" s="61" ph="1"/>
      <c r="B159" s="20" ph="1"/>
      <c r="C159" s="20" ph="1"/>
      <c r="D159" s="27" ph="1"/>
      <c r="E159" s="27" ph="1"/>
      <c r="F159" s="27" ph="1"/>
      <c r="G159" s="18" ph="1"/>
      <c r="H159" s="27" ph="1"/>
      <c r="I159" s="27" ph="1"/>
      <c r="J159" s="18" ph="1"/>
      <c r="K159" s="27" ph="1"/>
      <c r="L159" s="27" ph="1"/>
      <c r="M159" s="18" ph="1"/>
      <c r="N159" s="27" ph="1"/>
      <c r="O159" s="27" ph="1"/>
      <c r="P159" s="18" ph="1"/>
      <c r="Q159" s="27" ph="1"/>
      <c r="R159" s="18" ph="1"/>
      <c r="S159" s="18" ph="1"/>
      <c r="T159" s="18" ph="1"/>
      <c r="U159" s="18" ph="1"/>
      <c r="V159" s="18" ph="1"/>
      <c r="W159" s="114"/>
      <c r="X159" s="115"/>
      <c r="Y159" s="115"/>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18" ph="1"/>
      <c r="AZ159" s="105" ph="1"/>
      <c r="BA159" s="105" ph="1"/>
      <c r="BB159" s="105" ph="1"/>
      <c r="BC159" s="18" ph="1"/>
      <c r="BD159" s="89"/>
      <c r="BE159" s="89"/>
      <c r="BF159" s="89"/>
      <c r="BG159" s="89"/>
      <c r="BH159" s="89"/>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c r="DA159" s="20"/>
      <c r="DB159" s="20"/>
      <c r="DC159" s="20"/>
      <c r="DD159" s="20"/>
      <c r="DE159" s="20"/>
      <c r="DF159" s="20"/>
      <c r="DG159" s="20"/>
      <c r="DH159" s="20"/>
      <c r="DI159" s="20"/>
      <c r="DJ159" s="20"/>
      <c r="DK159" s="20"/>
      <c r="DL159" s="20"/>
      <c r="DM159" s="20"/>
      <c r="DN159" s="20"/>
      <c r="DO159" s="20"/>
      <c r="DP159" s="20"/>
      <c r="DQ159" s="20"/>
      <c r="DR159" s="20"/>
      <c r="DS159" s="20"/>
      <c r="DT159" s="20"/>
      <c r="DU159" s="20"/>
      <c r="DV159" s="20"/>
      <c r="DW159" s="20"/>
      <c r="DX159" s="20"/>
      <c r="DY159" s="20"/>
      <c r="DZ159" s="20"/>
      <c r="EA159" s="20"/>
      <c r="EB159" s="20"/>
      <c r="EC159" s="20"/>
      <c r="ED159" s="20"/>
      <c r="EE159" s="20"/>
      <c r="EF159" s="20"/>
      <c r="EG159" s="20"/>
      <c r="EH159" s="20"/>
      <c r="EI159" s="20"/>
      <c r="EJ159" s="20"/>
      <c r="EK159" s="20"/>
      <c r="EL159" s="20"/>
      <c r="EM159" s="20"/>
      <c r="EN159" s="20"/>
      <c r="EO159" s="20"/>
      <c r="EP159" s="20"/>
      <c r="EQ159" s="20"/>
      <c r="ER159" s="20"/>
      <c r="ES159" s="20"/>
      <c r="ET159" s="20"/>
      <c r="EU159" s="20"/>
      <c r="EV159" s="20"/>
      <c r="EW159" s="20"/>
      <c r="EX159" s="20"/>
      <c r="EY159" s="20"/>
      <c r="EZ159" s="20"/>
      <c r="FA159" s="20"/>
      <c r="FB159" s="20"/>
      <c r="FC159" s="20"/>
      <c r="FD159" s="20"/>
      <c r="FE159" s="20"/>
      <c r="FF159" s="20"/>
      <c r="FG159" s="20"/>
      <c r="FH159" s="20"/>
      <c r="FI159" s="20"/>
      <c r="FJ159" s="20"/>
      <c r="FK159" s="20"/>
      <c r="FL159" s="20"/>
      <c r="FM159" s="20"/>
      <c r="FN159" s="20"/>
      <c r="FO159" s="20"/>
      <c r="FP159" s="20"/>
      <c r="FQ159" s="20"/>
      <c r="FR159" s="20"/>
      <c r="FS159" s="20"/>
      <c r="FT159" s="20"/>
      <c r="FU159" s="20"/>
      <c r="FV159" s="20"/>
      <c r="FW159" s="20"/>
      <c r="FX159" s="20"/>
      <c r="FY159" s="20"/>
      <c r="FZ159" s="20"/>
      <c r="GA159" s="20"/>
      <c r="GB159" s="20"/>
      <c r="GC159" s="20"/>
      <c r="GD159" s="20"/>
      <c r="GE159" s="20"/>
      <c r="GF159" s="20"/>
      <c r="GG159" s="20"/>
      <c r="GH159" s="20"/>
      <c r="GI159" s="20"/>
      <c r="GJ159" s="20"/>
      <c r="GK159" s="20"/>
      <c r="GL159" s="20"/>
      <c r="GM159" s="20"/>
      <c r="GN159" s="20"/>
      <c r="GO159" s="20"/>
      <c r="GP159" s="20"/>
      <c r="GQ159" s="20"/>
      <c r="GR159" s="20"/>
      <c r="GS159" s="20"/>
      <c r="GT159" s="20"/>
      <c r="GU159" s="20"/>
      <c r="GV159" s="20"/>
      <c r="GW159" s="20"/>
      <c r="GX159" s="20"/>
      <c r="GY159" s="20"/>
      <c r="GZ159" s="20"/>
      <c r="HA159" s="20"/>
      <c r="HB159" s="20"/>
      <c r="HC159" s="20"/>
      <c r="HD159" s="20"/>
      <c r="HE159" s="20"/>
      <c r="HF159" s="20"/>
      <c r="HG159" s="20"/>
      <c r="HH159" s="20"/>
      <c r="HI159" s="20"/>
      <c r="HJ159" s="20"/>
      <c r="HK159" s="20"/>
      <c r="HL159" s="20"/>
      <c r="HM159" s="20"/>
      <c r="HN159" s="20"/>
      <c r="HO159" s="20"/>
      <c r="HP159" s="20"/>
      <c r="HQ159" s="20"/>
      <c r="HR159" s="20"/>
      <c r="HS159" s="20"/>
      <c r="HT159" s="20"/>
      <c r="HU159" s="20"/>
      <c r="HV159" s="20"/>
      <c r="HW159" s="20"/>
      <c r="HX159" s="20"/>
      <c r="HY159" s="20"/>
      <c r="HZ159" s="20"/>
      <c r="IA159" s="20"/>
      <c r="IB159" s="20"/>
      <c r="IC159" s="20"/>
      <c r="ID159" s="20"/>
      <c r="IE159" s="20"/>
      <c r="IF159" s="20"/>
      <c r="IG159" s="20"/>
      <c r="IH159" s="20"/>
      <c r="II159" s="20"/>
      <c r="IJ159" s="20"/>
      <c r="IK159" s="20"/>
      <c r="IL159" s="20"/>
      <c r="IM159" s="20"/>
      <c r="IN159" s="20"/>
      <c r="IO159" s="20"/>
      <c r="IP159" s="20"/>
      <c r="IQ159" s="20"/>
      <c r="IR159" s="20"/>
      <c r="IS159" s="20"/>
      <c r="IT159" s="20"/>
      <c r="IU159" s="20"/>
      <c r="IV159" s="20"/>
      <c r="IW159" s="20"/>
      <c r="IX159" s="20"/>
      <c r="IY159" s="20"/>
      <c r="IZ159" s="20"/>
      <c r="JA159" s="20"/>
      <c r="JB159" s="20"/>
      <c r="JC159" s="20"/>
      <c r="JD159" s="20"/>
      <c r="JE159" s="20"/>
      <c r="JF159" s="20"/>
      <c r="JG159" s="20"/>
      <c r="JH159" s="20"/>
      <c r="JI159" s="20"/>
    </row>
    <row r="160" spans="1:16375">
      <c r="A160" s="20"/>
      <c r="B160" s="20"/>
      <c r="C160" s="20"/>
      <c r="D160" s="20"/>
      <c r="E160" s="20"/>
      <c r="F160" s="20"/>
      <c r="G160" s="20"/>
      <c r="H160" s="20"/>
      <c r="I160" s="20"/>
      <c r="J160" s="20"/>
      <c r="K160" s="20"/>
      <c r="L160" s="20"/>
      <c r="M160" s="20"/>
      <c r="N160" s="20"/>
      <c r="O160" s="20"/>
      <c r="P160" s="20"/>
      <c r="Q160" s="20"/>
      <c r="R160" s="20"/>
      <c r="S160" s="20"/>
      <c r="T160" s="20"/>
      <c r="U160" s="20"/>
      <c r="V160" s="20"/>
      <c r="W160" s="116"/>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c r="EE160" s="20"/>
      <c r="EF160" s="20"/>
      <c r="EG160" s="20"/>
      <c r="EH160" s="20"/>
      <c r="EI160" s="20"/>
      <c r="EJ160" s="20"/>
      <c r="EK160" s="20"/>
      <c r="EL160" s="20"/>
      <c r="EM160" s="20"/>
      <c r="EN160" s="20"/>
      <c r="EO160" s="20"/>
      <c r="EP160" s="20"/>
      <c r="EQ160" s="20"/>
      <c r="ER160" s="20"/>
      <c r="ES160" s="20"/>
      <c r="ET160" s="20"/>
      <c r="EU160" s="20"/>
      <c r="EV160" s="20"/>
      <c r="EW160" s="20"/>
      <c r="EX160" s="20"/>
      <c r="EY160" s="20"/>
      <c r="EZ160" s="20"/>
      <c r="FA160" s="20"/>
      <c r="FB160" s="20"/>
      <c r="FC160" s="20"/>
      <c r="FD160" s="20"/>
      <c r="FE160" s="20"/>
      <c r="FF160" s="20"/>
      <c r="FG160" s="20"/>
      <c r="FH160" s="20"/>
      <c r="FI160" s="20"/>
      <c r="FJ160" s="20"/>
      <c r="FK160" s="20"/>
      <c r="FL160" s="20"/>
      <c r="FM160" s="20"/>
      <c r="FN160" s="20"/>
      <c r="FO160" s="20"/>
      <c r="FP160" s="20"/>
      <c r="FQ160" s="20"/>
      <c r="FR160" s="20"/>
      <c r="FS160" s="20"/>
      <c r="FT160" s="20"/>
      <c r="FU160" s="20"/>
      <c r="FV160" s="20"/>
      <c r="FW160" s="20"/>
      <c r="FX160" s="20"/>
      <c r="FY160" s="20"/>
      <c r="FZ160" s="20"/>
      <c r="GA160" s="20"/>
      <c r="GB160" s="20"/>
      <c r="GC160" s="20"/>
      <c r="GD160" s="20"/>
      <c r="GE160" s="20"/>
      <c r="GF160" s="20"/>
      <c r="GG160" s="20"/>
      <c r="GH160" s="20"/>
      <c r="GI160" s="20"/>
      <c r="GJ160" s="20"/>
      <c r="GK160" s="20"/>
      <c r="GL160" s="20"/>
      <c r="GM160" s="20"/>
      <c r="GN160" s="20"/>
      <c r="GO160" s="20"/>
      <c r="GP160" s="20"/>
      <c r="GQ160" s="20"/>
      <c r="GR160" s="20"/>
      <c r="GS160" s="20"/>
      <c r="GT160" s="20"/>
      <c r="GU160" s="20"/>
      <c r="GV160" s="20"/>
      <c r="GW160" s="20"/>
      <c r="GX160" s="20"/>
      <c r="GY160" s="20"/>
      <c r="GZ160" s="20"/>
      <c r="HA160" s="20"/>
      <c r="HB160" s="20"/>
      <c r="HC160" s="20"/>
      <c r="HD160" s="20"/>
      <c r="HE160" s="20"/>
      <c r="HF160" s="20"/>
      <c r="HG160" s="20"/>
      <c r="HH160" s="20"/>
      <c r="HI160" s="20"/>
      <c r="HJ160" s="20"/>
      <c r="HK160" s="20"/>
      <c r="HL160" s="20"/>
      <c r="HM160" s="20"/>
      <c r="HN160" s="20"/>
      <c r="HO160" s="20"/>
      <c r="HP160" s="20"/>
      <c r="HQ160" s="20"/>
      <c r="HR160" s="20"/>
      <c r="HS160" s="20"/>
      <c r="HT160" s="20"/>
      <c r="HU160" s="20"/>
      <c r="HV160" s="20"/>
      <c r="HW160" s="20"/>
      <c r="HX160" s="20"/>
      <c r="HY160" s="20"/>
      <c r="HZ160" s="20"/>
      <c r="IA160" s="20"/>
      <c r="IB160" s="20"/>
      <c r="IC160" s="20"/>
      <c r="ID160" s="20"/>
      <c r="IE160" s="20"/>
      <c r="IF160" s="20"/>
      <c r="IG160" s="20"/>
      <c r="IH160" s="20"/>
      <c r="II160" s="20"/>
      <c r="IJ160" s="20"/>
      <c r="IK160" s="20"/>
      <c r="IL160" s="20"/>
      <c r="IM160" s="20"/>
      <c r="IN160" s="20"/>
      <c r="IO160" s="20"/>
      <c r="IP160" s="20"/>
      <c r="IQ160" s="20"/>
      <c r="IR160" s="20"/>
      <c r="IS160" s="20"/>
      <c r="IT160" s="20"/>
      <c r="IU160" s="20"/>
      <c r="IV160" s="20"/>
      <c r="IW160" s="20"/>
      <c r="IX160" s="20"/>
      <c r="IY160" s="20"/>
      <c r="IZ160" s="20"/>
      <c r="JA160" s="20"/>
      <c r="JB160" s="20"/>
      <c r="JC160" s="20"/>
      <c r="JD160" s="20"/>
      <c r="JE160" s="20"/>
      <c r="JF160" s="20"/>
      <c r="JG160" s="20"/>
      <c r="JH160" s="20"/>
      <c r="JI160" s="20"/>
      <c r="JJ160" s="20"/>
      <c r="JK160" s="20"/>
      <c r="JL160" s="20"/>
      <c r="JM160" s="20"/>
      <c r="JN160" s="20"/>
      <c r="JO160" s="20"/>
      <c r="JP160" s="20"/>
      <c r="JQ160" s="20"/>
      <c r="JR160" s="20"/>
      <c r="JS160" s="20"/>
      <c r="JT160" s="20"/>
      <c r="JU160" s="20"/>
      <c r="JV160" s="20"/>
      <c r="JW160" s="20"/>
      <c r="JX160" s="20"/>
      <c r="JY160" s="20"/>
      <c r="JZ160" s="20"/>
      <c r="KA160" s="20"/>
      <c r="KB160" s="20"/>
      <c r="KC160" s="20"/>
      <c r="KD160" s="20"/>
      <c r="KE160" s="20"/>
      <c r="KF160" s="20"/>
      <c r="KG160" s="20"/>
      <c r="KH160" s="20"/>
      <c r="KI160" s="20"/>
      <c r="KJ160" s="20"/>
      <c r="KK160" s="20"/>
      <c r="KL160" s="20"/>
      <c r="KM160" s="20"/>
      <c r="KN160" s="20"/>
      <c r="KO160" s="20"/>
      <c r="KP160" s="20"/>
      <c r="KQ160" s="20"/>
      <c r="KR160" s="20"/>
      <c r="KS160" s="20"/>
      <c r="KT160" s="20"/>
      <c r="KU160" s="20"/>
      <c r="KV160" s="20"/>
      <c r="KW160" s="20"/>
      <c r="KX160" s="20"/>
      <c r="KY160" s="20"/>
      <c r="KZ160" s="20"/>
      <c r="LA160" s="20"/>
      <c r="LB160" s="20"/>
      <c r="LC160" s="20"/>
      <c r="LD160" s="20"/>
      <c r="LE160" s="20"/>
      <c r="LF160" s="20"/>
      <c r="LG160" s="20"/>
      <c r="LH160" s="20"/>
      <c r="LI160" s="20"/>
      <c r="LJ160" s="20"/>
      <c r="LK160" s="20"/>
      <c r="LL160" s="20"/>
      <c r="LM160" s="20"/>
      <c r="LN160" s="20"/>
      <c r="LO160" s="20"/>
      <c r="LP160" s="20"/>
      <c r="LQ160" s="20"/>
      <c r="LR160" s="20"/>
      <c r="LS160" s="20"/>
      <c r="LT160" s="20"/>
      <c r="LU160" s="20"/>
      <c r="LV160" s="20"/>
      <c r="LW160" s="20"/>
      <c r="LX160" s="20"/>
      <c r="LY160" s="20"/>
      <c r="LZ160" s="20"/>
      <c r="MA160" s="20"/>
      <c r="MB160" s="20"/>
      <c r="MC160" s="20"/>
      <c r="MD160" s="20"/>
      <c r="ME160" s="20"/>
      <c r="MF160" s="20"/>
      <c r="MG160" s="20"/>
      <c r="MH160" s="20"/>
      <c r="MI160" s="20"/>
      <c r="MJ160" s="20"/>
      <c r="MK160" s="20"/>
      <c r="ML160" s="20"/>
      <c r="MM160" s="20"/>
      <c r="MN160" s="20"/>
      <c r="MO160" s="20"/>
      <c r="MP160" s="20"/>
      <c r="MQ160" s="20"/>
      <c r="MR160" s="20"/>
      <c r="MS160" s="20"/>
      <c r="MT160" s="20"/>
      <c r="MU160" s="20"/>
      <c r="MV160" s="20"/>
      <c r="MW160" s="20"/>
      <c r="MX160" s="20"/>
      <c r="MY160" s="20"/>
      <c r="MZ160" s="20"/>
      <c r="NA160" s="20"/>
      <c r="NB160" s="20"/>
      <c r="NC160" s="20"/>
      <c r="ND160" s="20"/>
      <c r="NE160" s="20"/>
      <c r="NF160" s="20"/>
      <c r="NG160" s="20"/>
      <c r="NH160" s="20"/>
      <c r="NI160" s="20"/>
      <c r="NJ160" s="20"/>
      <c r="NK160" s="20"/>
      <c r="NL160" s="20"/>
      <c r="NM160" s="20"/>
      <c r="NN160" s="20"/>
      <c r="NO160" s="20"/>
      <c r="NP160" s="20"/>
      <c r="NQ160" s="20"/>
      <c r="NR160" s="20"/>
      <c r="NS160" s="20"/>
      <c r="NT160" s="20"/>
      <c r="NU160" s="20"/>
      <c r="NV160" s="20"/>
      <c r="NW160" s="20"/>
      <c r="NX160" s="20"/>
      <c r="NY160" s="20"/>
      <c r="NZ160" s="20"/>
      <c r="OA160" s="20"/>
      <c r="OB160" s="20"/>
      <c r="OC160" s="20"/>
      <c r="OD160" s="20"/>
      <c r="OE160" s="20"/>
      <c r="OF160" s="20"/>
      <c r="OG160" s="20"/>
      <c r="OH160" s="20"/>
      <c r="OI160" s="20"/>
      <c r="OJ160" s="20"/>
      <c r="OK160" s="20"/>
      <c r="OL160" s="20"/>
      <c r="OM160" s="20"/>
      <c r="ON160" s="20"/>
      <c r="OO160" s="20"/>
      <c r="OP160" s="20"/>
      <c r="OQ160" s="20"/>
      <c r="OR160" s="20"/>
      <c r="OS160" s="20"/>
      <c r="OT160" s="20"/>
      <c r="OU160" s="20"/>
      <c r="OV160" s="20"/>
      <c r="OW160" s="20"/>
      <c r="OX160" s="20"/>
      <c r="OY160" s="20"/>
      <c r="OZ160" s="20"/>
      <c r="PA160" s="20"/>
      <c r="PB160" s="20"/>
      <c r="PC160" s="20"/>
      <c r="PD160" s="20"/>
      <c r="PE160" s="20"/>
      <c r="PF160" s="20"/>
      <c r="PG160" s="20"/>
      <c r="PH160" s="20"/>
      <c r="PI160" s="20"/>
      <c r="PJ160" s="20"/>
      <c r="PK160" s="20"/>
      <c r="PL160" s="20"/>
      <c r="PM160" s="20"/>
      <c r="PN160" s="20"/>
      <c r="PO160" s="20"/>
      <c r="PP160" s="20"/>
      <c r="PQ160" s="20"/>
      <c r="PR160" s="20"/>
      <c r="PS160" s="20"/>
      <c r="PT160" s="20"/>
      <c r="PU160" s="20"/>
      <c r="PV160" s="20"/>
      <c r="PW160" s="20"/>
      <c r="PX160" s="20"/>
      <c r="PY160" s="20"/>
      <c r="PZ160" s="20"/>
      <c r="QA160" s="20"/>
      <c r="QB160" s="20"/>
      <c r="QC160" s="20"/>
      <c r="QD160" s="20"/>
      <c r="QE160" s="20"/>
      <c r="QF160" s="20"/>
      <c r="QG160" s="20"/>
      <c r="QH160" s="20"/>
      <c r="QI160" s="20"/>
      <c r="QJ160" s="20"/>
      <c r="QK160" s="20"/>
      <c r="QL160" s="20"/>
      <c r="QM160" s="20"/>
      <c r="QN160" s="20"/>
      <c r="QO160" s="20"/>
      <c r="QP160" s="20"/>
      <c r="QQ160" s="20"/>
      <c r="QR160" s="20"/>
      <c r="QS160" s="20"/>
      <c r="QT160" s="20"/>
      <c r="QU160" s="20"/>
      <c r="QV160" s="20"/>
      <c r="QW160" s="20"/>
      <c r="QX160" s="20"/>
      <c r="QY160" s="20"/>
      <c r="QZ160" s="20"/>
      <c r="RA160" s="20"/>
      <c r="RB160" s="20"/>
      <c r="RC160" s="20"/>
      <c r="RD160" s="20"/>
      <c r="RE160" s="20"/>
      <c r="RF160" s="20"/>
      <c r="RG160" s="20"/>
      <c r="RH160" s="20"/>
      <c r="RI160" s="20"/>
      <c r="RJ160" s="20"/>
      <c r="RK160" s="20"/>
      <c r="RL160" s="20"/>
      <c r="RM160" s="20"/>
      <c r="RN160" s="20"/>
      <c r="RO160" s="20"/>
      <c r="RP160" s="20"/>
      <c r="RQ160" s="20"/>
      <c r="RR160" s="20"/>
      <c r="RS160" s="20"/>
      <c r="RT160" s="20"/>
      <c r="RU160" s="20"/>
      <c r="RV160" s="20"/>
      <c r="RW160" s="20"/>
      <c r="RX160" s="20"/>
      <c r="RY160" s="20"/>
      <c r="RZ160" s="20"/>
      <c r="SA160" s="20"/>
      <c r="SB160" s="20"/>
      <c r="SC160" s="20"/>
      <c r="SD160" s="20"/>
      <c r="SE160" s="20"/>
      <c r="SF160" s="20"/>
      <c r="SG160" s="20"/>
      <c r="SH160" s="20"/>
      <c r="SI160" s="20"/>
      <c r="SJ160" s="20"/>
      <c r="SK160" s="20"/>
      <c r="SL160" s="20"/>
      <c r="SM160" s="20"/>
      <c r="SN160" s="20"/>
      <c r="SO160" s="20"/>
      <c r="SP160" s="20"/>
      <c r="SQ160" s="20"/>
      <c r="SR160" s="20"/>
      <c r="SS160" s="20"/>
      <c r="ST160" s="20"/>
      <c r="SU160" s="20"/>
      <c r="SV160" s="20"/>
      <c r="SW160" s="20"/>
      <c r="SX160" s="20"/>
      <c r="SY160" s="20"/>
      <c r="SZ160" s="20"/>
      <c r="TA160" s="20"/>
      <c r="TB160" s="20"/>
      <c r="TC160" s="20"/>
      <c r="TD160" s="20"/>
      <c r="TE160" s="20"/>
      <c r="TF160" s="20"/>
      <c r="TG160" s="20"/>
      <c r="TH160" s="20"/>
      <c r="TI160" s="20"/>
      <c r="TJ160" s="20"/>
      <c r="TK160" s="20"/>
      <c r="TL160" s="20"/>
      <c r="TM160" s="20"/>
      <c r="TN160" s="20"/>
      <c r="TO160" s="20"/>
      <c r="TP160" s="20"/>
      <c r="TQ160" s="20"/>
      <c r="TR160" s="20"/>
      <c r="TS160" s="20"/>
      <c r="TT160" s="20"/>
      <c r="TU160" s="20"/>
      <c r="TV160" s="20"/>
      <c r="TW160" s="20"/>
      <c r="TX160" s="20"/>
      <c r="TY160" s="20"/>
      <c r="TZ160" s="20"/>
      <c r="UA160" s="20"/>
      <c r="UB160" s="20"/>
      <c r="UC160" s="20"/>
      <c r="UD160" s="20"/>
      <c r="UE160" s="20"/>
      <c r="UF160" s="20"/>
      <c r="UG160" s="20"/>
      <c r="UH160" s="20"/>
      <c r="UI160" s="20"/>
      <c r="UJ160" s="20"/>
      <c r="UK160" s="20"/>
      <c r="UL160" s="20"/>
      <c r="UM160" s="20"/>
      <c r="UN160" s="20"/>
      <c r="UO160" s="20"/>
      <c r="UP160" s="20"/>
      <c r="UQ160" s="20"/>
      <c r="UR160" s="20"/>
      <c r="US160" s="20"/>
      <c r="UT160" s="20"/>
      <c r="UU160" s="20"/>
      <c r="UV160" s="20"/>
      <c r="UW160" s="20"/>
      <c r="UX160" s="20"/>
      <c r="UY160" s="20"/>
      <c r="UZ160" s="20"/>
      <c r="VA160" s="20"/>
      <c r="VB160" s="20"/>
      <c r="VC160" s="20"/>
      <c r="VD160" s="20"/>
      <c r="VE160" s="20"/>
      <c r="VF160" s="20"/>
      <c r="VG160" s="20"/>
      <c r="VH160" s="20"/>
      <c r="VI160" s="20"/>
      <c r="VJ160" s="20"/>
      <c r="VK160" s="20"/>
      <c r="VL160" s="20"/>
      <c r="VM160" s="20"/>
      <c r="VN160" s="20"/>
      <c r="VO160" s="20"/>
      <c r="VP160" s="20"/>
      <c r="VQ160" s="20"/>
      <c r="VR160" s="20"/>
      <c r="VS160" s="20"/>
      <c r="VT160" s="20"/>
      <c r="VU160" s="20"/>
      <c r="VV160" s="20"/>
      <c r="VW160" s="20"/>
      <c r="VX160" s="20"/>
      <c r="VY160" s="20"/>
      <c r="VZ160" s="20"/>
      <c r="WA160" s="20"/>
      <c r="WB160" s="20"/>
      <c r="WC160" s="20"/>
      <c r="WD160" s="20"/>
      <c r="WE160" s="20"/>
      <c r="WF160" s="20"/>
      <c r="WG160" s="20"/>
      <c r="WH160" s="20"/>
      <c r="WI160" s="20"/>
      <c r="WJ160" s="20"/>
      <c r="WK160" s="20"/>
      <c r="WL160" s="20"/>
      <c r="WM160" s="20"/>
      <c r="WN160" s="20"/>
      <c r="WO160" s="20"/>
      <c r="WP160" s="20"/>
      <c r="WQ160" s="20"/>
      <c r="WR160" s="20"/>
      <c r="WS160" s="20"/>
      <c r="WT160" s="20"/>
      <c r="WU160" s="20"/>
      <c r="WV160" s="20"/>
      <c r="WW160" s="20"/>
      <c r="WX160" s="20"/>
      <c r="WY160" s="20"/>
      <c r="WZ160" s="20"/>
      <c r="XA160" s="20"/>
      <c r="XB160" s="20"/>
      <c r="XC160" s="20"/>
      <c r="XD160" s="20"/>
      <c r="XE160" s="20"/>
      <c r="XF160" s="20"/>
      <c r="XG160" s="20"/>
      <c r="XH160" s="20"/>
      <c r="XI160" s="20"/>
      <c r="XJ160" s="20"/>
      <c r="XK160" s="20"/>
      <c r="XL160" s="20"/>
      <c r="XM160" s="20"/>
      <c r="XN160" s="20"/>
      <c r="XO160" s="20"/>
      <c r="XP160" s="20"/>
      <c r="XQ160" s="20"/>
      <c r="XR160" s="20"/>
      <c r="XS160" s="20"/>
      <c r="XT160" s="20"/>
      <c r="XU160" s="20"/>
      <c r="XV160" s="20"/>
      <c r="XW160" s="20"/>
      <c r="XX160" s="20"/>
      <c r="XY160" s="20"/>
      <c r="XZ160" s="20"/>
      <c r="YA160" s="20"/>
      <c r="YB160" s="20"/>
      <c r="YC160" s="20"/>
      <c r="YD160" s="20"/>
      <c r="YE160" s="20"/>
      <c r="YF160" s="20"/>
      <c r="YG160" s="20"/>
      <c r="YH160" s="20"/>
      <c r="YI160" s="20"/>
      <c r="YJ160" s="20"/>
      <c r="YK160" s="20"/>
      <c r="YL160" s="20"/>
      <c r="YM160" s="20"/>
      <c r="YN160" s="20"/>
      <c r="YO160" s="20"/>
      <c r="YP160" s="20"/>
      <c r="YQ160" s="20"/>
      <c r="YR160" s="20"/>
      <c r="YS160" s="20"/>
      <c r="YT160" s="20"/>
      <c r="YU160" s="20"/>
      <c r="YV160" s="20"/>
      <c r="YW160" s="20"/>
      <c r="YX160" s="20"/>
      <c r="YY160" s="20"/>
      <c r="YZ160" s="20"/>
      <c r="ZA160" s="20"/>
      <c r="ZB160" s="20"/>
      <c r="ZC160" s="20"/>
      <c r="ZD160" s="20"/>
      <c r="ZE160" s="20"/>
      <c r="ZF160" s="20"/>
      <c r="ZG160" s="20"/>
      <c r="ZH160" s="20"/>
      <c r="ZI160" s="20"/>
      <c r="ZJ160" s="20"/>
      <c r="ZK160" s="20"/>
      <c r="ZL160" s="20"/>
      <c r="ZM160" s="20"/>
      <c r="ZN160" s="20"/>
      <c r="ZO160" s="20"/>
      <c r="ZP160" s="20"/>
      <c r="ZQ160" s="20"/>
      <c r="ZR160" s="20"/>
      <c r="ZS160" s="20"/>
      <c r="ZT160" s="20"/>
      <c r="ZU160" s="20"/>
      <c r="ZV160" s="20"/>
      <c r="ZW160" s="20"/>
      <c r="ZX160" s="20"/>
      <c r="ZY160" s="20"/>
      <c r="ZZ160" s="20"/>
      <c r="AAA160" s="20"/>
      <c r="AAB160" s="20"/>
      <c r="AAC160" s="20"/>
      <c r="AAD160" s="20"/>
      <c r="AAE160" s="20"/>
      <c r="AAF160" s="20"/>
      <c r="AAG160" s="20"/>
      <c r="AAH160" s="20"/>
      <c r="AAI160" s="20"/>
      <c r="AAJ160" s="20"/>
      <c r="AAK160" s="20"/>
      <c r="AAL160" s="20"/>
      <c r="AAM160" s="20"/>
      <c r="AAN160" s="20"/>
      <c r="AAO160" s="20"/>
      <c r="AAP160" s="20"/>
      <c r="AAQ160" s="20"/>
      <c r="AAR160" s="20"/>
      <c r="AAS160" s="20"/>
      <c r="AAT160" s="20"/>
      <c r="AAU160" s="20"/>
      <c r="AAV160" s="20"/>
      <c r="AAW160" s="20"/>
      <c r="AAX160" s="20"/>
      <c r="AAY160" s="20"/>
      <c r="AAZ160" s="20"/>
      <c r="ABA160" s="20"/>
      <c r="ABB160" s="20"/>
      <c r="ABC160" s="20"/>
      <c r="ABD160" s="20"/>
      <c r="ABE160" s="20"/>
      <c r="ABF160" s="20"/>
      <c r="ABG160" s="20"/>
      <c r="ABH160" s="20"/>
      <c r="ABI160" s="20"/>
      <c r="ABJ160" s="20"/>
      <c r="ABK160" s="20"/>
      <c r="ABL160" s="20"/>
      <c r="ABM160" s="20"/>
      <c r="ABN160" s="20"/>
      <c r="ABO160" s="20"/>
      <c r="ABP160" s="20"/>
      <c r="ABQ160" s="20"/>
      <c r="ABR160" s="20"/>
      <c r="ABS160" s="20"/>
      <c r="ABT160" s="20"/>
      <c r="ABU160" s="20"/>
      <c r="ABV160" s="20"/>
      <c r="ABW160" s="20"/>
      <c r="ABX160" s="20"/>
      <c r="ABY160" s="20"/>
      <c r="ABZ160" s="20"/>
      <c r="ACA160" s="20"/>
      <c r="ACB160" s="20"/>
      <c r="ACC160" s="20"/>
      <c r="ACD160" s="20"/>
      <c r="ACE160" s="20"/>
      <c r="ACF160" s="20"/>
      <c r="ACG160" s="20"/>
      <c r="ACH160" s="20"/>
      <c r="ACI160" s="20"/>
      <c r="ACJ160" s="20"/>
      <c r="ACK160" s="20"/>
      <c r="ACL160" s="20"/>
      <c r="ACM160" s="20"/>
      <c r="ACN160" s="20"/>
      <c r="ACO160" s="20"/>
      <c r="ACP160" s="20"/>
      <c r="ACQ160" s="20"/>
      <c r="ACR160" s="20"/>
      <c r="ACS160" s="20"/>
      <c r="ACT160" s="20"/>
      <c r="ACU160" s="20"/>
      <c r="ACV160" s="20"/>
      <c r="ACW160" s="20"/>
      <c r="ACX160" s="20"/>
      <c r="ACY160" s="20"/>
      <c r="ACZ160" s="20"/>
      <c r="ADA160" s="20"/>
      <c r="ADB160" s="20"/>
      <c r="ADC160" s="20"/>
      <c r="ADD160" s="20"/>
      <c r="ADE160" s="20"/>
      <c r="ADF160" s="20"/>
      <c r="ADG160" s="20"/>
      <c r="ADH160" s="20"/>
      <c r="ADI160" s="20"/>
      <c r="ADJ160" s="20"/>
      <c r="ADK160" s="20"/>
      <c r="ADL160" s="20"/>
      <c r="ADM160" s="20"/>
      <c r="ADN160" s="20"/>
      <c r="ADO160" s="20"/>
      <c r="ADP160" s="20"/>
      <c r="ADQ160" s="20"/>
      <c r="ADR160" s="20"/>
      <c r="ADS160" s="20"/>
      <c r="ADT160" s="20"/>
      <c r="ADU160" s="20"/>
      <c r="ADV160" s="20"/>
      <c r="ADW160" s="20"/>
      <c r="ADX160" s="20"/>
      <c r="ADY160" s="20"/>
      <c r="ADZ160" s="20"/>
      <c r="AEA160" s="20"/>
      <c r="AEB160" s="20"/>
      <c r="AEC160" s="20"/>
      <c r="AED160" s="20"/>
      <c r="AEE160" s="20"/>
      <c r="AEF160" s="20"/>
      <c r="AEG160" s="20"/>
      <c r="AEH160" s="20"/>
      <c r="AEI160" s="20"/>
      <c r="AEJ160" s="20"/>
      <c r="AEK160" s="20"/>
      <c r="AEL160" s="20"/>
      <c r="AEM160" s="20"/>
      <c r="AEN160" s="20"/>
      <c r="AEO160" s="20"/>
      <c r="AEP160" s="20"/>
      <c r="AEQ160" s="20"/>
      <c r="AER160" s="20"/>
      <c r="AES160" s="20"/>
      <c r="AET160" s="20"/>
      <c r="AEU160" s="20"/>
      <c r="AEV160" s="20"/>
      <c r="AEW160" s="20"/>
      <c r="AEX160" s="20"/>
      <c r="AEY160" s="20"/>
      <c r="AEZ160" s="20"/>
      <c r="AFA160" s="20"/>
      <c r="AFB160" s="20"/>
      <c r="AFC160" s="20"/>
      <c r="AFD160" s="20"/>
      <c r="AFE160" s="20"/>
      <c r="AFF160" s="20"/>
      <c r="AFG160" s="20"/>
      <c r="AFH160" s="20"/>
      <c r="AFI160" s="20"/>
      <c r="AFJ160" s="20"/>
      <c r="AFK160" s="20"/>
      <c r="AFL160" s="20"/>
      <c r="AFM160" s="20"/>
      <c r="AFN160" s="20"/>
      <c r="AFO160" s="20"/>
      <c r="AFP160" s="20"/>
      <c r="AFQ160" s="20"/>
      <c r="AFR160" s="20"/>
      <c r="AFS160" s="20"/>
      <c r="AFT160" s="20"/>
      <c r="AFU160" s="20"/>
      <c r="AFV160" s="20"/>
      <c r="AFW160" s="20"/>
      <c r="AFX160" s="20"/>
      <c r="AFY160" s="20"/>
      <c r="AFZ160" s="20"/>
      <c r="AGA160" s="20"/>
      <c r="AGB160" s="20"/>
      <c r="AGC160" s="20"/>
      <c r="AGD160" s="20"/>
      <c r="AGE160" s="20"/>
      <c r="AGF160" s="20"/>
      <c r="AGG160" s="20"/>
      <c r="AGH160" s="20"/>
      <c r="AGI160" s="20"/>
      <c r="AGJ160" s="20"/>
      <c r="AGK160" s="20"/>
      <c r="AGL160" s="20"/>
      <c r="AGM160" s="20"/>
      <c r="AGN160" s="20"/>
      <c r="AGO160" s="20"/>
      <c r="AGP160" s="20"/>
      <c r="AGQ160" s="20"/>
      <c r="AGR160" s="20"/>
      <c r="AGS160" s="20"/>
      <c r="AGT160" s="20"/>
      <c r="AGU160" s="20"/>
      <c r="AGV160" s="20"/>
      <c r="AGW160" s="20"/>
      <c r="AGX160" s="20"/>
      <c r="AGY160" s="20"/>
      <c r="AGZ160" s="20"/>
      <c r="AHA160" s="20"/>
      <c r="AHB160" s="20"/>
      <c r="AHC160" s="20"/>
      <c r="AHD160" s="20"/>
      <c r="AHE160" s="20"/>
      <c r="AHF160" s="20"/>
      <c r="AHG160" s="20"/>
      <c r="AHH160" s="20"/>
      <c r="AHI160" s="20"/>
      <c r="AHJ160" s="20"/>
      <c r="AHK160" s="20"/>
      <c r="AHL160" s="20"/>
      <c r="AHM160" s="20"/>
      <c r="AHN160" s="20"/>
      <c r="AHO160" s="20"/>
      <c r="AHP160" s="20"/>
      <c r="AHQ160" s="20"/>
      <c r="AHR160" s="20"/>
      <c r="AHS160" s="20"/>
      <c r="AHT160" s="20"/>
      <c r="AHU160" s="20"/>
      <c r="AHV160" s="20"/>
      <c r="AHW160" s="20"/>
      <c r="AHX160" s="20"/>
      <c r="AHY160" s="20"/>
      <c r="AHZ160" s="20"/>
      <c r="AIA160" s="20"/>
      <c r="AIB160" s="20"/>
      <c r="AIC160" s="20"/>
      <c r="AID160" s="20"/>
      <c r="AIE160" s="20"/>
      <c r="AIF160" s="20"/>
      <c r="AIG160" s="20"/>
      <c r="AIH160" s="20"/>
      <c r="AII160" s="20"/>
      <c r="AIJ160" s="20"/>
      <c r="AIK160" s="20"/>
      <c r="AIL160" s="20"/>
      <c r="AIM160" s="20"/>
      <c r="AIN160" s="20"/>
      <c r="AIO160" s="20"/>
      <c r="AIP160" s="20"/>
      <c r="AIQ160" s="20"/>
      <c r="AIR160" s="20"/>
      <c r="AIS160" s="20"/>
      <c r="AIT160" s="20"/>
      <c r="AIU160" s="20"/>
      <c r="AIV160" s="20"/>
      <c r="AIW160" s="20"/>
      <c r="AIX160" s="20"/>
      <c r="AIY160" s="20"/>
      <c r="AIZ160" s="20"/>
      <c r="AJA160" s="20"/>
      <c r="AJB160" s="20"/>
      <c r="AJC160" s="20"/>
      <c r="AJD160" s="20"/>
      <c r="AJE160" s="20"/>
      <c r="AJF160" s="20"/>
      <c r="AJG160" s="20"/>
      <c r="AJH160" s="20"/>
      <c r="AJI160" s="20"/>
      <c r="AJJ160" s="20"/>
      <c r="AJK160" s="20"/>
      <c r="AJL160" s="20"/>
      <c r="AJM160" s="20"/>
      <c r="AJN160" s="20"/>
      <c r="AJO160" s="20"/>
      <c r="AJP160" s="20"/>
      <c r="AJQ160" s="20"/>
      <c r="AJR160" s="20"/>
      <c r="AJS160" s="20"/>
      <c r="AJT160" s="20"/>
      <c r="AJU160" s="20"/>
      <c r="AJV160" s="20"/>
      <c r="AJW160" s="20"/>
      <c r="AJX160" s="20"/>
      <c r="AJY160" s="20"/>
      <c r="AJZ160" s="20"/>
      <c r="AKA160" s="20"/>
      <c r="AKB160" s="20"/>
      <c r="AKC160" s="20"/>
      <c r="AKD160" s="20"/>
      <c r="AKE160" s="20"/>
      <c r="AKF160" s="20"/>
      <c r="AKG160" s="20"/>
      <c r="AKH160" s="20"/>
      <c r="AKI160" s="20"/>
      <c r="AKJ160" s="20"/>
      <c r="AKK160" s="20"/>
      <c r="AKL160" s="20"/>
      <c r="AKM160" s="20"/>
      <c r="AKN160" s="20"/>
      <c r="AKO160" s="20"/>
      <c r="AKP160" s="20"/>
      <c r="AKQ160" s="20"/>
      <c r="AKR160" s="20"/>
      <c r="AKS160" s="20"/>
      <c r="AKT160" s="20"/>
      <c r="AKU160" s="20"/>
      <c r="AKV160" s="20"/>
      <c r="AKW160" s="20"/>
      <c r="AKX160" s="20"/>
      <c r="AKY160" s="20"/>
      <c r="AKZ160" s="20"/>
      <c r="ALA160" s="20"/>
      <c r="ALB160" s="20"/>
      <c r="ALC160" s="20"/>
      <c r="ALD160" s="20"/>
      <c r="ALE160" s="20"/>
      <c r="ALF160" s="20"/>
      <c r="ALG160" s="20"/>
      <c r="ALH160" s="20"/>
      <c r="ALI160" s="20"/>
      <c r="ALJ160" s="20"/>
      <c r="ALK160" s="20"/>
      <c r="ALL160" s="20"/>
      <c r="ALM160" s="20"/>
      <c r="ALN160" s="20"/>
      <c r="ALO160" s="20"/>
      <c r="ALP160" s="20"/>
      <c r="ALQ160" s="20"/>
      <c r="ALR160" s="20"/>
      <c r="ALS160" s="20"/>
      <c r="ALT160" s="20"/>
      <c r="ALU160" s="20"/>
      <c r="ALV160" s="20"/>
      <c r="ALW160" s="20"/>
      <c r="ALX160" s="20"/>
      <c r="ALY160" s="20"/>
      <c r="ALZ160" s="20"/>
      <c r="AMA160" s="20"/>
      <c r="AMB160" s="20"/>
      <c r="AMC160" s="20"/>
      <c r="AMD160" s="20"/>
      <c r="AME160" s="20"/>
      <c r="AMF160" s="20"/>
      <c r="AMG160" s="20"/>
      <c r="AMH160" s="20"/>
      <c r="AMI160" s="20"/>
      <c r="AMJ160" s="20"/>
      <c r="AMK160" s="20"/>
      <c r="AML160" s="20"/>
      <c r="AMM160" s="20"/>
      <c r="AMN160" s="20"/>
      <c r="AMO160" s="20"/>
      <c r="AMP160" s="20"/>
      <c r="AMQ160" s="20"/>
      <c r="AMR160" s="20"/>
      <c r="AMS160" s="20"/>
      <c r="AMT160" s="20"/>
      <c r="AMU160" s="20"/>
      <c r="AMV160" s="20"/>
      <c r="AMW160" s="20"/>
      <c r="AMX160" s="20"/>
      <c r="AMY160" s="20"/>
      <c r="AMZ160" s="20"/>
      <c r="ANA160" s="20"/>
      <c r="ANB160" s="20"/>
      <c r="ANC160" s="20"/>
      <c r="AND160" s="20"/>
      <c r="ANE160" s="20"/>
      <c r="ANF160" s="20"/>
      <c r="ANG160" s="20"/>
      <c r="ANH160" s="20"/>
      <c r="ANI160" s="20"/>
      <c r="ANJ160" s="20"/>
      <c r="ANK160" s="20"/>
      <c r="ANL160" s="20"/>
      <c r="ANM160" s="20"/>
      <c r="ANN160" s="20"/>
      <c r="ANO160" s="20"/>
      <c r="ANP160" s="20"/>
      <c r="ANQ160" s="20"/>
      <c r="ANR160" s="20"/>
      <c r="ANS160" s="20"/>
      <c r="ANT160" s="20"/>
      <c r="ANU160" s="20"/>
      <c r="ANV160" s="20"/>
      <c r="ANW160" s="20"/>
      <c r="ANX160" s="20"/>
      <c r="ANY160" s="20"/>
      <c r="ANZ160" s="20"/>
      <c r="AOA160" s="20"/>
      <c r="AOB160" s="20"/>
      <c r="AOC160" s="20"/>
      <c r="AOD160" s="20"/>
      <c r="AOE160" s="20"/>
      <c r="AOF160" s="20"/>
      <c r="AOG160" s="20"/>
      <c r="AOH160" s="20"/>
      <c r="AOI160" s="20"/>
      <c r="AOJ160" s="20"/>
      <c r="AOK160" s="20"/>
      <c r="AOL160" s="20"/>
      <c r="AOM160" s="20"/>
      <c r="AON160" s="20"/>
      <c r="AOO160" s="20"/>
      <c r="AOP160" s="20"/>
      <c r="AOQ160" s="20"/>
      <c r="AOR160" s="20"/>
      <c r="AOS160" s="20"/>
      <c r="AOT160" s="20"/>
      <c r="AOU160" s="20"/>
      <c r="AOV160" s="20"/>
      <c r="AOW160" s="20"/>
      <c r="AOX160" s="20"/>
      <c r="AOY160" s="20"/>
      <c r="AOZ160" s="20"/>
      <c r="APA160" s="20"/>
      <c r="APB160" s="20"/>
      <c r="APC160" s="20"/>
      <c r="APD160" s="20"/>
      <c r="APE160" s="20"/>
      <c r="APF160" s="20"/>
      <c r="APG160" s="20"/>
      <c r="APH160" s="20"/>
      <c r="API160" s="20"/>
      <c r="APJ160" s="20"/>
      <c r="APK160" s="20"/>
      <c r="APL160" s="20"/>
      <c r="APM160" s="20"/>
      <c r="APN160" s="20"/>
      <c r="APO160" s="20"/>
      <c r="APP160" s="20"/>
      <c r="APQ160" s="20"/>
      <c r="APR160" s="20"/>
      <c r="APS160" s="20"/>
      <c r="APT160" s="20"/>
      <c r="APU160" s="20"/>
      <c r="APV160" s="20"/>
      <c r="APW160" s="20"/>
      <c r="APX160" s="20"/>
      <c r="APY160" s="20"/>
      <c r="APZ160" s="20"/>
      <c r="AQA160" s="20"/>
      <c r="AQB160" s="20"/>
      <c r="AQC160" s="20"/>
      <c r="AQD160" s="20"/>
      <c r="AQE160" s="20"/>
      <c r="AQF160" s="20"/>
      <c r="AQG160" s="20"/>
      <c r="AQH160" s="20"/>
      <c r="AQI160" s="20"/>
      <c r="AQJ160" s="20"/>
      <c r="AQK160" s="20"/>
      <c r="AQL160" s="20"/>
      <c r="AQM160" s="20"/>
      <c r="AQN160" s="20"/>
      <c r="AQO160" s="20"/>
      <c r="AQP160" s="20"/>
      <c r="AQQ160" s="20"/>
      <c r="AQR160" s="20"/>
      <c r="AQS160" s="20"/>
      <c r="AQT160" s="20"/>
      <c r="AQU160" s="20"/>
      <c r="AQV160" s="20"/>
      <c r="AQW160" s="20"/>
      <c r="AQX160" s="20"/>
      <c r="AQY160" s="20"/>
      <c r="AQZ160" s="20"/>
      <c r="ARA160" s="20"/>
      <c r="ARB160" s="20"/>
      <c r="ARC160" s="20"/>
      <c r="ARD160" s="20"/>
      <c r="ARE160" s="20"/>
      <c r="ARF160" s="20"/>
      <c r="ARG160" s="20"/>
      <c r="ARH160" s="20"/>
      <c r="ARI160" s="20"/>
      <c r="ARJ160" s="20"/>
      <c r="ARK160" s="20"/>
      <c r="ARL160" s="20"/>
      <c r="ARM160" s="20"/>
      <c r="ARN160" s="20"/>
      <c r="ARO160" s="20"/>
      <c r="ARP160" s="20"/>
      <c r="ARQ160" s="20"/>
      <c r="ARR160" s="20"/>
      <c r="ARS160" s="20"/>
      <c r="ART160" s="20"/>
      <c r="ARU160" s="20"/>
      <c r="ARV160" s="20"/>
      <c r="ARW160" s="20"/>
      <c r="ARX160" s="20"/>
      <c r="ARY160" s="20"/>
      <c r="ARZ160" s="20"/>
      <c r="ASA160" s="20"/>
      <c r="ASB160" s="20"/>
      <c r="ASC160" s="20"/>
      <c r="ASD160" s="20"/>
      <c r="ASE160" s="20"/>
      <c r="ASF160" s="20"/>
      <c r="ASG160" s="20"/>
      <c r="ASH160" s="20"/>
      <c r="ASI160" s="20"/>
      <c r="ASJ160" s="20"/>
      <c r="ASK160" s="20"/>
      <c r="ASL160" s="20"/>
      <c r="ASM160" s="20"/>
      <c r="ASN160" s="20"/>
      <c r="ASO160" s="20"/>
      <c r="ASP160" s="20"/>
      <c r="ASQ160" s="20"/>
      <c r="ASR160" s="20"/>
      <c r="ASS160" s="20"/>
      <c r="AST160" s="20"/>
      <c r="ASU160" s="20"/>
      <c r="ASV160" s="20"/>
      <c r="ASW160" s="20"/>
      <c r="ASX160" s="20"/>
      <c r="ASY160" s="20"/>
      <c r="ASZ160" s="20"/>
      <c r="ATA160" s="20"/>
      <c r="ATB160" s="20"/>
      <c r="ATC160" s="20"/>
      <c r="ATD160" s="20"/>
      <c r="ATE160" s="20"/>
      <c r="ATF160" s="20"/>
      <c r="ATG160" s="20"/>
      <c r="ATH160" s="20"/>
      <c r="ATI160" s="20"/>
      <c r="ATJ160" s="20"/>
      <c r="ATK160" s="20"/>
      <c r="ATL160" s="20"/>
      <c r="ATM160" s="20"/>
      <c r="ATN160" s="20"/>
      <c r="ATO160" s="20"/>
      <c r="ATP160" s="20"/>
      <c r="ATQ160" s="20"/>
      <c r="ATR160" s="20"/>
      <c r="ATS160" s="20"/>
      <c r="ATT160" s="20"/>
      <c r="ATU160" s="20"/>
      <c r="ATV160" s="20"/>
      <c r="ATW160" s="20"/>
      <c r="ATX160" s="20"/>
      <c r="ATY160" s="20"/>
      <c r="ATZ160" s="20"/>
      <c r="AUA160" s="20"/>
      <c r="AUB160" s="20"/>
      <c r="AUC160" s="20"/>
      <c r="AUD160" s="20"/>
      <c r="AUE160" s="20"/>
      <c r="AUF160" s="20"/>
      <c r="AUG160" s="20"/>
      <c r="AUH160" s="20"/>
      <c r="AUI160" s="20"/>
      <c r="AUJ160" s="20"/>
      <c r="AUK160" s="20"/>
      <c r="AUL160" s="20"/>
      <c r="AUM160" s="20"/>
      <c r="AUN160" s="20"/>
      <c r="AUO160" s="20"/>
      <c r="AUP160" s="20"/>
      <c r="AUQ160" s="20"/>
      <c r="AUR160" s="20"/>
      <c r="AUS160" s="20"/>
      <c r="AUT160" s="20"/>
      <c r="AUU160" s="20"/>
      <c r="AUV160" s="20"/>
      <c r="AUW160" s="20"/>
      <c r="AUX160" s="20"/>
      <c r="AUY160" s="20"/>
      <c r="AUZ160" s="20"/>
      <c r="AVA160" s="20"/>
      <c r="AVB160" s="20"/>
      <c r="AVC160" s="20"/>
      <c r="AVD160" s="20"/>
      <c r="AVE160" s="20"/>
      <c r="AVF160" s="20"/>
      <c r="AVG160" s="20"/>
      <c r="AVH160" s="20"/>
      <c r="AVI160" s="20"/>
      <c r="AVJ160" s="20"/>
      <c r="AVK160" s="20"/>
      <c r="AVL160" s="20"/>
      <c r="AVM160" s="20"/>
      <c r="AVN160" s="20"/>
      <c r="AVO160" s="20"/>
      <c r="AVP160" s="20"/>
      <c r="AVQ160" s="20"/>
      <c r="AVR160" s="20"/>
      <c r="AVS160" s="20"/>
      <c r="AVT160" s="20"/>
      <c r="AVU160" s="20"/>
      <c r="AVV160" s="20"/>
      <c r="AVW160" s="20"/>
      <c r="AVX160" s="20"/>
      <c r="AVY160" s="20"/>
      <c r="AVZ160" s="20"/>
      <c r="AWA160" s="20"/>
      <c r="AWB160" s="20"/>
      <c r="AWC160" s="20"/>
      <c r="AWD160" s="20"/>
      <c r="AWE160" s="20"/>
      <c r="AWF160" s="20"/>
      <c r="AWG160" s="20"/>
      <c r="AWH160" s="20"/>
      <c r="AWI160" s="20"/>
      <c r="AWJ160" s="20"/>
      <c r="AWK160" s="20"/>
      <c r="AWL160" s="20"/>
      <c r="AWM160" s="20"/>
      <c r="AWN160" s="20"/>
      <c r="AWO160" s="20"/>
      <c r="AWP160" s="20"/>
      <c r="AWQ160" s="20"/>
      <c r="AWR160" s="20"/>
      <c r="AWS160" s="20"/>
      <c r="AWT160" s="20"/>
      <c r="AWU160" s="20"/>
      <c r="AWV160" s="20"/>
      <c r="AWW160" s="20"/>
      <c r="AWX160" s="20"/>
      <c r="AWY160" s="20"/>
      <c r="AWZ160" s="20"/>
      <c r="AXA160" s="20"/>
      <c r="AXB160" s="20"/>
      <c r="AXC160" s="20"/>
      <c r="AXD160" s="20"/>
      <c r="AXE160" s="20"/>
      <c r="AXF160" s="20"/>
      <c r="AXG160" s="20"/>
      <c r="AXH160" s="20"/>
      <c r="AXI160" s="20"/>
      <c r="AXJ160" s="20"/>
      <c r="AXK160" s="20"/>
      <c r="AXL160" s="20"/>
      <c r="AXM160" s="20"/>
      <c r="AXN160" s="20"/>
      <c r="AXO160" s="20"/>
      <c r="AXP160" s="20"/>
      <c r="AXQ160" s="20"/>
      <c r="AXR160" s="20"/>
      <c r="AXS160" s="20"/>
      <c r="AXT160" s="20"/>
      <c r="AXU160" s="20"/>
      <c r="AXV160" s="20"/>
      <c r="AXW160" s="20"/>
      <c r="AXX160" s="20"/>
      <c r="AXY160" s="20"/>
      <c r="AXZ160" s="20"/>
      <c r="AYA160" s="20"/>
      <c r="AYB160" s="20"/>
      <c r="AYC160" s="20"/>
      <c r="AYD160" s="20"/>
      <c r="AYE160" s="20"/>
      <c r="AYF160" s="20"/>
      <c r="AYG160" s="20"/>
      <c r="AYH160" s="20"/>
      <c r="AYI160" s="20"/>
      <c r="AYJ160" s="20"/>
      <c r="AYK160" s="20"/>
      <c r="AYL160" s="20"/>
      <c r="AYM160" s="20"/>
      <c r="AYN160" s="20"/>
      <c r="AYO160" s="20"/>
      <c r="AYP160" s="20"/>
      <c r="AYQ160" s="20"/>
      <c r="AYR160" s="20"/>
      <c r="AYS160" s="20"/>
      <c r="AYT160" s="20"/>
      <c r="AYU160" s="20"/>
      <c r="AYV160" s="20"/>
      <c r="AYW160" s="20"/>
      <c r="AYX160" s="20"/>
      <c r="AYY160" s="20"/>
      <c r="AYZ160" s="20"/>
      <c r="AZA160" s="20"/>
      <c r="AZB160" s="20"/>
      <c r="AZC160" s="20"/>
      <c r="AZD160" s="20"/>
      <c r="AZE160" s="20"/>
      <c r="AZF160" s="20"/>
      <c r="AZG160" s="20"/>
      <c r="AZH160" s="20"/>
      <c r="AZI160" s="20"/>
      <c r="AZJ160" s="20"/>
      <c r="AZK160" s="20"/>
      <c r="AZL160" s="20"/>
      <c r="AZM160" s="20"/>
      <c r="AZN160" s="20"/>
      <c r="AZO160" s="20"/>
      <c r="AZP160" s="20"/>
      <c r="AZQ160" s="20"/>
      <c r="AZR160" s="20"/>
      <c r="AZS160" s="20"/>
      <c r="AZT160" s="20"/>
      <c r="AZU160" s="20"/>
      <c r="AZV160" s="20"/>
      <c r="AZW160" s="20"/>
      <c r="AZX160" s="20"/>
      <c r="AZY160" s="20"/>
      <c r="AZZ160" s="20"/>
      <c r="BAA160" s="20"/>
      <c r="BAB160" s="20"/>
      <c r="BAC160" s="20"/>
      <c r="BAD160" s="20"/>
      <c r="BAE160" s="20"/>
      <c r="BAF160" s="20"/>
      <c r="BAG160" s="20"/>
      <c r="BAH160" s="20"/>
      <c r="BAI160" s="20"/>
      <c r="BAJ160" s="20"/>
      <c r="BAK160" s="20"/>
      <c r="BAL160" s="20"/>
      <c r="BAM160" s="20"/>
      <c r="BAN160" s="20"/>
      <c r="BAO160" s="20"/>
      <c r="BAP160" s="20"/>
      <c r="BAQ160" s="20"/>
      <c r="BAR160" s="20"/>
      <c r="BAS160" s="20"/>
      <c r="BAT160" s="20"/>
      <c r="BAU160" s="20"/>
      <c r="BAV160" s="20"/>
      <c r="BAW160" s="20"/>
      <c r="BAX160" s="20"/>
      <c r="BAY160" s="20"/>
      <c r="BAZ160" s="20"/>
      <c r="BBA160" s="20"/>
      <c r="BBB160" s="20"/>
      <c r="BBC160" s="20"/>
      <c r="BBD160" s="20"/>
      <c r="BBE160" s="20"/>
      <c r="BBF160" s="20"/>
      <c r="BBG160" s="20"/>
      <c r="BBH160" s="20"/>
      <c r="BBI160" s="20"/>
      <c r="BBJ160" s="20"/>
      <c r="BBK160" s="20"/>
      <c r="BBL160" s="20"/>
      <c r="BBM160" s="20"/>
      <c r="BBN160" s="20"/>
      <c r="BBO160" s="20"/>
      <c r="BBP160" s="20"/>
      <c r="BBQ160" s="20"/>
      <c r="BBR160" s="20"/>
      <c r="BBS160" s="20"/>
      <c r="BBT160" s="20"/>
      <c r="BBU160" s="20"/>
      <c r="BBV160" s="20"/>
      <c r="BBW160" s="20"/>
      <c r="BBX160" s="20"/>
      <c r="BBY160" s="20"/>
      <c r="BBZ160" s="20"/>
      <c r="BCA160" s="20"/>
      <c r="BCB160" s="20"/>
      <c r="BCC160" s="20"/>
      <c r="BCD160" s="20"/>
      <c r="BCE160" s="20"/>
      <c r="BCF160" s="20"/>
      <c r="BCG160" s="20"/>
      <c r="BCH160" s="20"/>
      <c r="BCI160" s="20"/>
      <c r="BCJ160" s="20"/>
      <c r="BCK160" s="20"/>
      <c r="BCL160" s="20"/>
      <c r="BCM160" s="20"/>
      <c r="BCN160" s="20"/>
      <c r="BCO160" s="20"/>
      <c r="BCP160" s="20"/>
      <c r="BCQ160" s="20"/>
      <c r="BCR160" s="20"/>
      <c r="BCS160" s="20"/>
      <c r="BCT160" s="20"/>
      <c r="BCU160" s="20"/>
      <c r="BCV160" s="20"/>
      <c r="BCW160" s="20"/>
      <c r="BCX160" s="20"/>
      <c r="BCY160" s="20"/>
      <c r="BCZ160" s="20"/>
      <c r="BDA160" s="20"/>
      <c r="BDB160" s="20"/>
      <c r="BDC160" s="20"/>
      <c r="BDD160" s="20"/>
      <c r="BDE160" s="20"/>
      <c r="BDF160" s="20"/>
      <c r="BDG160" s="20"/>
      <c r="BDH160" s="20"/>
      <c r="BDI160" s="20"/>
      <c r="BDJ160" s="20"/>
      <c r="BDK160" s="20"/>
      <c r="BDL160" s="20"/>
      <c r="BDM160" s="20"/>
      <c r="BDN160" s="20"/>
      <c r="BDO160" s="20"/>
      <c r="BDP160" s="20"/>
      <c r="BDQ160" s="20"/>
      <c r="BDR160" s="20"/>
      <c r="BDS160" s="20"/>
      <c r="BDT160" s="20"/>
      <c r="BDU160" s="20"/>
      <c r="BDV160" s="20"/>
      <c r="BDW160" s="20"/>
      <c r="BDX160" s="20"/>
      <c r="BDY160" s="20"/>
      <c r="BDZ160" s="20"/>
      <c r="BEA160" s="20"/>
      <c r="BEB160" s="20"/>
      <c r="BEC160" s="20"/>
      <c r="BED160" s="20"/>
      <c r="BEE160" s="20"/>
      <c r="BEF160" s="20"/>
      <c r="BEG160" s="20"/>
      <c r="BEH160" s="20"/>
      <c r="BEI160" s="20"/>
      <c r="BEJ160" s="20"/>
      <c r="BEK160" s="20"/>
      <c r="BEL160" s="20"/>
      <c r="BEM160" s="20"/>
      <c r="BEN160" s="20"/>
      <c r="BEO160" s="20"/>
      <c r="BEP160" s="20"/>
      <c r="BEQ160" s="20"/>
      <c r="BER160" s="20"/>
      <c r="BES160" s="20"/>
      <c r="BET160" s="20"/>
      <c r="BEU160" s="20"/>
      <c r="BEV160" s="20"/>
      <c r="BEW160" s="20"/>
      <c r="BEX160" s="20"/>
      <c r="BEY160" s="20"/>
      <c r="BEZ160" s="20"/>
      <c r="BFA160" s="20"/>
      <c r="BFB160" s="20"/>
      <c r="BFC160" s="20"/>
      <c r="BFD160" s="20"/>
      <c r="BFE160" s="20"/>
      <c r="BFF160" s="20"/>
      <c r="BFG160" s="20"/>
      <c r="BFH160" s="20"/>
      <c r="BFI160" s="20"/>
      <c r="BFJ160" s="20"/>
      <c r="BFK160" s="20"/>
      <c r="BFL160" s="20"/>
      <c r="BFM160" s="20"/>
      <c r="BFN160" s="20"/>
      <c r="BFO160" s="20"/>
      <c r="BFP160" s="20"/>
      <c r="BFQ160" s="20"/>
      <c r="BFR160" s="20"/>
      <c r="BFS160" s="20"/>
      <c r="BFT160" s="20"/>
      <c r="BFU160" s="20"/>
      <c r="BFV160" s="20"/>
      <c r="BFW160" s="20"/>
      <c r="BFX160" s="20"/>
      <c r="BFY160" s="20"/>
      <c r="BFZ160" s="20"/>
      <c r="BGA160" s="20"/>
      <c r="BGB160" s="20"/>
      <c r="BGC160" s="20"/>
      <c r="BGD160" s="20"/>
      <c r="BGE160" s="20"/>
      <c r="BGF160" s="20"/>
      <c r="BGG160" s="20"/>
      <c r="BGH160" s="20"/>
      <c r="BGI160" s="20"/>
      <c r="BGJ160" s="20"/>
      <c r="BGK160" s="20"/>
      <c r="BGL160" s="20"/>
      <c r="BGM160" s="20"/>
      <c r="BGN160" s="20"/>
      <c r="BGO160" s="20"/>
      <c r="BGP160" s="20"/>
      <c r="BGQ160" s="20"/>
      <c r="BGR160" s="20"/>
      <c r="BGS160" s="20"/>
      <c r="BGT160" s="20"/>
      <c r="BGU160" s="20"/>
      <c r="BGV160" s="20"/>
      <c r="BGW160" s="20"/>
      <c r="BGX160" s="20"/>
      <c r="BGY160" s="20"/>
      <c r="BGZ160" s="20"/>
      <c r="BHA160" s="20"/>
      <c r="BHB160" s="20"/>
      <c r="BHC160" s="20"/>
      <c r="BHD160" s="20"/>
      <c r="BHE160" s="20"/>
      <c r="BHF160" s="20"/>
      <c r="BHG160" s="20"/>
      <c r="BHH160" s="20"/>
      <c r="BHI160" s="20"/>
      <c r="BHJ160" s="20"/>
      <c r="BHK160" s="20"/>
      <c r="BHL160" s="20"/>
      <c r="BHM160" s="20"/>
      <c r="BHN160" s="20"/>
      <c r="BHO160" s="20"/>
      <c r="BHP160" s="20"/>
      <c r="BHQ160" s="20"/>
      <c r="BHR160" s="20"/>
      <c r="BHS160" s="20"/>
      <c r="BHT160" s="20"/>
      <c r="BHU160" s="20"/>
      <c r="BHV160" s="20"/>
      <c r="BHW160" s="20"/>
      <c r="BHX160" s="20"/>
      <c r="BHY160" s="20"/>
      <c r="BHZ160" s="20"/>
      <c r="BIA160" s="20"/>
      <c r="BIB160" s="20"/>
      <c r="BIC160" s="20"/>
      <c r="BID160" s="20"/>
      <c r="BIE160" s="20"/>
      <c r="BIF160" s="20"/>
      <c r="BIG160" s="20"/>
      <c r="BIH160" s="20"/>
      <c r="BII160" s="20"/>
      <c r="BIJ160" s="20"/>
      <c r="BIK160" s="20"/>
      <c r="BIL160" s="20"/>
      <c r="BIM160" s="20"/>
      <c r="BIN160" s="20"/>
      <c r="BIO160" s="20"/>
      <c r="BIP160" s="20"/>
      <c r="BIQ160" s="20"/>
      <c r="BIR160" s="20"/>
      <c r="BIS160" s="20"/>
      <c r="BIT160" s="20"/>
      <c r="BIU160" s="20"/>
      <c r="BIV160" s="20"/>
      <c r="BIW160" s="20"/>
      <c r="BIX160" s="20"/>
      <c r="BIY160" s="20"/>
      <c r="BIZ160" s="20"/>
      <c r="BJA160" s="20"/>
      <c r="BJB160" s="20"/>
      <c r="BJC160" s="20"/>
      <c r="BJD160" s="20"/>
      <c r="BJE160" s="20"/>
      <c r="BJF160" s="20"/>
      <c r="BJG160" s="20"/>
      <c r="BJH160" s="20"/>
      <c r="BJI160" s="20"/>
      <c r="BJJ160" s="20"/>
      <c r="BJK160" s="20"/>
      <c r="BJL160" s="20"/>
      <c r="BJM160" s="20"/>
      <c r="BJN160" s="20"/>
      <c r="BJO160" s="20"/>
      <c r="BJP160" s="20"/>
      <c r="BJQ160" s="20"/>
      <c r="BJR160" s="20"/>
      <c r="BJS160" s="20"/>
      <c r="BJT160" s="20"/>
      <c r="BJU160" s="20"/>
      <c r="BJV160" s="20"/>
      <c r="BJW160" s="20"/>
      <c r="BJX160" s="20"/>
      <c r="BJY160" s="20"/>
      <c r="BJZ160" s="20"/>
      <c r="BKA160" s="20"/>
      <c r="BKB160" s="20"/>
      <c r="BKC160" s="20"/>
      <c r="BKD160" s="20"/>
      <c r="BKE160" s="20"/>
      <c r="BKF160" s="20"/>
      <c r="BKG160" s="20"/>
      <c r="BKH160" s="20"/>
      <c r="BKI160" s="20"/>
      <c r="BKJ160" s="20"/>
      <c r="BKK160" s="20"/>
      <c r="BKL160" s="20"/>
      <c r="BKM160" s="20"/>
      <c r="BKN160" s="20"/>
      <c r="BKO160" s="20"/>
      <c r="BKP160" s="20"/>
      <c r="BKQ160" s="20"/>
      <c r="BKR160" s="20"/>
      <c r="BKS160" s="20"/>
      <c r="BKT160" s="20"/>
      <c r="BKU160" s="20"/>
      <c r="BKV160" s="20"/>
      <c r="BKW160" s="20"/>
      <c r="BKX160" s="20"/>
      <c r="BKY160" s="20"/>
      <c r="BKZ160" s="20"/>
      <c r="BLA160" s="20"/>
      <c r="BLB160" s="20"/>
      <c r="BLC160" s="20"/>
      <c r="BLD160" s="20"/>
      <c r="BLE160" s="20"/>
      <c r="BLF160" s="20"/>
      <c r="BLG160" s="20"/>
      <c r="BLH160" s="20"/>
      <c r="BLI160" s="20"/>
      <c r="BLJ160" s="20"/>
      <c r="BLK160" s="20"/>
      <c r="BLL160" s="20"/>
      <c r="BLM160" s="20"/>
      <c r="BLN160" s="20"/>
      <c r="BLO160" s="20"/>
      <c r="BLP160" s="20"/>
      <c r="BLQ160" s="20"/>
      <c r="BLR160" s="20"/>
      <c r="BLS160" s="20"/>
      <c r="BLT160" s="20"/>
      <c r="BLU160" s="20"/>
      <c r="BLV160" s="20"/>
      <c r="BLW160" s="20"/>
      <c r="BLX160" s="20"/>
      <c r="BLY160" s="20"/>
      <c r="BLZ160" s="20"/>
      <c r="BMA160" s="20"/>
      <c r="BMB160" s="20"/>
      <c r="BMC160" s="20"/>
      <c r="BMD160" s="20"/>
      <c r="BME160" s="20"/>
      <c r="BMF160" s="20"/>
      <c r="BMG160" s="20"/>
      <c r="BMH160" s="20"/>
      <c r="BMI160" s="20"/>
      <c r="BMJ160" s="20"/>
      <c r="BMK160" s="20"/>
      <c r="BML160" s="20"/>
      <c r="BMM160" s="20"/>
      <c r="BMN160" s="20"/>
      <c r="BMO160" s="20"/>
      <c r="BMP160" s="20"/>
      <c r="BMQ160" s="20"/>
      <c r="BMR160" s="20"/>
      <c r="BMS160" s="20"/>
      <c r="BMT160" s="20"/>
      <c r="BMU160" s="20"/>
      <c r="BMV160" s="20"/>
      <c r="BMW160" s="20"/>
      <c r="BMX160" s="20"/>
      <c r="BMY160" s="20"/>
      <c r="BMZ160" s="20"/>
      <c r="BNA160" s="20"/>
      <c r="BNB160" s="20"/>
      <c r="BNC160" s="20"/>
      <c r="BND160" s="20"/>
      <c r="BNE160" s="20"/>
      <c r="BNF160" s="20"/>
      <c r="BNG160" s="20"/>
      <c r="BNH160" s="20"/>
      <c r="BNI160" s="20"/>
      <c r="BNJ160" s="20"/>
      <c r="BNK160" s="20"/>
      <c r="BNL160" s="20"/>
      <c r="BNM160" s="20"/>
      <c r="BNN160" s="20"/>
      <c r="BNO160" s="20"/>
      <c r="BNP160" s="20"/>
      <c r="BNQ160" s="20"/>
      <c r="BNR160" s="20"/>
      <c r="BNS160" s="20"/>
      <c r="BNT160" s="20"/>
      <c r="BNU160" s="20"/>
      <c r="BNV160" s="20"/>
      <c r="BNW160" s="20"/>
      <c r="BNX160" s="20"/>
      <c r="BNY160" s="20"/>
      <c r="BNZ160" s="20"/>
      <c r="BOA160" s="20"/>
      <c r="BOB160" s="20"/>
      <c r="BOC160" s="20"/>
      <c r="BOD160" s="20"/>
      <c r="BOE160" s="20"/>
      <c r="BOF160" s="20"/>
      <c r="BOG160" s="20"/>
      <c r="BOH160" s="20"/>
      <c r="BOI160" s="20"/>
      <c r="BOJ160" s="20"/>
      <c r="BOK160" s="20"/>
      <c r="BOL160" s="20"/>
      <c r="BOM160" s="20"/>
      <c r="BON160" s="20"/>
      <c r="BOO160" s="20"/>
      <c r="BOP160" s="20"/>
      <c r="BOQ160" s="20"/>
      <c r="BOR160" s="20"/>
      <c r="BOS160" s="20"/>
      <c r="BOT160" s="20"/>
      <c r="BOU160" s="20"/>
      <c r="BOV160" s="20"/>
      <c r="BOW160" s="20"/>
      <c r="BOX160" s="20"/>
      <c r="BOY160" s="20"/>
      <c r="BOZ160" s="20"/>
      <c r="BPA160" s="20"/>
      <c r="BPB160" s="20"/>
      <c r="BPC160" s="20"/>
      <c r="BPD160" s="20"/>
      <c r="BPE160" s="20"/>
      <c r="BPF160" s="20"/>
      <c r="BPG160" s="20"/>
      <c r="BPH160" s="20"/>
      <c r="BPI160" s="20"/>
      <c r="BPJ160" s="20"/>
      <c r="BPK160" s="20"/>
      <c r="BPL160" s="20"/>
      <c r="BPM160" s="20"/>
      <c r="BPN160" s="20"/>
      <c r="BPO160" s="20"/>
      <c r="BPP160" s="20"/>
      <c r="BPQ160" s="20"/>
      <c r="BPR160" s="20"/>
      <c r="BPS160" s="20"/>
      <c r="BPT160" s="20"/>
      <c r="BPU160" s="20"/>
      <c r="BPV160" s="20"/>
      <c r="BPW160" s="20"/>
      <c r="BPX160" s="20"/>
      <c r="BPY160" s="20"/>
      <c r="BPZ160" s="20"/>
      <c r="BQA160" s="20"/>
      <c r="BQB160" s="20"/>
      <c r="BQC160" s="20"/>
      <c r="BQD160" s="20"/>
      <c r="BQE160" s="20"/>
      <c r="BQF160" s="20"/>
      <c r="BQG160" s="20"/>
      <c r="BQH160" s="20"/>
      <c r="BQI160" s="20"/>
      <c r="BQJ160" s="20"/>
      <c r="BQK160" s="20"/>
      <c r="BQL160" s="20"/>
      <c r="BQM160" s="20"/>
      <c r="BQN160" s="20"/>
      <c r="BQO160" s="20"/>
      <c r="BQP160" s="20"/>
      <c r="BQQ160" s="20"/>
      <c r="BQR160" s="20"/>
      <c r="BQS160" s="20"/>
      <c r="BQT160" s="20"/>
      <c r="BQU160" s="20"/>
      <c r="BQV160" s="20"/>
      <c r="BQW160" s="20"/>
      <c r="BQX160" s="20"/>
      <c r="BQY160" s="20"/>
      <c r="BQZ160" s="20"/>
      <c r="BRA160" s="20"/>
      <c r="BRB160" s="20"/>
      <c r="BRC160" s="20"/>
      <c r="BRD160" s="20"/>
      <c r="BRE160" s="20"/>
      <c r="BRF160" s="20"/>
      <c r="BRG160" s="20"/>
      <c r="BRH160" s="20"/>
      <c r="BRI160" s="20"/>
      <c r="BRJ160" s="20"/>
      <c r="BRK160" s="20"/>
      <c r="BRL160" s="20"/>
      <c r="BRM160" s="20"/>
      <c r="BRN160" s="20"/>
      <c r="BRO160" s="20"/>
      <c r="BRP160" s="20"/>
      <c r="BRQ160" s="20"/>
      <c r="BRR160" s="20"/>
      <c r="BRS160" s="20"/>
      <c r="BRT160" s="20"/>
      <c r="BRU160" s="20"/>
      <c r="BRV160" s="20"/>
      <c r="BRW160" s="20"/>
      <c r="BRX160" s="20"/>
      <c r="BRY160" s="20"/>
      <c r="BRZ160" s="20"/>
      <c r="BSA160" s="20"/>
      <c r="BSB160" s="20"/>
      <c r="BSC160" s="20"/>
      <c r="BSD160" s="20"/>
      <c r="BSE160" s="20"/>
      <c r="BSF160" s="20"/>
      <c r="BSG160" s="20"/>
      <c r="BSH160" s="20"/>
      <c r="BSI160" s="20"/>
      <c r="BSJ160" s="20"/>
      <c r="BSK160" s="20"/>
      <c r="BSL160" s="20"/>
      <c r="BSM160" s="20"/>
      <c r="BSN160" s="20"/>
      <c r="BSO160" s="20"/>
      <c r="BSP160" s="20"/>
      <c r="BSQ160" s="20"/>
      <c r="BSR160" s="20"/>
      <c r="BSS160" s="20"/>
      <c r="BST160" s="20"/>
      <c r="BSU160" s="20"/>
      <c r="BSV160" s="20"/>
      <c r="BSW160" s="20"/>
      <c r="BSX160" s="20"/>
      <c r="BSY160" s="20"/>
      <c r="BSZ160" s="20"/>
      <c r="BTA160" s="20"/>
      <c r="BTB160" s="20"/>
      <c r="BTC160" s="20"/>
      <c r="BTD160" s="20"/>
      <c r="BTE160" s="20"/>
      <c r="BTF160" s="20"/>
      <c r="BTG160" s="20"/>
      <c r="BTH160" s="20"/>
      <c r="BTI160" s="20"/>
      <c r="BTJ160" s="20"/>
      <c r="BTK160" s="20"/>
      <c r="BTL160" s="20"/>
      <c r="BTM160" s="20"/>
      <c r="BTN160" s="20"/>
      <c r="BTO160" s="20"/>
      <c r="BTP160" s="20"/>
      <c r="BTQ160" s="20"/>
      <c r="BTR160" s="20"/>
      <c r="BTS160" s="20"/>
      <c r="BTT160" s="20"/>
      <c r="BTU160" s="20"/>
      <c r="BTV160" s="20"/>
      <c r="BTW160" s="20"/>
      <c r="BTX160" s="20"/>
      <c r="BTY160" s="20"/>
      <c r="BTZ160" s="20"/>
      <c r="BUA160" s="20"/>
      <c r="BUB160" s="20"/>
      <c r="BUC160" s="20"/>
      <c r="BUD160" s="20"/>
      <c r="BUE160" s="20"/>
      <c r="BUF160" s="20"/>
      <c r="BUG160" s="20"/>
      <c r="BUH160" s="20"/>
      <c r="BUI160" s="20"/>
      <c r="BUJ160" s="20"/>
      <c r="BUK160" s="20"/>
      <c r="BUL160" s="20"/>
      <c r="BUM160" s="20"/>
      <c r="BUN160" s="20"/>
      <c r="BUO160" s="20"/>
      <c r="BUP160" s="20"/>
      <c r="BUQ160" s="20"/>
      <c r="BUR160" s="20"/>
      <c r="BUS160" s="20"/>
      <c r="BUT160" s="20"/>
      <c r="BUU160" s="20"/>
      <c r="BUV160" s="20"/>
      <c r="BUW160" s="20"/>
      <c r="BUX160" s="20"/>
      <c r="BUY160" s="20"/>
      <c r="BUZ160" s="20"/>
      <c r="BVA160" s="20"/>
      <c r="BVB160" s="20"/>
      <c r="BVC160" s="20"/>
      <c r="BVD160" s="20"/>
      <c r="BVE160" s="20"/>
      <c r="BVF160" s="20"/>
      <c r="BVG160" s="20"/>
      <c r="BVH160" s="20"/>
      <c r="BVI160" s="20"/>
      <c r="BVJ160" s="20"/>
      <c r="BVK160" s="20"/>
      <c r="BVL160" s="20"/>
      <c r="BVM160" s="20"/>
      <c r="BVN160" s="20"/>
      <c r="BVO160" s="20"/>
      <c r="BVP160" s="20"/>
      <c r="BVQ160" s="20"/>
      <c r="BVR160" s="20"/>
      <c r="BVS160" s="20"/>
      <c r="BVT160" s="20"/>
      <c r="BVU160" s="20"/>
      <c r="BVV160" s="20"/>
      <c r="BVW160" s="20"/>
      <c r="BVX160" s="20"/>
      <c r="BVY160" s="20"/>
      <c r="BVZ160" s="20"/>
      <c r="BWA160" s="20"/>
      <c r="BWB160" s="20"/>
      <c r="BWC160" s="20"/>
      <c r="BWD160" s="20"/>
      <c r="BWE160" s="20"/>
      <c r="BWF160" s="20"/>
      <c r="BWG160" s="20"/>
      <c r="BWH160" s="20"/>
      <c r="BWI160" s="20"/>
      <c r="BWJ160" s="20"/>
      <c r="BWK160" s="20"/>
      <c r="BWL160" s="20"/>
      <c r="BWM160" s="20"/>
      <c r="BWN160" s="20"/>
      <c r="BWO160" s="20"/>
      <c r="BWP160" s="20"/>
      <c r="BWQ160" s="20"/>
      <c r="BWR160" s="20"/>
      <c r="BWS160" s="20"/>
      <c r="BWT160" s="20"/>
      <c r="BWU160" s="20"/>
      <c r="BWV160" s="20"/>
      <c r="BWW160" s="20"/>
      <c r="BWX160" s="20"/>
      <c r="BWY160" s="20"/>
      <c r="BWZ160" s="20"/>
      <c r="BXA160" s="20"/>
      <c r="BXB160" s="20"/>
      <c r="BXC160" s="20"/>
      <c r="BXD160" s="20"/>
      <c r="BXE160" s="20"/>
      <c r="BXF160" s="20"/>
      <c r="BXG160" s="20"/>
      <c r="BXH160" s="20"/>
      <c r="BXI160" s="20"/>
      <c r="BXJ160" s="20"/>
      <c r="BXK160" s="20"/>
      <c r="BXL160" s="20"/>
      <c r="BXM160" s="20"/>
      <c r="BXN160" s="20"/>
      <c r="BXO160" s="20"/>
      <c r="BXP160" s="20"/>
      <c r="BXQ160" s="20"/>
      <c r="BXR160" s="20"/>
      <c r="BXS160" s="20"/>
      <c r="BXT160" s="20"/>
      <c r="BXU160" s="20"/>
      <c r="BXV160" s="20"/>
      <c r="BXW160" s="20"/>
      <c r="BXX160" s="20"/>
      <c r="BXY160" s="20"/>
      <c r="BXZ160" s="20"/>
      <c r="BYA160" s="20"/>
      <c r="BYB160" s="20"/>
      <c r="BYC160" s="20"/>
      <c r="BYD160" s="20"/>
      <c r="BYE160" s="20"/>
      <c r="BYF160" s="20"/>
      <c r="BYG160" s="20"/>
      <c r="BYH160" s="20"/>
      <c r="BYI160" s="20"/>
      <c r="BYJ160" s="20"/>
      <c r="BYK160" s="20"/>
      <c r="BYL160" s="20"/>
      <c r="BYM160" s="20"/>
      <c r="BYN160" s="20"/>
      <c r="BYO160" s="20"/>
      <c r="BYP160" s="20"/>
      <c r="BYQ160" s="20"/>
      <c r="BYR160" s="20"/>
      <c r="BYS160" s="20"/>
      <c r="BYT160" s="20"/>
      <c r="BYU160" s="20"/>
      <c r="BYV160" s="20"/>
      <c r="BYW160" s="20"/>
      <c r="BYX160" s="20"/>
      <c r="BYY160" s="20"/>
      <c r="BYZ160" s="20"/>
      <c r="BZA160" s="20"/>
      <c r="BZB160" s="20"/>
      <c r="BZC160" s="20"/>
      <c r="BZD160" s="20"/>
      <c r="BZE160" s="20"/>
      <c r="BZF160" s="20"/>
      <c r="BZG160" s="20"/>
      <c r="BZH160" s="20"/>
      <c r="BZI160" s="20"/>
      <c r="BZJ160" s="20"/>
      <c r="BZK160" s="20"/>
      <c r="BZL160" s="20"/>
      <c r="BZM160" s="20"/>
      <c r="BZN160" s="20"/>
      <c r="BZO160" s="20"/>
      <c r="BZP160" s="20"/>
      <c r="BZQ160" s="20"/>
      <c r="BZR160" s="20"/>
      <c r="BZS160" s="20"/>
      <c r="BZT160" s="20"/>
      <c r="BZU160" s="20"/>
      <c r="BZV160" s="20"/>
      <c r="BZW160" s="20"/>
      <c r="BZX160" s="20"/>
      <c r="BZY160" s="20"/>
      <c r="BZZ160" s="20"/>
      <c r="CAA160" s="20"/>
      <c r="CAB160" s="20"/>
      <c r="CAC160" s="20"/>
      <c r="CAD160" s="20"/>
      <c r="CAE160" s="20"/>
      <c r="CAF160" s="20"/>
      <c r="CAG160" s="20"/>
      <c r="CAH160" s="20"/>
      <c r="CAI160" s="20"/>
      <c r="CAJ160" s="20"/>
      <c r="CAK160" s="20"/>
      <c r="CAL160" s="20"/>
      <c r="CAM160" s="20"/>
      <c r="CAN160" s="20"/>
      <c r="CAO160" s="20"/>
      <c r="CAP160" s="20"/>
      <c r="CAQ160" s="20"/>
      <c r="CAR160" s="20"/>
      <c r="CAS160" s="20"/>
      <c r="CAT160" s="20"/>
      <c r="CAU160" s="20"/>
      <c r="CAV160" s="20"/>
      <c r="CAW160" s="20"/>
      <c r="CAX160" s="20"/>
      <c r="CAY160" s="20"/>
      <c r="CAZ160" s="20"/>
      <c r="CBA160" s="20"/>
      <c r="CBB160" s="20"/>
      <c r="CBC160" s="20"/>
      <c r="CBD160" s="20"/>
      <c r="CBE160" s="20"/>
      <c r="CBF160" s="20"/>
      <c r="CBG160" s="20"/>
      <c r="CBH160" s="20"/>
      <c r="CBI160" s="20"/>
      <c r="CBJ160" s="20"/>
      <c r="CBK160" s="20"/>
      <c r="CBL160" s="20"/>
      <c r="CBM160" s="20"/>
      <c r="CBN160" s="20"/>
      <c r="CBO160" s="20"/>
      <c r="CBP160" s="20"/>
      <c r="CBQ160" s="20"/>
      <c r="CBR160" s="20"/>
      <c r="CBS160" s="20"/>
      <c r="CBT160" s="20"/>
      <c r="CBU160" s="20"/>
      <c r="CBV160" s="20"/>
      <c r="CBW160" s="20"/>
      <c r="CBX160" s="20"/>
      <c r="CBY160" s="20"/>
      <c r="CBZ160" s="20"/>
      <c r="CCA160" s="20"/>
      <c r="CCB160" s="20"/>
      <c r="CCC160" s="20"/>
      <c r="CCD160" s="20"/>
      <c r="CCE160" s="20"/>
      <c r="CCF160" s="20"/>
      <c r="CCG160" s="20"/>
      <c r="CCH160" s="20"/>
      <c r="CCI160" s="20"/>
      <c r="CCJ160" s="20"/>
      <c r="CCK160" s="20"/>
      <c r="CCL160" s="20"/>
      <c r="CCM160" s="20"/>
      <c r="CCN160" s="20"/>
      <c r="CCO160" s="20"/>
      <c r="CCP160" s="20"/>
      <c r="CCQ160" s="20"/>
      <c r="CCR160" s="20"/>
      <c r="CCS160" s="20"/>
      <c r="CCT160" s="20"/>
      <c r="CCU160" s="20"/>
      <c r="CCV160" s="20"/>
      <c r="CCW160" s="20"/>
      <c r="CCX160" s="20"/>
      <c r="CCY160" s="20"/>
      <c r="CCZ160" s="20"/>
      <c r="CDA160" s="20"/>
      <c r="CDB160" s="20"/>
      <c r="CDC160" s="20"/>
      <c r="CDD160" s="20"/>
      <c r="CDE160" s="20"/>
      <c r="CDF160" s="20"/>
      <c r="CDG160" s="20"/>
      <c r="CDH160" s="20"/>
      <c r="CDI160" s="20"/>
      <c r="CDJ160" s="20"/>
      <c r="CDK160" s="20"/>
      <c r="CDL160" s="20"/>
      <c r="CDM160" s="20"/>
      <c r="CDN160" s="20"/>
      <c r="CDO160" s="20"/>
      <c r="CDP160" s="20"/>
      <c r="CDQ160" s="20"/>
      <c r="CDR160" s="20"/>
      <c r="CDS160" s="20"/>
      <c r="CDT160" s="20"/>
      <c r="CDU160" s="20"/>
      <c r="CDV160" s="20"/>
      <c r="CDW160" s="20"/>
      <c r="CDX160" s="20"/>
      <c r="CDY160" s="20"/>
      <c r="CDZ160" s="20"/>
      <c r="CEA160" s="20"/>
      <c r="CEB160" s="20"/>
      <c r="CEC160" s="20"/>
      <c r="CED160" s="20"/>
      <c r="CEE160" s="20"/>
      <c r="CEF160" s="20"/>
      <c r="CEG160" s="20"/>
      <c r="CEH160" s="20"/>
      <c r="CEI160" s="20"/>
      <c r="CEJ160" s="20"/>
      <c r="CEK160" s="20"/>
      <c r="CEL160" s="20"/>
      <c r="CEM160" s="20"/>
      <c r="CEN160" s="20"/>
      <c r="CEO160" s="20"/>
      <c r="CEP160" s="20"/>
      <c r="CEQ160" s="20"/>
      <c r="CER160" s="20"/>
      <c r="CES160" s="20"/>
      <c r="CET160" s="20"/>
      <c r="CEU160" s="20"/>
      <c r="CEV160" s="20"/>
      <c r="CEW160" s="20"/>
      <c r="CEX160" s="20"/>
      <c r="CEY160" s="20"/>
      <c r="CEZ160" s="20"/>
      <c r="CFA160" s="20"/>
      <c r="CFB160" s="20"/>
      <c r="CFC160" s="20"/>
      <c r="CFD160" s="20"/>
      <c r="CFE160" s="20"/>
      <c r="CFF160" s="20"/>
      <c r="CFG160" s="20"/>
      <c r="CFH160" s="20"/>
      <c r="CFI160" s="20"/>
      <c r="CFJ160" s="20"/>
      <c r="CFK160" s="20"/>
      <c r="CFL160" s="20"/>
      <c r="CFM160" s="20"/>
      <c r="CFN160" s="20"/>
      <c r="CFO160" s="20"/>
      <c r="CFP160" s="20"/>
      <c r="CFQ160" s="20"/>
      <c r="CFR160" s="20"/>
      <c r="CFS160" s="20"/>
      <c r="CFT160" s="20"/>
      <c r="CFU160" s="20"/>
      <c r="CFV160" s="20"/>
      <c r="CFW160" s="20"/>
      <c r="CFX160" s="20"/>
      <c r="CFY160" s="20"/>
      <c r="CFZ160" s="20"/>
      <c r="CGA160" s="20"/>
      <c r="CGB160" s="20"/>
      <c r="CGC160" s="20"/>
      <c r="CGD160" s="20"/>
      <c r="CGE160" s="20"/>
      <c r="CGF160" s="20"/>
      <c r="CGG160" s="20"/>
      <c r="CGH160" s="20"/>
      <c r="CGI160" s="20"/>
      <c r="CGJ160" s="20"/>
      <c r="CGK160" s="20"/>
      <c r="CGL160" s="20"/>
      <c r="CGM160" s="20"/>
      <c r="CGN160" s="20"/>
      <c r="CGO160" s="20"/>
      <c r="CGP160" s="20"/>
      <c r="CGQ160" s="20"/>
      <c r="CGR160" s="20"/>
      <c r="CGS160" s="20"/>
      <c r="CGT160" s="20"/>
      <c r="CGU160" s="20"/>
      <c r="CGV160" s="20"/>
      <c r="CGW160" s="20"/>
      <c r="CGX160" s="20"/>
      <c r="CGY160" s="20"/>
      <c r="CGZ160" s="20"/>
      <c r="CHA160" s="20"/>
      <c r="CHB160" s="20"/>
      <c r="CHC160" s="20"/>
      <c r="CHD160" s="20"/>
      <c r="CHE160" s="20"/>
      <c r="CHF160" s="20"/>
      <c r="CHG160" s="20"/>
      <c r="CHH160" s="20"/>
      <c r="CHI160" s="20"/>
      <c r="CHJ160" s="20"/>
      <c r="CHK160" s="20"/>
      <c r="CHL160" s="20"/>
      <c r="CHM160" s="20"/>
      <c r="CHN160" s="20"/>
      <c r="CHO160" s="20"/>
      <c r="CHP160" s="20"/>
      <c r="CHQ160" s="20"/>
      <c r="CHR160" s="20"/>
      <c r="CHS160" s="20"/>
      <c r="CHT160" s="20"/>
      <c r="CHU160" s="20"/>
      <c r="CHV160" s="20"/>
      <c r="CHW160" s="20"/>
      <c r="CHX160" s="20"/>
      <c r="CHY160" s="20"/>
      <c r="CHZ160" s="20"/>
      <c r="CIA160" s="20"/>
      <c r="CIB160" s="20"/>
      <c r="CIC160" s="20"/>
      <c r="CID160" s="20"/>
      <c r="CIE160" s="20"/>
      <c r="CIF160" s="20"/>
      <c r="CIG160" s="20"/>
      <c r="CIH160" s="20"/>
      <c r="CII160" s="20"/>
      <c r="CIJ160" s="20"/>
      <c r="CIK160" s="20"/>
      <c r="CIL160" s="20"/>
      <c r="CIM160" s="20"/>
      <c r="CIN160" s="20"/>
      <c r="CIO160" s="20"/>
      <c r="CIP160" s="20"/>
      <c r="CIQ160" s="20"/>
      <c r="CIR160" s="20"/>
      <c r="CIS160" s="20"/>
      <c r="CIT160" s="20"/>
      <c r="CIU160" s="20"/>
      <c r="CIV160" s="20"/>
      <c r="CIW160" s="20"/>
      <c r="CIX160" s="20"/>
      <c r="CIY160" s="20"/>
      <c r="CIZ160" s="20"/>
      <c r="CJA160" s="20"/>
      <c r="CJB160" s="20"/>
      <c r="CJC160" s="20"/>
      <c r="CJD160" s="20"/>
      <c r="CJE160" s="20"/>
      <c r="CJF160" s="20"/>
      <c r="CJG160" s="20"/>
      <c r="CJH160" s="20"/>
      <c r="CJI160" s="20"/>
      <c r="CJJ160" s="20"/>
      <c r="CJK160" s="20"/>
      <c r="CJL160" s="20"/>
      <c r="CJM160" s="20"/>
      <c r="CJN160" s="20"/>
      <c r="CJO160" s="20"/>
      <c r="CJP160" s="20"/>
      <c r="CJQ160" s="20"/>
      <c r="CJR160" s="20"/>
      <c r="CJS160" s="20"/>
      <c r="CJT160" s="20"/>
      <c r="CJU160" s="20"/>
      <c r="CJV160" s="20"/>
      <c r="CJW160" s="20"/>
      <c r="CJX160" s="20"/>
      <c r="CJY160" s="20"/>
      <c r="CJZ160" s="20"/>
      <c r="CKA160" s="20"/>
      <c r="CKB160" s="20"/>
      <c r="CKC160" s="20"/>
      <c r="CKD160" s="20"/>
      <c r="CKE160" s="20"/>
      <c r="CKF160" s="20"/>
      <c r="CKG160" s="20"/>
      <c r="CKH160" s="20"/>
      <c r="CKI160" s="20"/>
      <c r="CKJ160" s="20"/>
      <c r="CKK160" s="20"/>
      <c r="CKL160" s="20"/>
      <c r="CKM160" s="20"/>
      <c r="CKN160" s="20"/>
      <c r="CKO160" s="20"/>
      <c r="CKP160" s="20"/>
      <c r="CKQ160" s="20"/>
      <c r="CKR160" s="20"/>
      <c r="CKS160" s="20"/>
      <c r="CKT160" s="20"/>
      <c r="CKU160" s="20"/>
      <c r="CKV160" s="20"/>
      <c r="CKW160" s="20"/>
      <c r="CKX160" s="20"/>
      <c r="CKY160" s="20"/>
      <c r="CKZ160" s="20"/>
      <c r="CLA160" s="20"/>
      <c r="CLB160" s="20"/>
      <c r="CLC160" s="20"/>
      <c r="CLD160" s="20"/>
      <c r="CLE160" s="20"/>
      <c r="CLF160" s="20"/>
      <c r="CLG160" s="20"/>
      <c r="CLH160" s="20"/>
      <c r="CLI160" s="20"/>
      <c r="CLJ160" s="20"/>
      <c r="CLK160" s="20"/>
      <c r="CLL160" s="20"/>
      <c r="CLM160" s="20"/>
      <c r="CLN160" s="20"/>
      <c r="CLO160" s="20"/>
      <c r="CLP160" s="20"/>
      <c r="CLQ160" s="20"/>
      <c r="CLR160" s="20"/>
      <c r="CLS160" s="20"/>
      <c r="CLT160" s="20"/>
      <c r="CLU160" s="20"/>
      <c r="CLV160" s="20"/>
      <c r="CLW160" s="20"/>
      <c r="CLX160" s="20"/>
      <c r="CLY160" s="20"/>
      <c r="CLZ160" s="20"/>
      <c r="CMA160" s="20"/>
      <c r="CMB160" s="20"/>
      <c r="CMC160" s="20"/>
      <c r="CMD160" s="20"/>
      <c r="CME160" s="20"/>
      <c r="CMF160" s="20"/>
      <c r="CMG160" s="20"/>
      <c r="CMH160" s="20"/>
      <c r="CMI160" s="20"/>
      <c r="CMJ160" s="20"/>
      <c r="CMK160" s="20"/>
      <c r="CML160" s="20"/>
      <c r="CMM160" s="20"/>
      <c r="CMN160" s="20"/>
      <c r="CMO160" s="20"/>
      <c r="CMP160" s="20"/>
      <c r="CMQ160" s="20"/>
      <c r="CMR160" s="20"/>
      <c r="CMS160" s="20"/>
      <c r="CMT160" s="20"/>
      <c r="CMU160" s="20"/>
      <c r="CMV160" s="20"/>
      <c r="CMW160" s="20"/>
      <c r="CMX160" s="20"/>
      <c r="CMY160" s="20"/>
      <c r="CMZ160" s="20"/>
      <c r="CNA160" s="20"/>
      <c r="CNB160" s="20"/>
      <c r="CNC160" s="20"/>
      <c r="CND160" s="20"/>
      <c r="CNE160" s="20"/>
      <c r="CNF160" s="20"/>
      <c r="CNG160" s="20"/>
      <c r="CNH160" s="20"/>
      <c r="CNI160" s="20"/>
      <c r="CNJ160" s="20"/>
      <c r="CNK160" s="20"/>
      <c r="CNL160" s="20"/>
      <c r="CNM160" s="20"/>
      <c r="CNN160" s="20"/>
      <c r="CNO160" s="20"/>
      <c r="CNP160" s="20"/>
      <c r="CNQ160" s="20"/>
      <c r="CNR160" s="20"/>
      <c r="CNS160" s="20"/>
      <c r="CNT160" s="20"/>
      <c r="CNU160" s="20"/>
      <c r="CNV160" s="20"/>
      <c r="CNW160" s="20"/>
      <c r="CNX160" s="20"/>
      <c r="CNY160" s="20"/>
      <c r="CNZ160" s="20"/>
      <c r="COA160" s="20"/>
      <c r="COB160" s="20"/>
      <c r="COC160" s="20"/>
      <c r="COD160" s="20"/>
      <c r="COE160" s="20"/>
      <c r="COF160" s="20"/>
      <c r="COG160" s="20"/>
      <c r="COH160" s="20"/>
      <c r="COI160" s="20"/>
      <c r="COJ160" s="20"/>
      <c r="COK160" s="20"/>
      <c r="COL160" s="20"/>
      <c r="COM160" s="20"/>
      <c r="CON160" s="20"/>
      <c r="COO160" s="20"/>
      <c r="COP160" s="20"/>
      <c r="COQ160" s="20"/>
      <c r="COR160" s="20"/>
      <c r="COS160" s="20"/>
      <c r="COT160" s="20"/>
      <c r="COU160" s="20"/>
      <c r="COV160" s="20"/>
      <c r="COW160" s="20"/>
      <c r="COX160" s="20"/>
      <c r="COY160" s="20"/>
      <c r="COZ160" s="20"/>
      <c r="CPA160" s="20"/>
      <c r="CPB160" s="20"/>
      <c r="CPC160" s="20"/>
      <c r="CPD160" s="20"/>
      <c r="CPE160" s="20"/>
      <c r="CPF160" s="20"/>
      <c r="CPG160" s="20"/>
      <c r="CPH160" s="20"/>
      <c r="CPI160" s="20"/>
      <c r="CPJ160" s="20"/>
      <c r="CPK160" s="20"/>
      <c r="CPL160" s="20"/>
      <c r="CPM160" s="20"/>
      <c r="CPN160" s="20"/>
      <c r="CPO160" s="20"/>
      <c r="CPP160" s="20"/>
      <c r="CPQ160" s="20"/>
      <c r="CPR160" s="20"/>
      <c r="CPS160" s="20"/>
      <c r="CPT160" s="20"/>
      <c r="CPU160" s="20"/>
      <c r="CPV160" s="20"/>
      <c r="CPW160" s="20"/>
      <c r="CPX160" s="20"/>
      <c r="CPY160" s="20"/>
      <c r="CPZ160" s="20"/>
      <c r="CQA160" s="20"/>
      <c r="CQB160" s="20"/>
      <c r="CQC160" s="20"/>
      <c r="CQD160" s="20"/>
      <c r="CQE160" s="20"/>
      <c r="CQF160" s="20"/>
      <c r="CQG160" s="20"/>
      <c r="CQH160" s="20"/>
      <c r="CQI160" s="20"/>
      <c r="CQJ160" s="20"/>
      <c r="CQK160" s="20"/>
      <c r="CQL160" s="20"/>
      <c r="CQM160" s="20"/>
      <c r="CQN160" s="20"/>
      <c r="CQO160" s="20"/>
      <c r="CQP160" s="20"/>
      <c r="CQQ160" s="20"/>
      <c r="CQR160" s="20"/>
      <c r="CQS160" s="20"/>
      <c r="CQT160" s="20"/>
      <c r="CQU160" s="20"/>
      <c r="CQV160" s="20"/>
      <c r="CQW160" s="20"/>
      <c r="CQX160" s="20"/>
      <c r="CQY160" s="20"/>
      <c r="CQZ160" s="20"/>
      <c r="CRA160" s="20"/>
      <c r="CRB160" s="20"/>
      <c r="CRC160" s="20"/>
      <c r="CRD160" s="20"/>
      <c r="CRE160" s="20"/>
      <c r="CRF160" s="20"/>
      <c r="CRG160" s="20"/>
      <c r="CRH160" s="20"/>
      <c r="CRI160" s="20"/>
      <c r="CRJ160" s="20"/>
      <c r="CRK160" s="20"/>
      <c r="CRL160" s="20"/>
      <c r="CRM160" s="20"/>
      <c r="CRN160" s="20"/>
      <c r="CRO160" s="20"/>
      <c r="CRP160" s="20"/>
      <c r="CRQ160" s="20"/>
      <c r="CRR160" s="20"/>
      <c r="CRS160" s="20"/>
      <c r="CRT160" s="20"/>
      <c r="CRU160" s="20"/>
      <c r="CRV160" s="20"/>
      <c r="CRW160" s="20"/>
      <c r="CRX160" s="20"/>
      <c r="CRY160" s="20"/>
      <c r="CRZ160" s="20"/>
      <c r="CSA160" s="20"/>
      <c r="CSB160" s="20"/>
      <c r="CSC160" s="20"/>
      <c r="CSD160" s="20"/>
      <c r="CSE160" s="20"/>
      <c r="CSF160" s="20"/>
      <c r="CSG160" s="20"/>
      <c r="CSH160" s="20"/>
      <c r="CSI160" s="20"/>
      <c r="CSJ160" s="20"/>
      <c r="CSK160" s="20"/>
      <c r="CSL160" s="20"/>
      <c r="CSM160" s="20"/>
      <c r="CSN160" s="20"/>
      <c r="CSO160" s="20"/>
      <c r="CSP160" s="20"/>
      <c r="CSQ160" s="20"/>
      <c r="CSR160" s="20"/>
      <c r="CSS160" s="20"/>
      <c r="CST160" s="20"/>
      <c r="CSU160" s="20"/>
      <c r="CSV160" s="20"/>
      <c r="CSW160" s="20"/>
      <c r="CSX160" s="20"/>
      <c r="CSY160" s="20"/>
      <c r="CSZ160" s="20"/>
      <c r="CTA160" s="20"/>
      <c r="CTB160" s="20"/>
      <c r="CTC160" s="20"/>
      <c r="CTD160" s="20"/>
      <c r="CTE160" s="20"/>
      <c r="CTF160" s="20"/>
      <c r="CTG160" s="20"/>
      <c r="CTH160" s="20"/>
      <c r="CTI160" s="20"/>
      <c r="CTJ160" s="20"/>
      <c r="CTK160" s="20"/>
      <c r="CTL160" s="20"/>
      <c r="CTM160" s="20"/>
      <c r="CTN160" s="20"/>
      <c r="CTO160" s="20"/>
      <c r="CTP160" s="20"/>
      <c r="CTQ160" s="20"/>
      <c r="CTR160" s="20"/>
      <c r="CTS160" s="20"/>
      <c r="CTT160" s="20"/>
      <c r="CTU160" s="20"/>
      <c r="CTV160" s="20"/>
      <c r="CTW160" s="20"/>
      <c r="CTX160" s="20"/>
      <c r="CTY160" s="20"/>
      <c r="CTZ160" s="20"/>
      <c r="CUA160" s="20"/>
      <c r="CUB160" s="20"/>
      <c r="CUC160" s="20"/>
      <c r="CUD160" s="20"/>
      <c r="CUE160" s="20"/>
      <c r="CUF160" s="20"/>
      <c r="CUG160" s="20"/>
      <c r="CUH160" s="20"/>
      <c r="CUI160" s="20"/>
      <c r="CUJ160" s="20"/>
      <c r="CUK160" s="20"/>
      <c r="CUL160" s="20"/>
      <c r="CUM160" s="20"/>
      <c r="CUN160" s="20"/>
      <c r="CUO160" s="20"/>
      <c r="CUP160" s="20"/>
      <c r="CUQ160" s="20"/>
      <c r="CUR160" s="20"/>
      <c r="CUS160" s="20"/>
      <c r="CUT160" s="20"/>
      <c r="CUU160" s="20"/>
      <c r="CUV160" s="20"/>
      <c r="CUW160" s="20"/>
      <c r="CUX160" s="20"/>
      <c r="CUY160" s="20"/>
      <c r="CUZ160" s="20"/>
      <c r="CVA160" s="20"/>
      <c r="CVB160" s="20"/>
      <c r="CVC160" s="20"/>
      <c r="CVD160" s="20"/>
      <c r="CVE160" s="20"/>
      <c r="CVF160" s="20"/>
      <c r="CVG160" s="20"/>
      <c r="CVH160" s="20"/>
      <c r="CVI160" s="20"/>
      <c r="CVJ160" s="20"/>
      <c r="CVK160" s="20"/>
      <c r="CVL160" s="20"/>
      <c r="CVM160" s="20"/>
      <c r="CVN160" s="20"/>
      <c r="CVO160" s="20"/>
      <c r="CVP160" s="20"/>
      <c r="CVQ160" s="20"/>
      <c r="CVR160" s="20"/>
      <c r="CVS160" s="20"/>
      <c r="CVT160" s="20"/>
      <c r="CVU160" s="20"/>
      <c r="CVV160" s="20"/>
      <c r="CVW160" s="20"/>
      <c r="CVX160" s="20"/>
      <c r="CVY160" s="20"/>
      <c r="CVZ160" s="20"/>
      <c r="CWA160" s="20"/>
      <c r="CWB160" s="20"/>
      <c r="CWC160" s="20"/>
      <c r="CWD160" s="20"/>
      <c r="CWE160" s="20"/>
      <c r="CWF160" s="20"/>
      <c r="CWG160" s="20"/>
      <c r="CWH160" s="20"/>
      <c r="CWI160" s="20"/>
      <c r="CWJ160" s="20"/>
      <c r="CWK160" s="20"/>
      <c r="CWL160" s="20"/>
      <c r="CWM160" s="20"/>
      <c r="CWN160" s="20"/>
      <c r="CWO160" s="20"/>
      <c r="CWP160" s="20"/>
      <c r="CWQ160" s="20"/>
      <c r="CWR160" s="20"/>
      <c r="CWS160" s="20"/>
      <c r="CWT160" s="20"/>
      <c r="CWU160" s="20"/>
      <c r="CWV160" s="20"/>
      <c r="CWW160" s="20"/>
      <c r="CWX160" s="20"/>
      <c r="CWY160" s="20"/>
      <c r="CWZ160" s="20"/>
      <c r="CXA160" s="20"/>
      <c r="CXB160" s="20"/>
      <c r="CXC160" s="20"/>
      <c r="CXD160" s="20"/>
      <c r="CXE160" s="20"/>
      <c r="CXF160" s="20"/>
      <c r="CXG160" s="20"/>
      <c r="CXH160" s="20"/>
      <c r="CXI160" s="20"/>
      <c r="CXJ160" s="20"/>
      <c r="CXK160" s="20"/>
      <c r="CXL160" s="20"/>
      <c r="CXM160" s="20"/>
      <c r="CXN160" s="20"/>
      <c r="CXO160" s="20"/>
      <c r="CXP160" s="20"/>
      <c r="CXQ160" s="20"/>
      <c r="CXR160" s="20"/>
      <c r="CXS160" s="20"/>
      <c r="CXT160" s="20"/>
      <c r="CXU160" s="20"/>
      <c r="CXV160" s="20"/>
      <c r="CXW160" s="20"/>
      <c r="CXX160" s="20"/>
      <c r="CXY160" s="20"/>
      <c r="CXZ160" s="20"/>
      <c r="CYA160" s="20"/>
      <c r="CYB160" s="20"/>
      <c r="CYC160" s="20"/>
      <c r="CYD160" s="20"/>
      <c r="CYE160" s="20"/>
      <c r="CYF160" s="20"/>
      <c r="CYG160" s="20"/>
      <c r="CYH160" s="20"/>
      <c r="CYI160" s="20"/>
      <c r="CYJ160" s="20"/>
      <c r="CYK160" s="20"/>
      <c r="CYL160" s="20"/>
      <c r="CYM160" s="20"/>
      <c r="CYN160" s="20"/>
      <c r="CYO160" s="20"/>
      <c r="CYP160" s="20"/>
      <c r="CYQ160" s="20"/>
      <c r="CYR160" s="20"/>
      <c r="CYS160" s="20"/>
      <c r="CYT160" s="20"/>
      <c r="CYU160" s="20"/>
      <c r="CYV160" s="20"/>
      <c r="CYW160" s="20"/>
      <c r="CYX160" s="20"/>
      <c r="CYY160" s="20"/>
      <c r="CYZ160" s="20"/>
      <c r="CZA160" s="20"/>
      <c r="CZB160" s="20"/>
      <c r="CZC160" s="20"/>
      <c r="CZD160" s="20"/>
      <c r="CZE160" s="20"/>
      <c r="CZF160" s="20"/>
      <c r="CZG160" s="20"/>
      <c r="CZH160" s="20"/>
      <c r="CZI160" s="20"/>
      <c r="CZJ160" s="20"/>
      <c r="CZK160" s="20"/>
      <c r="CZL160" s="20"/>
      <c r="CZM160" s="20"/>
      <c r="CZN160" s="20"/>
      <c r="CZO160" s="20"/>
      <c r="CZP160" s="20"/>
      <c r="CZQ160" s="20"/>
      <c r="CZR160" s="20"/>
      <c r="CZS160" s="20"/>
      <c r="CZT160" s="20"/>
      <c r="CZU160" s="20"/>
      <c r="CZV160" s="20"/>
      <c r="CZW160" s="20"/>
      <c r="CZX160" s="20"/>
      <c r="CZY160" s="20"/>
      <c r="CZZ160" s="20"/>
      <c r="DAA160" s="20"/>
      <c r="DAB160" s="20"/>
      <c r="DAC160" s="20"/>
      <c r="DAD160" s="20"/>
      <c r="DAE160" s="20"/>
      <c r="DAF160" s="20"/>
      <c r="DAG160" s="20"/>
      <c r="DAH160" s="20"/>
      <c r="DAI160" s="20"/>
      <c r="DAJ160" s="20"/>
      <c r="DAK160" s="20"/>
      <c r="DAL160" s="20"/>
      <c r="DAM160" s="20"/>
      <c r="DAN160" s="20"/>
      <c r="DAO160" s="20"/>
      <c r="DAP160" s="20"/>
      <c r="DAQ160" s="20"/>
      <c r="DAR160" s="20"/>
      <c r="DAS160" s="20"/>
      <c r="DAT160" s="20"/>
      <c r="DAU160" s="20"/>
      <c r="DAV160" s="20"/>
      <c r="DAW160" s="20"/>
      <c r="DAX160" s="20"/>
      <c r="DAY160" s="20"/>
      <c r="DAZ160" s="20"/>
      <c r="DBA160" s="20"/>
      <c r="DBB160" s="20"/>
      <c r="DBC160" s="20"/>
      <c r="DBD160" s="20"/>
      <c r="DBE160" s="20"/>
      <c r="DBF160" s="20"/>
      <c r="DBG160" s="20"/>
      <c r="DBH160" s="20"/>
      <c r="DBI160" s="20"/>
      <c r="DBJ160" s="20"/>
      <c r="DBK160" s="20"/>
      <c r="DBL160" s="20"/>
      <c r="DBM160" s="20"/>
      <c r="DBN160" s="20"/>
      <c r="DBO160" s="20"/>
      <c r="DBP160" s="20"/>
      <c r="DBQ160" s="20"/>
      <c r="DBR160" s="20"/>
      <c r="DBS160" s="20"/>
      <c r="DBT160" s="20"/>
      <c r="DBU160" s="20"/>
      <c r="DBV160" s="20"/>
      <c r="DBW160" s="20"/>
      <c r="DBX160" s="20"/>
      <c r="DBY160" s="20"/>
      <c r="DBZ160" s="20"/>
      <c r="DCA160" s="20"/>
      <c r="DCB160" s="20"/>
      <c r="DCC160" s="20"/>
      <c r="DCD160" s="20"/>
      <c r="DCE160" s="20"/>
      <c r="DCF160" s="20"/>
      <c r="DCG160" s="20"/>
      <c r="DCH160" s="20"/>
      <c r="DCI160" s="20"/>
      <c r="DCJ160" s="20"/>
      <c r="DCK160" s="20"/>
      <c r="DCL160" s="20"/>
      <c r="DCM160" s="20"/>
      <c r="DCN160" s="20"/>
      <c r="DCO160" s="20"/>
      <c r="DCP160" s="20"/>
      <c r="DCQ160" s="20"/>
      <c r="DCR160" s="20"/>
      <c r="DCS160" s="20"/>
      <c r="DCT160" s="20"/>
      <c r="DCU160" s="20"/>
      <c r="DCV160" s="20"/>
      <c r="DCW160" s="20"/>
      <c r="DCX160" s="20"/>
      <c r="DCY160" s="20"/>
      <c r="DCZ160" s="20"/>
      <c r="DDA160" s="20"/>
      <c r="DDB160" s="20"/>
      <c r="DDC160" s="20"/>
      <c r="DDD160" s="20"/>
      <c r="DDE160" s="20"/>
      <c r="DDF160" s="20"/>
      <c r="DDG160" s="20"/>
      <c r="DDH160" s="20"/>
      <c r="DDI160" s="20"/>
      <c r="DDJ160" s="20"/>
      <c r="DDK160" s="20"/>
      <c r="DDL160" s="20"/>
      <c r="DDM160" s="20"/>
      <c r="DDN160" s="20"/>
      <c r="DDO160" s="20"/>
      <c r="DDP160" s="20"/>
      <c r="DDQ160" s="20"/>
      <c r="DDR160" s="20"/>
      <c r="DDS160" s="20"/>
      <c r="DDT160" s="20"/>
      <c r="DDU160" s="20"/>
      <c r="DDV160" s="20"/>
      <c r="DDW160" s="20"/>
      <c r="DDX160" s="20"/>
      <c r="DDY160" s="20"/>
      <c r="DDZ160" s="20"/>
      <c r="DEA160" s="20"/>
      <c r="DEB160" s="20"/>
      <c r="DEC160" s="20"/>
      <c r="DED160" s="20"/>
      <c r="DEE160" s="20"/>
      <c r="DEF160" s="20"/>
      <c r="DEG160" s="20"/>
      <c r="DEH160" s="20"/>
      <c r="DEI160" s="20"/>
      <c r="DEJ160" s="20"/>
      <c r="DEK160" s="20"/>
      <c r="DEL160" s="20"/>
      <c r="DEM160" s="20"/>
      <c r="DEN160" s="20"/>
      <c r="DEO160" s="20"/>
      <c r="DEP160" s="20"/>
      <c r="DEQ160" s="20"/>
      <c r="DER160" s="20"/>
      <c r="DES160" s="20"/>
      <c r="DET160" s="20"/>
      <c r="DEU160" s="20"/>
      <c r="DEV160" s="20"/>
      <c r="DEW160" s="20"/>
      <c r="DEX160" s="20"/>
      <c r="DEY160" s="20"/>
      <c r="DEZ160" s="20"/>
      <c r="DFA160" s="20"/>
      <c r="DFB160" s="20"/>
      <c r="DFC160" s="20"/>
      <c r="DFD160" s="20"/>
      <c r="DFE160" s="20"/>
      <c r="DFF160" s="20"/>
      <c r="DFG160" s="20"/>
      <c r="DFH160" s="20"/>
      <c r="DFI160" s="20"/>
      <c r="DFJ160" s="20"/>
      <c r="DFK160" s="20"/>
      <c r="DFL160" s="20"/>
      <c r="DFM160" s="20"/>
      <c r="DFN160" s="20"/>
      <c r="DFO160" s="20"/>
      <c r="DFP160" s="20"/>
      <c r="DFQ160" s="20"/>
      <c r="DFR160" s="20"/>
      <c r="DFS160" s="20"/>
      <c r="DFT160" s="20"/>
      <c r="DFU160" s="20"/>
      <c r="DFV160" s="20"/>
      <c r="DFW160" s="20"/>
      <c r="DFX160" s="20"/>
      <c r="DFY160" s="20"/>
      <c r="DFZ160" s="20"/>
      <c r="DGA160" s="20"/>
      <c r="DGB160" s="20"/>
      <c r="DGC160" s="20"/>
      <c r="DGD160" s="20"/>
      <c r="DGE160" s="20"/>
      <c r="DGF160" s="20"/>
      <c r="DGG160" s="20"/>
      <c r="DGH160" s="20"/>
      <c r="DGI160" s="20"/>
      <c r="DGJ160" s="20"/>
      <c r="DGK160" s="20"/>
      <c r="DGL160" s="20"/>
      <c r="DGM160" s="20"/>
      <c r="DGN160" s="20"/>
      <c r="DGO160" s="20"/>
      <c r="DGP160" s="20"/>
      <c r="DGQ160" s="20"/>
      <c r="DGR160" s="20"/>
      <c r="DGS160" s="20"/>
      <c r="DGT160" s="20"/>
      <c r="DGU160" s="20"/>
      <c r="DGV160" s="20"/>
      <c r="DGW160" s="20"/>
      <c r="DGX160" s="20"/>
      <c r="DGY160" s="20"/>
      <c r="DGZ160" s="20"/>
      <c r="DHA160" s="20"/>
      <c r="DHB160" s="20"/>
      <c r="DHC160" s="20"/>
      <c r="DHD160" s="20"/>
      <c r="DHE160" s="20"/>
      <c r="DHF160" s="20"/>
      <c r="DHG160" s="20"/>
      <c r="DHH160" s="20"/>
      <c r="DHI160" s="20"/>
      <c r="DHJ160" s="20"/>
      <c r="DHK160" s="20"/>
      <c r="DHL160" s="20"/>
      <c r="DHM160" s="20"/>
      <c r="DHN160" s="20"/>
      <c r="DHO160" s="20"/>
      <c r="DHP160" s="20"/>
      <c r="DHQ160" s="20"/>
      <c r="DHR160" s="20"/>
      <c r="DHS160" s="20"/>
      <c r="DHT160" s="20"/>
      <c r="DHU160" s="20"/>
      <c r="DHV160" s="20"/>
      <c r="DHW160" s="20"/>
      <c r="DHX160" s="20"/>
      <c r="DHY160" s="20"/>
      <c r="DHZ160" s="20"/>
      <c r="DIA160" s="20"/>
      <c r="DIB160" s="20"/>
      <c r="DIC160" s="20"/>
      <c r="DID160" s="20"/>
      <c r="DIE160" s="20"/>
      <c r="DIF160" s="20"/>
      <c r="DIG160" s="20"/>
      <c r="DIH160" s="20"/>
      <c r="DII160" s="20"/>
      <c r="DIJ160" s="20"/>
      <c r="DIK160" s="20"/>
      <c r="DIL160" s="20"/>
      <c r="DIM160" s="20"/>
      <c r="DIN160" s="20"/>
      <c r="DIO160" s="20"/>
      <c r="DIP160" s="20"/>
      <c r="DIQ160" s="20"/>
      <c r="DIR160" s="20"/>
      <c r="DIS160" s="20"/>
      <c r="DIT160" s="20"/>
      <c r="DIU160" s="20"/>
      <c r="DIV160" s="20"/>
      <c r="DIW160" s="20"/>
      <c r="DIX160" s="20"/>
      <c r="DIY160" s="20"/>
      <c r="DIZ160" s="20"/>
      <c r="DJA160" s="20"/>
      <c r="DJB160" s="20"/>
      <c r="DJC160" s="20"/>
      <c r="DJD160" s="20"/>
      <c r="DJE160" s="20"/>
      <c r="DJF160" s="20"/>
      <c r="DJG160" s="20"/>
      <c r="DJH160" s="20"/>
      <c r="DJI160" s="20"/>
      <c r="DJJ160" s="20"/>
      <c r="DJK160" s="20"/>
      <c r="DJL160" s="20"/>
      <c r="DJM160" s="20"/>
      <c r="DJN160" s="20"/>
      <c r="DJO160" s="20"/>
      <c r="DJP160" s="20"/>
      <c r="DJQ160" s="20"/>
      <c r="DJR160" s="20"/>
      <c r="DJS160" s="20"/>
      <c r="DJT160" s="20"/>
      <c r="DJU160" s="20"/>
      <c r="DJV160" s="20"/>
      <c r="DJW160" s="20"/>
      <c r="DJX160" s="20"/>
      <c r="DJY160" s="20"/>
      <c r="DJZ160" s="20"/>
      <c r="DKA160" s="20"/>
      <c r="DKB160" s="20"/>
      <c r="DKC160" s="20"/>
      <c r="DKD160" s="20"/>
      <c r="DKE160" s="20"/>
      <c r="DKF160" s="20"/>
      <c r="DKG160" s="20"/>
      <c r="DKH160" s="20"/>
      <c r="DKI160" s="20"/>
      <c r="DKJ160" s="20"/>
      <c r="DKK160" s="20"/>
      <c r="DKL160" s="20"/>
      <c r="DKM160" s="20"/>
      <c r="DKN160" s="20"/>
      <c r="DKO160" s="20"/>
      <c r="DKP160" s="20"/>
      <c r="DKQ160" s="20"/>
      <c r="DKR160" s="20"/>
      <c r="DKS160" s="20"/>
      <c r="DKT160" s="20"/>
      <c r="DKU160" s="20"/>
      <c r="DKV160" s="20"/>
      <c r="DKW160" s="20"/>
      <c r="DKX160" s="20"/>
      <c r="DKY160" s="20"/>
      <c r="DKZ160" s="20"/>
      <c r="DLA160" s="20"/>
      <c r="DLB160" s="20"/>
      <c r="DLC160" s="20"/>
      <c r="DLD160" s="20"/>
      <c r="DLE160" s="20"/>
      <c r="DLF160" s="20"/>
      <c r="DLG160" s="20"/>
      <c r="DLH160" s="20"/>
      <c r="DLI160" s="20"/>
      <c r="DLJ160" s="20"/>
      <c r="DLK160" s="20"/>
      <c r="DLL160" s="20"/>
      <c r="DLM160" s="20"/>
      <c r="DLN160" s="20"/>
      <c r="DLO160" s="20"/>
      <c r="DLP160" s="20"/>
      <c r="DLQ160" s="20"/>
      <c r="DLR160" s="20"/>
      <c r="DLS160" s="20"/>
      <c r="DLT160" s="20"/>
      <c r="DLU160" s="20"/>
      <c r="DLV160" s="20"/>
      <c r="DLW160" s="20"/>
      <c r="DLX160" s="20"/>
      <c r="DLY160" s="20"/>
      <c r="DLZ160" s="20"/>
      <c r="DMA160" s="20"/>
      <c r="DMB160" s="20"/>
      <c r="DMC160" s="20"/>
      <c r="DMD160" s="20"/>
      <c r="DME160" s="20"/>
      <c r="DMF160" s="20"/>
      <c r="DMG160" s="20"/>
      <c r="DMH160" s="20"/>
      <c r="DMI160" s="20"/>
      <c r="DMJ160" s="20"/>
      <c r="DMK160" s="20"/>
      <c r="DML160" s="20"/>
      <c r="DMM160" s="20"/>
      <c r="DMN160" s="20"/>
      <c r="DMO160" s="20"/>
      <c r="DMP160" s="20"/>
      <c r="DMQ160" s="20"/>
      <c r="DMR160" s="20"/>
      <c r="DMS160" s="20"/>
      <c r="DMT160" s="20"/>
      <c r="DMU160" s="20"/>
      <c r="DMV160" s="20"/>
      <c r="DMW160" s="20"/>
      <c r="DMX160" s="20"/>
      <c r="DMY160" s="20"/>
      <c r="DMZ160" s="20"/>
      <c r="DNA160" s="20"/>
      <c r="DNB160" s="20"/>
      <c r="DNC160" s="20"/>
      <c r="DND160" s="20"/>
      <c r="DNE160" s="20"/>
      <c r="DNF160" s="20"/>
      <c r="DNG160" s="20"/>
      <c r="DNH160" s="20"/>
      <c r="DNI160" s="20"/>
      <c r="DNJ160" s="20"/>
      <c r="DNK160" s="20"/>
      <c r="DNL160" s="20"/>
      <c r="DNM160" s="20"/>
      <c r="DNN160" s="20"/>
      <c r="DNO160" s="20"/>
      <c r="DNP160" s="20"/>
      <c r="DNQ160" s="20"/>
      <c r="DNR160" s="20"/>
      <c r="DNS160" s="20"/>
      <c r="DNT160" s="20"/>
      <c r="DNU160" s="20"/>
      <c r="DNV160" s="20"/>
      <c r="DNW160" s="20"/>
      <c r="DNX160" s="20"/>
      <c r="DNY160" s="20"/>
      <c r="DNZ160" s="20"/>
      <c r="DOA160" s="20"/>
      <c r="DOB160" s="20"/>
      <c r="DOC160" s="20"/>
      <c r="DOD160" s="20"/>
      <c r="DOE160" s="20"/>
      <c r="DOF160" s="20"/>
      <c r="DOG160" s="20"/>
      <c r="DOH160" s="20"/>
      <c r="DOI160" s="20"/>
      <c r="DOJ160" s="20"/>
      <c r="DOK160" s="20"/>
      <c r="DOL160" s="20"/>
      <c r="DOM160" s="20"/>
      <c r="DON160" s="20"/>
      <c r="DOO160" s="20"/>
      <c r="DOP160" s="20"/>
      <c r="DOQ160" s="20"/>
      <c r="DOR160" s="20"/>
      <c r="DOS160" s="20"/>
      <c r="DOT160" s="20"/>
      <c r="DOU160" s="20"/>
      <c r="DOV160" s="20"/>
      <c r="DOW160" s="20"/>
      <c r="DOX160" s="20"/>
      <c r="DOY160" s="20"/>
      <c r="DOZ160" s="20"/>
      <c r="DPA160" s="20"/>
      <c r="DPB160" s="20"/>
      <c r="DPC160" s="20"/>
      <c r="DPD160" s="20"/>
      <c r="DPE160" s="20"/>
      <c r="DPF160" s="20"/>
      <c r="DPG160" s="20"/>
      <c r="DPH160" s="20"/>
      <c r="DPI160" s="20"/>
      <c r="DPJ160" s="20"/>
      <c r="DPK160" s="20"/>
      <c r="DPL160" s="20"/>
      <c r="DPM160" s="20"/>
      <c r="DPN160" s="20"/>
      <c r="DPO160" s="20"/>
      <c r="DPP160" s="20"/>
      <c r="DPQ160" s="20"/>
      <c r="DPR160" s="20"/>
      <c r="DPS160" s="20"/>
      <c r="DPT160" s="20"/>
      <c r="DPU160" s="20"/>
      <c r="DPV160" s="20"/>
      <c r="DPW160" s="20"/>
      <c r="DPX160" s="20"/>
      <c r="DPY160" s="20"/>
      <c r="DPZ160" s="20"/>
      <c r="DQA160" s="20"/>
      <c r="DQB160" s="20"/>
      <c r="DQC160" s="20"/>
      <c r="DQD160" s="20"/>
      <c r="DQE160" s="20"/>
      <c r="DQF160" s="20"/>
      <c r="DQG160" s="20"/>
      <c r="DQH160" s="20"/>
      <c r="DQI160" s="20"/>
      <c r="DQJ160" s="20"/>
      <c r="DQK160" s="20"/>
      <c r="DQL160" s="20"/>
      <c r="DQM160" s="20"/>
      <c r="DQN160" s="20"/>
      <c r="DQO160" s="20"/>
      <c r="DQP160" s="20"/>
      <c r="DQQ160" s="20"/>
      <c r="DQR160" s="20"/>
      <c r="DQS160" s="20"/>
      <c r="DQT160" s="20"/>
      <c r="DQU160" s="20"/>
      <c r="DQV160" s="20"/>
      <c r="DQW160" s="20"/>
      <c r="DQX160" s="20"/>
      <c r="DQY160" s="20"/>
      <c r="DQZ160" s="20"/>
      <c r="DRA160" s="20"/>
      <c r="DRB160" s="20"/>
      <c r="DRC160" s="20"/>
      <c r="DRD160" s="20"/>
      <c r="DRE160" s="20"/>
      <c r="DRF160" s="20"/>
      <c r="DRG160" s="20"/>
      <c r="DRH160" s="20"/>
      <c r="DRI160" s="20"/>
      <c r="DRJ160" s="20"/>
      <c r="DRK160" s="20"/>
      <c r="DRL160" s="20"/>
      <c r="DRM160" s="20"/>
      <c r="DRN160" s="20"/>
      <c r="DRO160" s="20"/>
      <c r="DRP160" s="20"/>
      <c r="DRQ160" s="20"/>
      <c r="DRR160" s="20"/>
      <c r="DRS160" s="20"/>
      <c r="DRT160" s="20"/>
      <c r="DRU160" s="20"/>
      <c r="DRV160" s="20"/>
      <c r="DRW160" s="20"/>
      <c r="DRX160" s="20"/>
      <c r="DRY160" s="20"/>
      <c r="DRZ160" s="20"/>
      <c r="DSA160" s="20"/>
      <c r="DSB160" s="20"/>
      <c r="DSC160" s="20"/>
      <c r="DSD160" s="20"/>
      <c r="DSE160" s="20"/>
      <c r="DSF160" s="20"/>
      <c r="DSG160" s="20"/>
      <c r="DSH160" s="20"/>
      <c r="DSI160" s="20"/>
      <c r="DSJ160" s="20"/>
      <c r="DSK160" s="20"/>
      <c r="DSL160" s="20"/>
      <c r="DSM160" s="20"/>
      <c r="DSN160" s="20"/>
      <c r="DSO160" s="20"/>
      <c r="DSP160" s="20"/>
      <c r="DSQ160" s="20"/>
      <c r="DSR160" s="20"/>
      <c r="DSS160" s="20"/>
      <c r="DST160" s="20"/>
      <c r="DSU160" s="20"/>
      <c r="DSV160" s="20"/>
      <c r="DSW160" s="20"/>
      <c r="DSX160" s="20"/>
      <c r="DSY160" s="20"/>
      <c r="DSZ160" s="20"/>
      <c r="DTA160" s="20"/>
      <c r="DTB160" s="20"/>
      <c r="DTC160" s="20"/>
      <c r="DTD160" s="20"/>
      <c r="DTE160" s="20"/>
      <c r="DTF160" s="20"/>
      <c r="DTG160" s="20"/>
      <c r="DTH160" s="20"/>
      <c r="DTI160" s="20"/>
      <c r="DTJ160" s="20"/>
      <c r="DTK160" s="20"/>
      <c r="DTL160" s="20"/>
      <c r="DTM160" s="20"/>
      <c r="DTN160" s="20"/>
      <c r="DTO160" s="20"/>
      <c r="DTP160" s="20"/>
      <c r="DTQ160" s="20"/>
      <c r="DTR160" s="20"/>
      <c r="DTS160" s="20"/>
      <c r="DTT160" s="20"/>
      <c r="DTU160" s="20"/>
      <c r="DTV160" s="20"/>
      <c r="DTW160" s="20"/>
      <c r="DTX160" s="20"/>
      <c r="DTY160" s="20"/>
      <c r="DTZ160" s="20"/>
      <c r="DUA160" s="20"/>
      <c r="DUB160" s="20"/>
      <c r="DUC160" s="20"/>
      <c r="DUD160" s="20"/>
      <c r="DUE160" s="20"/>
      <c r="DUF160" s="20"/>
      <c r="DUG160" s="20"/>
      <c r="DUH160" s="20"/>
      <c r="DUI160" s="20"/>
      <c r="DUJ160" s="20"/>
      <c r="DUK160" s="20"/>
      <c r="DUL160" s="20"/>
      <c r="DUM160" s="20"/>
      <c r="DUN160" s="20"/>
      <c r="DUO160" s="20"/>
      <c r="DUP160" s="20"/>
      <c r="DUQ160" s="20"/>
      <c r="DUR160" s="20"/>
      <c r="DUS160" s="20"/>
      <c r="DUT160" s="20"/>
      <c r="DUU160" s="20"/>
      <c r="DUV160" s="20"/>
      <c r="DUW160" s="20"/>
      <c r="DUX160" s="20"/>
      <c r="DUY160" s="20"/>
      <c r="DUZ160" s="20"/>
      <c r="DVA160" s="20"/>
      <c r="DVB160" s="20"/>
      <c r="DVC160" s="20"/>
      <c r="DVD160" s="20"/>
      <c r="DVE160" s="20"/>
      <c r="DVF160" s="20"/>
      <c r="DVG160" s="20"/>
      <c r="DVH160" s="20"/>
      <c r="DVI160" s="20"/>
      <c r="DVJ160" s="20"/>
      <c r="DVK160" s="20"/>
      <c r="DVL160" s="20"/>
      <c r="DVM160" s="20"/>
      <c r="DVN160" s="20"/>
      <c r="DVO160" s="20"/>
      <c r="DVP160" s="20"/>
      <c r="DVQ160" s="20"/>
      <c r="DVR160" s="20"/>
      <c r="DVS160" s="20"/>
      <c r="DVT160" s="20"/>
      <c r="DVU160" s="20"/>
      <c r="DVV160" s="20"/>
      <c r="DVW160" s="20"/>
      <c r="DVX160" s="20"/>
      <c r="DVY160" s="20"/>
      <c r="DVZ160" s="20"/>
      <c r="DWA160" s="20"/>
      <c r="DWB160" s="20"/>
      <c r="DWC160" s="20"/>
      <c r="DWD160" s="20"/>
      <c r="DWE160" s="20"/>
      <c r="DWF160" s="20"/>
      <c r="DWG160" s="20"/>
      <c r="DWH160" s="20"/>
      <c r="DWI160" s="20"/>
      <c r="DWJ160" s="20"/>
      <c r="DWK160" s="20"/>
      <c r="DWL160" s="20"/>
      <c r="DWM160" s="20"/>
      <c r="DWN160" s="20"/>
      <c r="DWO160" s="20"/>
      <c r="DWP160" s="20"/>
      <c r="DWQ160" s="20"/>
      <c r="DWR160" s="20"/>
      <c r="DWS160" s="20"/>
      <c r="DWT160" s="20"/>
      <c r="DWU160" s="20"/>
      <c r="DWV160" s="20"/>
      <c r="DWW160" s="20"/>
      <c r="DWX160" s="20"/>
      <c r="DWY160" s="20"/>
      <c r="DWZ160" s="20"/>
      <c r="DXA160" s="20"/>
      <c r="DXB160" s="20"/>
      <c r="DXC160" s="20"/>
      <c r="DXD160" s="20"/>
      <c r="DXE160" s="20"/>
      <c r="DXF160" s="20"/>
      <c r="DXG160" s="20"/>
      <c r="DXH160" s="20"/>
      <c r="DXI160" s="20"/>
      <c r="DXJ160" s="20"/>
      <c r="DXK160" s="20"/>
      <c r="DXL160" s="20"/>
      <c r="DXM160" s="20"/>
      <c r="DXN160" s="20"/>
      <c r="DXO160" s="20"/>
      <c r="DXP160" s="20"/>
      <c r="DXQ160" s="20"/>
      <c r="DXR160" s="20"/>
      <c r="DXS160" s="20"/>
      <c r="DXT160" s="20"/>
      <c r="DXU160" s="20"/>
      <c r="DXV160" s="20"/>
      <c r="DXW160" s="20"/>
      <c r="DXX160" s="20"/>
      <c r="DXY160" s="20"/>
      <c r="DXZ160" s="20"/>
      <c r="DYA160" s="20"/>
      <c r="DYB160" s="20"/>
      <c r="DYC160" s="20"/>
      <c r="DYD160" s="20"/>
      <c r="DYE160" s="20"/>
      <c r="DYF160" s="20"/>
      <c r="DYG160" s="20"/>
      <c r="DYH160" s="20"/>
      <c r="DYI160" s="20"/>
      <c r="DYJ160" s="20"/>
      <c r="DYK160" s="20"/>
      <c r="DYL160" s="20"/>
      <c r="DYM160" s="20"/>
      <c r="DYN160" s="20"/>
      <c r="DYO160" s="20"/>
      <c r="DYP160" s="20"/>
      <c r="DYQ160" s="20"/>
      <c r="DYR160" s="20"/>
      <c r="DYS160" s="20"/>
      <c r="DYT160" s="20"/>
      <c r="DYU160" s="20"/>
      <c r="DYV160" s="20"/>
      <c r="DYW160" s="20"/>
      <c r="DYX160" s="20"/>
      <c r="DYY160" s="20"/>
      <c r="DYZ160" s="20"/>
      <c r="DZA160" s="20"/>
      <c r="DZB160" s="20"/>
      <c r="DZC160" s="20"/>
      <c r="DZD160" s="20"/>
      <c r="DZE160" s="20"/>
      <c r="DZF160" s="20"/>
      <c r="DZG160" s="20"/>
      <c r="DZH160" s="20"/>
      <c r="DZI160" s="20"/>
      <c r="DZJ160" s="20"/>
      <c r="DZK160" s="20"/>
      <c r="DZL160" s="20"/>
      <c r="DZM160" s="20"/>
      <c r="DZN160" s="20"/>
      <c r="DZO160" s="20"/>
      <c r="DZP160" s="20"/>
      <c r="DZQ160" s="20"/>
      <c r="DZR160" s="20"/>
      <c r="DZS160" s="20"/>
      <c r="DZT160" s="20"/>
      <c r="DZU160" s="20"/>
      <c r="DZV160" s="20"/>
      <c r="DZW160" s="20"/>
      <c r="DZX160" s="20"/>
      <c r="DZY160" s="20"/>
      <c r="DZZ160" s="20"/>
      <c r="EAA160" s="20"/>
      <c r="EAB160" s="20"/>
      <c r="EAC160" s="20"/>
      <c r="EAD160" s="20"/>
      <c r="EAE160" s="20"/>
      <c r="EAF160" s="20"/>
      <c r="EAG160" s="20"/>
      <c r="EAH160" s="20"/>
      <c r="EAI160" s="20"/>
      <c r="EAJ160" s="20"/>
      <c r="EAK160" s="20"/>
      <c r="EAL160" s="20"/>
      <c r="EAM160" s="20"/>
      <c r="EAN160" s="20"/>
      <c r="EAO160" s="20"/>
      <c r="EAP160" s="20"/>
      <c r="EAQ160" s="20"/>
      <c r="EAR160" s="20"/>
      <c r="EAS160" s="20"/>
      <c r="EAT160" s="20"/>
      <c r="EAU160" s="20"/>
      <c r="EAV160" s="20"/>
      <c r="EAW160" s="20"/>
      <c r="EAX160" s="20"/>
      <c r="EAY160" s="20"/>
      <c r="EAZ160" s="20"/>
      <c r="EBA160" s="20"/>
      <c r="EBB160" s="20"/>
      <c r="EBC160" s="20"/>
      <c r="EBD160" s="20"/>
      <c r="EBE160" s="20"/>
      <c r="EBF160" s="20"/>
      <c r="EBG160" s="20"/>
      <c r="EBH160" s="20"/>
      <c r="EBI160" s="20"/>
      <c r="EBJ160" s="20"/>
      <c r="EBK160" s="20"/>
      <c r="EBL160" s="20"/>
      <c r="EBM160" s="20"/>
      <c r="EBN160" s="20"/>
      <c r="EBO160" s="20"/>
      <c r="EBP160" s="20"/>
      <c r="EBQ160" s="20"/>
      <c r="EBR160" s="20"/>
      <c r="EBS160" s="20"/>
      <c r="EBT160" s="20"/>
      <c r="EBU160" s="20"/>
      <c r="EBV160" s="20"/>
      <c r="EBW160" s="20"/>
      <c r="EBX160" s="20"/>
      <c r="EBY160" s="20"/>
      <c r="EBZ160" s="20"/>
      <c r="ECA160" s="20"/>
      <c r="ECB160" s="20"/>
      <c r="ECC160" s="20"/>
      <c r="ECD160" s="20"/>
      <c r="ECE160" s="20"/>
      <c r="ECF160" s="20"/>
      <c r="ECG160" s="20"/>
      <c r="ECH160" s="20"/>
      <c r="ECI160" s="20"/>
      <c r="ECJ160" s="20"/>
      <c r="ECK160" s="20"/>
      <c r="ECL160" s="20"/>
      <c r="ECM160" s="20"/>
      <c r="ECN160" s="20"/>
      <c r="ECO160" s="20"/>
      <c r="ECP160" s="20"/>
      <c r="ECQ160" s="20"/>
      <c r="ECR160" s="20"/>
      <c r="ECS160" s="20"/>
      <c r="ECT160" s="20"/>
      <c r="ECU160" s="20"/>
      <c r="ECV160" s="20"/>
      <c r="ECW160" s="20"/>
      <c r="ECX160" s="20"/>
      <c r="ECY160" s="20"/>
      <c r="ECZ160" s="20"/>
      <c r="EDA160" s="20"/>
      <c r="EDB160" s="20"/>
      <c r="EDC160" s="20"/>
      <c r="EDD160" s="20"/>
      <c r="EDE160" s="20"/>
      <c r="EDF160" s="20"/>
      <c r="EDG160" s="20"/>
      <c r="EDH160" s="20"/>
      <c r="EDI160" s="20"/>
      <c r="EDJ160" s="20"/>
      <c r="EDK160" s="20"/>
      <c r="EDL160" s="20"/>
      <c r="EDM160" s="20"/>
      <c r="EDN160" s="20"/>
      <c r="EDO160" s="20"/>
      <c r="EDP160" s="20"/>
      <c r="EDQ160" s="20"/>
      <c r="EDR160" s="20"/>
      <c r="EDS160" s="20"/>
      <c r="EDT160" s="20"/>
      <c r="EDU160" s="20"/>
      <c r="EDV160" s="20"/>
      <c r="EDW160" s="20"/>
      <c r="EDX160" s="20"/>
      <c r="EDY160" s="20"/>
      <c r="EDZ160" s="20"/>
      <c r="EEA160" s="20"/>
      <c r="EEB160" s="20"/>
      <c r="EEC160" s="20"/>
      <c r="EED160" s="20"/>
      <c r="EEE160" s="20"/>
      <c r="EEF160" s="20"/>
      <c r="EEG160" s="20"/>
      <c r="EEH160" s="20"/>
      <c r="EEI160" s="20"/>
      <c r="EEJ160" s="20"/>
      <c r="EEK160" s="20"/>
      <c r="EEL160" s="20"/>
      <c r="EEM160" s="20"/>
      <c r="EEN160" s="20"/>
      <c r="EEO160" s="20"/>
      <c r="EEP160" s="20"/>
      <c r="EEQ160" s="20"/>
      <c r="EER160" s="20"/>
      <c r="EES160" s="20"/>
      <c r="EET160" s="20"/>
      <c r="EEU160" s="20"/>
      <c r="EEV160" s="20"/>
      <c r="EEW160" s="20"/>
      <c r="EEX160" s="20"/>
      <c r="EEY160" s="20"/>
      <c r="EEZ160" s="20"/>
      <c r="EFA160" s="20"/>
      <c r="EFB160" s="20"/>
      <c r="EFC160" s="20"/>
      <c r="EFD160" s="20"/>
      <c r="EFE160" s="20"/>
      <c r="EFF160" s="20"/>
      <c r="EFG160" s="20"/>
      <c r="EFH160" s="20"/>
      <c r="EFI160" s="20"/>
      <c r="EFJ160" s="20"/>
      <c r="EFK160" s="20"/>
      <c r="EFL160" s="20"/>
      <c r="EFM160" s="20"/>
      <c r="EFN160" s="20"/>
      <c r="EFO160" s="20"/>
      <c r="EFP160" s="20"/>
      <c r="EFQ160" s="20"/>
      <c r="EFR160" s="20"/>
      <c r="EFS160" s="20"/>
      <c r="EFT160" s="20"/>
      <c r="EFU160" s="20"/>
      <c r="EFV160" s="20"/>
      <c r="EFW160" s="20"/>
      <c r="EFX160" s="20"/>
      <c r="EFY160" s="20"/>
      <c r="EFZ160" s="20"/>
      <c r="EGA160" s="20"/>
      <c r="EGB160" s="20"/>
      <c r="EGC160" s="20"/>
      <c r="EGD160" s="20"/>
      <c r="EGE160" s="20"/>
      <c r="EGF160" s="20"/>
      <c r="EGG160" s="20"/>
      <c r="EGH160" s="20"/>
      <c r="EGI160" s="20"/>
      <c r="EGJ160" s="20"/>
      <c r="EGK160" s="20"/>
      <c r="EGL160" s="20"/>
      <c r="EGM160" s="20"/>
      <c r="EGN160" s="20"/>
      <c r="EGO160" s="20"/>
      <c r="EGP160" s="20"/>
      <c r="EGQ160" s="20"/>
      <c r="EGR160" s="20"/>
      <c r="EGS160" s="20"/>
      <c r="EGT160" s="20"/>
      <c r="EGU160" s="20"/>
      <c r="EGV160" s="20"/>
      <c r="EGW160" s="20"/>
      <c r="EGX160" s="20"/>
      <c r="EGY160" s="20"/>
      <c r="EGZ160" s="20"/>
      <c r="EHA160" s="20"/>
      <c r="EHB160" s="20"/>
      <c r="EHC160" s="20"/>
      <c r="EHD160" s="20"/>
      <c r="EHE160" s="20"/>
      <c r="EHF160" s="20"/>
      <c r="EHG160" s="20"/>
      <c r="EHH160" s="20"/>
      <c r="EHI160" s="20"/>
      <c r="EHJ160" s="20"/>
      <c r="EHK160" s="20"/>
      <c r="EHL160" s="20"/>
      <c r="EHM160" s="20"/>
      <c r="EHN160" s="20"/>
      <c r="EHO160" s="20"/>
      <c r="EHP160" s="20"/>
      <c r="EHQ160" s="20"/>
      <c r="EHR160" s="20"/>
      <c r="EHS160" s="20"/>
      <c r="EHT160" s="20"/>
      <c r="EHU160" s="20"/>
      <c r="EHV160" s="20"/>
      <c r="EHW160" s="20"/>
      <c r="EHX160" s="20"/>
      <c r="EHY160" s="20"/>
      <c r="EHZ160" s="20"/>
      <c r="EIA160" s="20"/>
      <c r="EIB160" s="20"/>
      <c r="EIC160" s="20"/>
      <c r="EID160" s="20"/>
      <c r="EIE160" s="20"/>
      <c r="EIF160" s="20"/>
      <c r="EIG160" s="20"/>
      <c r="EIH160" s="20"/>
      <c r="EII160" s="20"/>
      <c r="EIJ160" s="20"/>
      <c r="EIK160" s="20"/>
      <c r="EIL160" s="20"/>
      <c r="EIM160" s="20"/>
      <c r="EIN160" s="20"/>
      <c r="EIO160" s="20"/>
      <c r="EIP160" s="20"/>
      <c r="EIQ160" s="20"/>
      <c r="EIR160" s="20"/>
      <c r="EIS160" s="20"/>
      <c r="EIT160" s="20"/>
      <c r="EIU160" s="20"/>
      <c r="EIV160" s="20"/>
      <c r="EIW160" s="20"/>
      <c r="EIX160" s="20"/>
      <c r="EIY160" s="20"/>
      <c r="EIZ160" s="20"/>
      <c r="EJA160" s="20"/>
      <c r="EJB160" s="20"/>
      <c r="EJC160" s="20"/>
      <c r="EJD160" s="20"/>
      <c r="EJE160" s="20"/>
      <c r="EJF160" s="20"/>
      <c r="EJG160" s="20"/>
      <c r="EJH160" s="20"/>
      <c r="EJI160" s="20"/>
      <c r="EJJ160" s="20"/>
      <c r="EJK160" s="20"/>
      <c r="EJL160" s="20"/>
      <c r="EJM160" s="20"/>
      <c r="EJN160" s="20"/>
      <c r="EJO160" s="20"/>
      <c r="EJP160" s="20"/>
      <c r="EJQ160" s="20"/>
      <c r="EJR160" s="20"/>
      <c r="EJS160" s="20"/>
      <c r="EJT160" s="20"/>
      <c r="EJU160" s="20"/>
      <c r="EJV160" s="20"/>
      <c r="EJW160" s="20"/>
      <c r="EJX160" s="20"/>
      <c r="EJY160" s="20"/>
      <c r="EJZ160" s="20"/>
      <c r="EKA160" s="20"/>
      <c r="EKB160" s="20"/>
      <c r="EKC160" s="20"/>
      <c r="EKD160" s="20"/>
      <c r="EKE160" s="20"/>
      <c r="EKF160" s="20"/>
      <c r="EKG160" s="20"/>
      <c r="EKH160" s="20"/>
      <c r="EKI160" s="20"/>
      <c r="EKJ160" s="20"/>
      <c r="EKK160" s="20"/>
      <c r="EKL160" s="20"/>
      <c r="EKM160" s="20"/>
      <c r="EKN160" s="20"/>
      <c r="EKO160" s="20"/>
      <c r="EKP160" s="20"/>
      <c r="EKQ160" s="20"/>
      <c r="EKR160" s="20"/>
      <c r="EKS160" s="20"/>
      <c r="EKT160" s="20"/>
      <c r="EKU160" s="20"/>
      <c r="EKV160" s="20"/>
      <c r="EKW160" s="20"/>
      <c r="EKX160" s="20"/>
      <c r="EKY160" s="20"/>
      <c r="EKZ160" s="20"/>
      <c r="ELA160" s="20"/>
      <c r="ELB160" s="20"/>
      <c r="ELC160" s="20"/>
      <c r="ELD160" s="20"/>
      <c r="ELE160" s="20"/>
      <c r="ELF160" s="20"/>
      <c r="ELG160" s="20"/>
      <c r="ELH160" s="20"/>
      <c r="ELI160" s="20"/>
      <c r="ELJ160" s="20"/>
      <c r="ELK160" s="20"/>
      <c r="ELL160" s="20"/>
      <c r="ELM160" s="20"/>
      <c r="ELN160" s="20"/>
      <c r="ELO160" s="20"/>
      <c r="ELP160" s="20"/>
      <c r="ELQ160" s="20"/>
      <c r="ELR160" s="20"/>
      <c r="ELS160" s="20"/>
      <c r="ELT160" s="20"/>
      <c r="ELU160" s="20"/>
      <c r="ELV160" s="20"/>
      <c r="ELW160" s="20"/>
      <c r="ELX160" s="20"/>
      <c r="ELY160" s="20"/>
      <c r="ELZ160" s="20"/>
      <c r="EMA160" s="20"/>
      <c r="EMB160" s="20"/>
      <c r="EMC160" s="20"/>
      <c r="EMD160" s="20"/>
      <c r="EME160" s="20"/>
      <c r="EMF160" s="20"/>
      <c r="EMG160" s="20"/>
      <c r="EMH160" s="20"/>
      <c r="EMI160" s="20"/>
      <c r="EMJ160" s="20"/>
      <c r="EMK160" s="20"/>
      <c r="EML160" s="20"/>
      <c r="EMM160" s="20"/>
      <c r="EMN160" s="20"/>
      <c r="EMO160" s="20"/>
      <c r="EMP160" s="20"/>
      <c r="EMQ160" s="20"/>
      <c r="EMR160" s="20"/>
      <c r="EMS160" s="20"/>
      <c r="EMT160" s="20"/>
      <c r="EMU160" s="20"/>
      <c r="EMV160" s="20"/>
      <c r="EMW160" s="20"/>
      <c r="EMX160" s="20"/>
      <c r="EMY160" s="20"/>
      <c r="EMZ160" s="20"/>
      <c r="ENA160" s="20"/>
      <c r="ENB160" s="20"/>
      <c r="ENC160" s="20"/>
      <c r="END160" s="20"/>
      <c r="ENE160" s="20"/>
      <c r="ENF160" s="20"/>
      <c r="ENG160" s="20"/>
      <c r="ENH160" s="20"/>
      <c r="ENI160" s="20"/>
      <c r="ENJ160" s="20"/>
      <c r="ENK160" s="20"/>
      <c r="ENL160" s="20"/>
      <c r="ENM160" s="20"/>
      <c r="ENN160" s="20"/>
      <c r="ENO160" s="20"/>
      <c r="ENP160" s="20"/>
      <c r="ENQ160" s="20"/>
      <c r="ENR160" s="20"/>
      <c r="ENS160" s="20"/>
      <c r="ENT160" s="20"/>
      <c r="ENU160" s="20"/>
      <c r="ENV160" s="20"/>
      <c r="ENW160" s="20"/>
      <c r="ENX160" s="20"/>
      <c r="ENY160" s="20"/>
      <c r="ENZ160" s="20"/>
      <c r="EOA160" s="20"/>
      <c r="EOB160" s="20"/>
      <c r="EOC160" s="20"/>
      <c r="EOD160" s="20"/>
      <c r="EOE160" s="20"/>
      <c r="EOF160" s="20"/>
      <c r="EOG160" s="20"/>
      <c r="EOH160" s="20"/>
      <c r="EOI160" s="20"/>
      <c r="EOJ160" s="20"/>
      <c r="EOK160" s="20"/>
      <c r="EOL160" s="20"/>
      <c r="EOM160" s="20"/>
      <c r="EON160" s="20"/>
      <c r="EOO160" s="20"/>
      <c r="EOP160" s="20"/>
      <c r="EOQ160" s="20"/>
      <c r="EOR160" s="20"/>
      <c r="EOS160" s="20"/>
      <c r="EOT160" s="20"/>
      <c r="EOU160" s="20"/>
      <c r="EOV160" s="20"/>
      <c r="EOW160" s="20"/>
      <c r="EOX160" s="20"/>
      <c r="EOY160" s="20"/>
      <c r="EOZ160" s="20"/>
      <c r="EPA160" s="20"/>
      <c r="EPB160" s="20"/>
      <c r="EPC160" s="20"/>
      <c r="EPD160" s="20"/>
      <c r="EPE160" s="20"/>
      <c r="EPF160" s="20"/>
      <c r="EPG160" s="20"/>
      <c r="EPH160" s="20"/>
      <c r="EPI160" s="20"/>
      <c r="EPJ160" s="20"/>
      <c r="EPK160" s="20"/>
      <c r="EPL160" s="20"/>
      <c r="EPM160" s="20"/>
      <c r="EPN160" s="20"/>
      <c r="EPO160" s="20"/>
      <c r="EPP160" s="20"/>
      <c r="EPQ160" s="20"/>
      <c r="EPR160" s="20"/>
      <c r="EPS160" s="20"/>
      <c r="EPT160" s="20"/>
      <c r="EPU160" s="20"/>
      <c r="EPV160" s="20"/>
      <c r="EPW160" s="20"/>
      <c r="EPX160" s="20"/>
      <c r="EPY160" s="20"/>
      <c r="EPZ160" s="20"/>
      <c r="EQA160" s="20"/>
      <c r="EQB160" s="20"/>
      <c r="EQC160" s="20"/>
      <c r="EQD160" s="20"/>
      <c r="EQE160" s="20"/>
      <c r="EQF160" s="20"/>
      <c r="EQG160" s="20"/>
      <c r="EQH160" s="20"/>
      <c r="EQI160" s="20"/>
      <c r="EQJ160" s="20"/>
      <c r="EQK160" s="20"/>
      <c r="EQL160" s="20"/>
      <c r="EQM160" s="20"/>
      <c r="EQN160" s="20"/>
      <c r="EQO160" s="20"/>
      <c r="EQP160" s="20"/>
      <c r="EQQ160" s="20"/>
      <c r="EQR160" s="20"/>
      <c r="EQS160" s="20"/>
      <c r="EQT160" s="20"/>
      <c r="EQU160" s="20"/>
      <c r="EQV160" s="20"/>
      <c r="EQW160" s="20"/>
      <c r="EQX160" s="20"/>
      <c r="EQY160" s="20"/>
      <c r="EQZ160" s="20"/>
      <c r="ERA160" s="20"/>
      <c r="ERB160" s="20"/>
      <c r="ERC160" s="20"/>
      <c r="ERD160" s="20"/>
      <c r="ERE160" s="20"/>
      <c r="ERF160" s="20"/>
      <c r="ERG160" s="20"/>
      <c r="ERH160" s="20"/>
      <c r="ERI160" s="20"/>
      <c r="ERJ160" s="20"/>
      <c r="ERK160" s="20"/>
      <c r="ERL160" s="20"/>
      <c r="ERM160" s="20"/>
      <c r="ERN160" s="20"/>
      <c r="ERO160" s="20"/>
      <c r="ERP160" s="20"/>
      <c r="ERQ160" s="20"/>
      <c r="ERR160" s="20"/>
      <c r="ERS160" s="20"/>
      <c r="ERT160" s="20"/>
      <c r="ERU160" s="20"/>
      <c r="ERV160" s="20"/>
      <c r="ERW160" s="20"/>
      <c r="ERX160" s="20"/>
      <c r="ERY160" s="20"/>
      <c r="ERZ160" s="20"/>
      <c r="ESA160" s="20"/>
      <c r="ESB160" s="20"/>
      <c r="ESC160" s="20"/>
      <c r="ESD160" s="20"/>
      <c r="ESE160" s="20"/>
      <c r="ESF160" s="20"/>
      <c r="ESG160" s="20"/>
      <c r="ESH160" s="20"/>
      <c r="ESI160" s="20"/>
      <c r="ESJ160" s="20"/>
      <c r="ESK160" s="20"/>
      <c r="ESL160" s="20"/>
      <c r="ESM160" s="20"/>
      <c r="ESN160" s="20"/>
      <c r="ESO160" s="20"/>
      <c r="ESP160" s="20"/>
      <c r="ESQ160" s="20"/>
      <c r="ESR160" s="20"/>
      <c r="ESS160" s="20"/>
      <c r="EST160" s="20"/>
      <c r="ESU160" s="20"/>
      <c r="ESV160" s="20"/>
      <c r="ESW160" s="20"/>
      <c r="ESX160" s="20"/>
      <c r="ESY160" s="20"/>
      <c r="ESZ160" s="20"/>
      <c r="ETA160" s="20"/>
      <c r="ETB160" s="20"/>
      <c r="ETC160" s="20"/>
      <c r="ETD160" s="20"/>
      <c r="ETE160" s="20"/>
      <c r="ETF160" s="20"/>
      <c r="ETG160" s="20"/>
      <c r="ETH160" s="20"/>
      <c r="ETI160" s="20"/>
      <c r="ETJ160" s="20"/>
      <c r="ETK160" s="20"/>
      <c r="ETL160" s="20"/>
      <c r="ETM160" s="20"/>
      <c r="ETN160" s="20"/>
      <c r="ETO160" s="20"/>
      <c r="ETP160" s="20"/>
      <c r="ETQ160" s="20"/>
      <c r="ETR160" s="20"/>
      <c r="ETS160" s="20"/>
      <c r="ETT160" s="20"/>
      <c r="ETU160" s="20"/>
      <c r="ETV160" s="20"/>
      <c r="ETW160" s="20"/>
      <c r="ETX160" s="20"/>
      <c r="ETY160" s="20"/>
      <c r="ETZ160" s="20"/>
      <c r="EUA160" s="20"/>
      <c r="EUB160" s="20"/>
      <c r="EUC160" s="20"/>
      <c r="EUD160" s="20"/>
      <c r="EUE160" s="20"/>
      <c r="EUF160" s="20"/>
      <c r="EUG160" s="20"/>
      <c r="EUH160" s="20"/>
      <c r="EUI160" s="20"/>
      <c r="EUJ160" s="20"/>
      <c r="EUK160" s="20"/>
      <c r="EUL160" s="20"/>
      <c r="EUM160" s="20"/>
      <c r="EUN160" s="20"/>
      <c r="EUO160" s="20"/>
      <c r="EUP160" s="20"/>
      <c r="EUQ160" s="20"/>
      <c r="EUR160" s="20"/>
      <c r="EUS160" s="20"/>
      <c r="EUT160" s="20"/>
      <c r="EUU160" s="20"/>
      <c r="EUV160" s="20"/>
      <c r="EUW160" s="20"/>
      <c r="EUX160" s="20"/>
      <c r="EUY160" s="20"/>
      <c r="EUZ160" s="20"/>
      <c r="EVA160" s="20"/>
      <c r="EVB160" s="20"/>
      <c r="EVC160" s="20"/>
      <c r="EVD160" s="20"/>
      <c r="EVE160" s="20"/>
      <c r="EVF160" s="20"/>
      <c r="EVG160" s="20"/>
      <c r="EVH160" s="20"/>
      <c r="EVI160" s="20"/>
      <c r="EVJ160" s="20"/>
      <c r="EVK160" s="20"/>
      <c r="EVL160" s="20"/>
      <c r="EVM160" s="20"/>
      <c r="EVN160" s="20"/>
      <c r="EVO160" s="20"/>
      <c r="EVP160" s="20"/>
      <c r="EVQ160" s="20"/>
      <c r="EVR160" s="20"/>
      <c r="EVS160" s="20"/>
      <c r="EVT160" s="20"/>
      <c r="EVU160" s="20"/>
      <c r="EVV160" s="20"/>
      <c r="EVW160" s="20"/>
      <c r="EVX160" s="20"/>
      <c r="EVY160" s="20"/>
      <c r="EVZ160" s="20"/>
      <c r="EWA160" s="20"/>
      <c r="EWB160" s="20"/>
      <c r="EWC160" s="20"/>
      <c r="EWD160" s="20"/>
      <c r="EWE160" s="20"/>
      <c r="EWF160" s="20"/>
      <c r="EWG160" s="20"/>
      <c r="EWH160" s="20"/>
      <c r="EWI160" s="20"/>
      <c r="EWJ160" s="20"/>
      <c r="EWK160" s="20"/>
      <c r="EWL160" s="20"/>
      <c r="EWM160" s="20"/>
      <c r="EWN160" s="20"/>
      <c r="EWO160" s="20"/>
      <c r="EWP160" s="20"/>
      <c r="EWQ160" s="20"/>
      <c r="EWR160" s="20"/>
      <c r="EWS160" s="20"/>
      <c r="EWT160" s="20"/>
      <c r="EWU160" s="20"/>
      <c r="EWV160" s="20"/>
      <c r="EWW160" s="20"/>
      <c r="EWX160" s="20"/>
      <c r="EWY160" s="20"/>
      <c r="EWZ160" s="20"/>
      <c r="EXA160" s="20"/>
      <c r="EXB160" s="20"/>
      <c r="EXC160" s="20"/>
      <c r="EXD160" s="20"/>
      <c r="EXE160" s="20"/>
      <c r="EXF160" s="20"/>
      <c r="EXG160" s="20"/>
      <c r="EXH160" s="20"/>
      <c r="EXI160" s="20"/>
      <c r="EXJ160" s="20"/>
      <c r="EXK160" s="20"/>
      <c r="EXL160" s="20"/>
      <c r="EXM160" s="20"/>
      <c r="EXN160" s="20"/>
      <c r="EXO160" s="20"/>
      <c r="EXP160" s="20"/>
      <c r="EXQ160" s="20"/>
      <c r="EXR160" s="20"/>
      <c r="EXS160" s="20"/>
      <c r="EXT160" s="20"/>
      <c r="EXU160" s="20"/>
      <c r="EXV160" s="20"/>
      <c r="EXW160" s="20"/>
      <c r="EXX160" s="20"/>
      <c r="EXY160" s="20"/>
      <c r="EXZ160" s="20"/>
      <c r="EYA160" s="20"/>
      <c r="EYB160" s="20"/>
      <c r="EYC160" s="20"/>
      <c r="EYD160" s="20"/>
      <c r="EYE160" s="20"/>
      <c r="EYF160" s="20"/>
      <c r="EYG160" s="20"/>
      <c r="EYH160" s="20"/>
      <c r="EYI160" s="20"/>
      <c r="EYJ160" s="20"/>
      <c r="EYK160" s="20"/>
      <c r="EYL160" s="20"/>
      <c r="EYM160" s="20"/>
      <c r="EYN160" s="20"/>
      <c r="EYO160" s="20"/>
      <c r="EYP160" s="20"/>
      <c r="EYQ160" s="20"/>
      <c r="EYR160" s="20"/>
      <c r="EYS160" s="20"/>
      <c r="EYT160" s="20"/>
      <c r="EYU160" s="20"/>
      <c r="EYV160" s="20"/>
      <c r="EYW160" s="20"/>
      <c r="EYX160" s="20"/>
      <c r="EYY160" s="20"/>
      <c r="EYZ160" s="20"/>
      <c r="EZA160" s="20"/>
      <c r="EZB160" s="20"/>
      <c r="EZC160" s="20"/>
      <c r="EZD160" s="20"/>
      <c r="EZE160" s="20"/>
      <c r="EZF160" s="20"/>
      <c r="EZG160" s="20"/>
      <c r="EZH160" s="20"/>
      <c r="EZI160" s="20"/>
      <c r="EZJ160" s="20"/>
      <c r="EZK160" s="20"/>
      <c r="EZL160" s="20"/>
      <c r="EZM160" s="20"/>
      <c r="EZN160" s="20"/>
      <c r="EZO160" s="20"/>
      <c r="EZP160" s="20"/>
      <c r="EZQ160" s="20"/>
      <c r="EZR160" s="20"/>
      <c r="EZS160" s="20"/>
      <c r="EZT160" s="20"/>
      <c r="EZU160" s="20"/>
      <c r="EZV160" s="20"/>
      <c r="EZW160" s="20"/>
      <c r="EZX160" s="20"/>
      <c r="EZY160" s="20"/>
      <c r="EZZ160" s="20"/>
      <c r="FAA160" s="20"/>
      <c r="FAB160" s="20"/>
      <c r="FAC160" s="20"/>
      <c r="FAD160" s="20"/>
      <c r="FAE160" s="20"/>
      <c r="FAF160" s="20"/>
      <c r="FAG160" s="20"/>
      <c r="FAH160" s="20"/>
      <c r="FAI160" s="20"/>
      <c r="FAJ160" s="20"/>
      <c r="FAK160" s="20"/>
      <c r="FAL160" s="20"/>
      <c r="FAM160" s="20"/>
      <c r="FAN160" s="20"/>
      <c r="FAO160" s="20"/>
      <c r="FAP160" s="20"/>
      <c r="FAQ160" s="20"/>
      <c r="FAR160" s="20"/>
      <c r="FAS160" s="20"/>
      <c r="FAT160" s="20"/>
      <c r="FAU160" s="20"/>
      <c r="FAV160" s="20"/>
      <c r="FAW160" s="20"/>
      <c r="FAX160" s="20"/>
      <c r="FAY160" s="20"/>
      <c r="FAZ160" s="20"/>
      <c r="FBA160" s="20"/>
      <c r="FBB160" s="20"/>
      <c r="FBC160" s="20"/>
      <c r="FBD160" s="20"/>
      <c r="FBE160" s="20"/>
      <c r="FBF160" s="20"/>
      <c r="FBG160" s="20"/>
      <c r="FBH160" s="20"/>
      <c r="FBI160" s="20"/>
      <c r="FBJ160" s="20"/>
      <c r="FBK160" s="20"/>
      <c r="FBL160" s="20"/>
      <c r="FBM160" s="20"/>
      <c r="FBN160" s="20"/>
      <c r="FBO160" s="20"/>
      <c r="FBP160" s="20"/>
      <c r="FBQ160" s="20"/>
      <c r="FBR160" s="20"/>
      <c r="FBS160" s="20"/>
      <c r="FBT160" s="20"/>
      <c r="FBU160" s="20"/>
      <c r="FBV160" s="20"/>
      <c r="FBW160" s="20"/>
      <c r="FBX160" s="20"/>
      <c r="FBY160" s="20"/>
      <c r="FBZ160" s="20"/>
      <c r="FCA160" s="20"/>
      <c r="FCB160" s="20"/>
      <c r="FCC160" s="20"/>
      <c r="FCD160" s="20"/>
      <c r="FCE160" s="20"/>
      <c r="FCF160" s="20"/>
      <c r="FCG160" s="20"/>
      <c r="FCH160" s="20"/>
      <c r="FCI160" s="20"/>
      <c r="FCJ160" s="20"/>
      <c r="FCK160" s="20"/>
      <c r="FCL160" s="20"/>
      <c r="FCM160" s="20"/>
      <c r="FCN160" s="20"/>
      <c r="FCO160" s="20"/>
      <c r="FCP160" s="20"/>
      <c r="FCQ160" s="20"/>
      <c r="FCR160" s="20"/>
      <c r="FCS160" s="20"/>
      <c r="FCT160" s="20"/>
      <c r="FCU160" s="20"/>
      <c r="FCV160" s="20"/>
      <c r="FCW160" s="20"/>
      <c r="FCX160" s="20"/>
      <c r="FCY160" s="20"/>
      <c r="FCZ160" s="20"/>
      <c r="FDA160" s="20"/>
      <c r="FDB160" s="20"/>
      <c r="FDC160" s="20"/>
      <c r="FDD160" s="20"/>
      <c r="FDE160" s="20"/>
      <c r="FDF160" s="20"/>
      <c r="FDG160" s="20"/>
      <c r="FDH160" s="20"/>
      <c r="FDI160" s="20"/>
      <c r="FDJ160" s="20"/>
      <c r="FDK160" s="20"/>
      <c r="FDL160" s="20"/>
      <c r="FDM160" s="20"/>
      <c r="FDN160" s="20"/>
      <c r="FDO160" s="20"/>
      <c r="FDP160" s="20"/>
      <c r="FDQ160" s="20"/>
      <c r="FDR160" s="20"/>
      <c r="FDS160" s="20"/>
      <c r="FDT160" s="20"/>
      <c r="FDU160" s="20"/>
      <c r="FDV160" s="20"/>
      <c r="FDW160" s="20"/>
      <c r="FDX160" s="20"/>
      <c r="FDY160" s="20"/>
      <c r="FDZ160" s="20"/>
      <c r="FEA160" s="20"/>
      <c r="FEB160" s="20"/>
      <c r="FEC160" s="20"/>
      <c r="FED160" s="20"/>
      <c r="FEE160" s="20"/>
      <c r="FEF160" s="20"/>
      <c r="FEG160" s="20"/>
      <c r="FEH160" s="20"/>
      <c r="FEI160" s="20"/>
      <c r="FEJ160" s="20"/>
      <c r="FEK160" s="20"/>
      <c r="FEL160" s="20"/>
      <c r="FEM160" s="20"/>
      <c r="FEN160" s="20"/>
      <c r="FEO160" s="20"/>
      <c r="FEP160" s="20"/>
      <c r="FEQ160" s="20"/>
      <c r="FER160" s="20"/>
      <c r="FES160" s="20"/>
      <c r="FET160" s="20"/>
      <c r="FEU160" s="20"/>
      <c r="FEV160" s="20"/>
      <c r="FEW160" s="20"/>
      <c r="FEX160" s="20"/>
      <c r="FEY160" s="20"/>
      <c r="FEZ160" s="20"/>
      <c r="FFA160" s="20"/>
      <c r="FFB160" s="20"/>
      <c r="FFC160" s="20"/>
      <c r="FFD160" s="20"/>
      <c r="FFE160" s="20"/>
      <c r="FFF160" s="20"/>
      <c r="FFG160" s="20"/>
      <c r="FFH160" s="20"/>
      <c r="FFI160" s="20"/>
      <c r="FFJ160" s="20"/>
      <c r="FFK160" s="20"/>
      <c r="FFL160" s="20"/>
      <c r="FFM160" s="20"/>
      <c r="FFN160" s="20"/>
      <c r="FFO160" s="20"/>
      <c r="FFP160" s="20"/>
      <c r="FFQ160" s="20"/>
      <c r="FFR160" s="20"/>
      <c r="FFS160" s="20"/>
      <c r="FFT160" s="20"/>
      <c r="FFU160" s="20"/>
      <c r="FFV160" s="20"/>
      <c r="FFW160" s="20"/>
      <c r="FFX160" s="20"/>
      <c r="FFY160" s="20"/>
      <c r="FFZ160" s="20"/>
      <c r="FGA160" s="20"/>
      <c r="FGB160" s="20"/>
      <c r="FGC160" s="20"/>
      <c r="FGD160" s="20"/>
      <c r="FGE160" s="20"/>
      <c r="FGF160" s="20"/>
      <c r="FGG160" s="20"/>
      <c r="FGH160" s="20"/>
      <c r="FGI160" s="20"/>
      <c r="FGJ160" s="20"/>
      <c r="FGK160" s="20"/>
      <c r="FGL160" s="20"/>
      <c r="FGM160" s="20"/>
      <c r="FGN160" s="20"/>
      <c r="FGO160" s="20"/>
      <c r="FGP160" s="20"/>
      <c r="FGQ160" s="20"/>
      <c r="FGR160" s="20"/>
      <c r="FGS160" s="20"/>
      <c r="FGT160" s="20"/>
      <c r="FGU160" s="20"/>
      <c r="FGV160" s="20"/>
      <c r="FGW160" s="20"/>
      <c r="FGX160" s="20"/>
      <c r="FGY160" s="20"/>
      <c r="FGZ160" s="20"/>
      <c r="FHA160" s="20"/>
      <c r="FHB160" s="20"/>
      <c r="FHC160" s="20"/>
      <c r="FHD160" s="20"/>
      <c r="FHE160" s="20"/>
      <c r="FHF160" s="20"/>
      <c r="FHG160" s="20"/>
      <c r="FHH160" s="20"/>
      <c r="FHI160" s="20"/>
      <c r="FHJ160" s="20"/>
      <c r="FHK160" s="20"/>
      <c r="FHL160" s="20"/>
      <c r="FHM160" s="20"/>
      <c r="FHN160" s="20"/>
      <c r="FHO160" s="20"/>
      <c r="FHP160" s="20"/>
      <c r="FHQ160" s="20"/>
      <c r="FHR160" s="20"/>
      <c r="FHS160" s="20"/>
      <c r="FHT160" s="20"/>
      <c r="FHU160" s="20"/>
      <c r="FHV160" s="20"/>
      <c r="FHW160" s="20"/>
      <c r="FHX160" s="20"/>
      <c r="FHY160" s="20"/>
      <c r="FHZ160" s="20"/>
      <c r="FIA160" s="20"/>
      <c r="FIB160" s="20"/>
      <c r="FIC160" s="20"/>
      <c r="FID160" s="20"/>
      <c r="FIE160" s="20"/>
      <c r="FIF160" s="20"/>
      <c r="FIG160" s="20"/>
      <c r="FIH160" s="20"/>
      <c r="FII160" s="20"/>
      <c r="FIJ160" s="20"/>
      <c r="FIK160" s="20"/>
      <c r="FIL160" s="20"/>
      <c r="FIM160" s="20"/>
      <c r="FIN160" s="20"/>
      <c r="FIO160" s="20"/>
      <c r="FIP160" s="20"/>
      <c r="FIQ160" s="20"/>
      <c r="FIR160" s="20"/>
      <c r="FIS160" s="20"/>
      <c r="FIT160" s="20"/>
      <c r="FIU160" s="20"/>
      <c r="FIV160" s="20"/>
      <c r="FIW160" s="20"/>
      <c r="FIX160" s="20"/>
      <c r="FIY160" s="20"/>
      <c r="FIZ160" s="20"/>
      <c r="FJA160" s="20"/>
      <c r="FJB160" s="20"/>
      <c r="FJC160" s="20"/>
      <c r="FJD160" s="20"/>
      <c r="FJE160" s="20"/>
      <c r="FJF160" s="20"/>
      <c r="FJG160" s="20"/>
      <c r="FJH160" s="20"/>
      <c r="FJI160" s="20"/>
      <c r="FJJ160" s="20"/>
      <c r="FJK160" s="20"/>
      <c r="FJL160" s="20"/>
      <c r="FJM160" s="20"/>
      <c r="FJN160" s="20"/>
      <c r="FJO160" s="20"/>
      <c r="FJP160" s="20"/>
      <c r="FJQ160" s="20"/>
      <c r="FJR160" s="20"/>
      <c r="FJS160" s="20"/>
      <c r="FJT160" s="20"/>
      <c r="FJU160" s="20"/>
      <c r="FJV160" s="20"/>
      <c r="FJW160" s="20"/>
      <c r="FJX160" s="20"/>
      <c r="FJY160" s="20"/>
      <c r="FJZ160" s="20"/>
      <c r="FKA160" s="20"/>
      <c r="FKB160" s="20"/>
      <c r="FKC160" s="20"/>
      <c r="FKD160" s="20"/>
      <c r="FKE160" s="20"/>
      <c r="FKF160" s="20"/>
      <c r="FKG160" s="20"/>
      <c r="FKH160" s="20"/>
      <c r="FKI160" s="20"/>
      <c r="FKJ160" s="20"/>
      <c r="FKK160" s="20"/>
      <c r="FKL160" s="20"/>
      <c r="FKM160" s="20"/>
      <c r="FKN160" s="20"/>
      <c r="FKO160" s="20"/>
      <c r="FKP160" s="20"/>
      <c r="FKQ160" s="20"/>
      <c r="FKR160" s="20"/>
      <c r="FKS160" s="20"/>
      <c r="FKT160" s="20"/>
      <c r="FKU160" s="20"/>
      <c r="FKV160" s="20"/>
      <c r="FKW160" s="20"/>
      <c r="FKX160" s="20"/>
      <c r="FKY160" s="20"/>
      <c r="FKZ160" s="20"/>
      <c r="FLA160" s="20"/>
      <c r="FLB160" s="20"/>
      <c r="FLC160" s="20"/>
      <c r="FLD160" s="20"/>
      <c r="FLE160" s="20"/>
      <c r="FLF160" s="20"/>
      <c r="FLG160" s="20"/>
      <c r="FLH160" s="20"/>
      <c r="FLI160" s="20"/>
      <c r="FLJ160" s="20"/>
      <c r="FLK160" s="20"/>
      <c r="FLL160" s="20"/>
      <c r="FLM160" s="20"/>
      <c r="FLN160" s="20"/>
      <c r="FLO160" s="20"/>
      <c r="FLP160" s="20"/>
      <c r="FLQ160" s="20"/>
      <c r="FLR160" s="20"/>
      <c r="FLS160" s="20"/>
      <c r="FLT160" s="20"/>
      <c r="FLU160" s="20"/>
      <c r="FLV160" s="20"/>
      <c r="FLW160" s="20"/>
      <c r="FLX160" s="20"/>
      <c r="FLY160" s="20"/>
      <c r="FLZ160" s="20"/>
      <c r="FMA160" s="20"/>
      <c r="FMB160" s="20"/>
      <c r="FMC160" s="20"/>
      <c r="FMD160" s="20"/>
      <c r="FME160" s="20"/>
      <c r="FMF160" s="20"/>
      <c r="FMG160" s="20"/>
      <c r="FMH160" s="20"/>
      <c r="FMI160" s="20"/>
      <c r="FMJ160" s="20"/>
      <c r="FMK160" s="20"/>
      <c r="FML160" s="20"/>
      <c r="FMM160" s="20"/>
      <c r="FMN160" s="20"/>
      <c r="FMO160" s="20"/>
      <c r="FMP160" s="20"/>
      <c r="FMQ160" s="20"/>
      <c r="FMR160" s="20"/>
      <c r="FMS160" s="20"/>
      <c r="FMT160" s="20"/>
      <c r="FMU160" s="20"/>
      <c r="FMV160" s="20"/>
      <c r="FMW160" s="20"/>
      <c r="FMX160" s="20"/>
      <c r="FMY160" s="20"/>
      <c r="FMZ160" s="20"/>
      <c r="FNA160" s="20"/>
      <c r="FNB160" s="20"/>
      <c r="FNC160" s="20"/>
      <c r="FND160" s="20"/>
      <c r="FNE160" s="20"/>
      <c r="FNF160" s="20"/>
      <c r="FNG160" s="20"/>
      <c r="FNH160" s="20"/>
      <c r="FNI160" s="20"/>
      <c r="FNJ160" s="20"/>
      <c r="FNK160" s="20"/>
      <c r="FNL160" s="20"/>
      <c r="FNM160" s="20"/>
      <c r="FNN160" s="20"/>
      <c r="FNO160" s="20"/>
      <c r="FNP160" s="20"/>
      <c r="FNQ160" s="20"/>
      <c r="FNR160" s="20"/>
      <c r="FNS160" s="20"/>
      <c r="FNT160" s="20"/>
      <c r="FNU160" s="20"/>
      <c r="FNV160" s="20"/>
      <c r="FNW160" s="20"/>
      <c r="FNX160" s="20"/>
      <c r="FNY160" s="20"/>
      <c r="FNZ160" s="20"/>
      <c r="FOA160" s="20"/>
      <c r="FOB160" s="20"/>
      <c r="FOC160" s="20"/>
      <c r="FOD160" s="20"/>
      <c r="FOE160" s="20"/>
      <c r="FOF160" s="20"/>
      <c r="FOG160" s="20"/>
      <c r="FOH160" s="20"/>
      <c r="FOI160" s="20"/>
      <c r="FOJ160" s="20"/>
      <c r="FOK160" s="20"/>
      <c r="FOL160" s="20"/>
      <c r="FOM160" s="20"/>
      <c r="FON160" s="20"/>
      <c r="FOO160" s="20"/>
      <c r="FOP160" s="20"/>
      <c r="FOQ160" s="20"/>
      <c r="FOR160" s="20"/>
      <c r="FOS160" s="20"/>
      <c r="FOT160" s="20"/>
      <c r="FOU160" s="20"/>
      <c r="FOV160" s="20"/>
      <c r="FOW160" s="20"/>
      <c r="FOX160" s="20"/>
      <c r="FOY160" s="20"/>
      <c r="FOZ160" s="20"/>
      <c r="FPA160" s="20"/>
      <c r="FPB160" s="20"/>
      <c r="FPC160" s="20"/>
      <c r="FPD160" s="20"/>
      <c r="FPE160" s="20"/>
      <c r="FPF160" s="20"/>
      <c r="FPG160" s="20"/>
      <c r="FPH160" s="20"/>
      <c r="FPI160" s="20"/>
      <c r="FPJ160" s="20"/>
      <c r="FPK160" s="20"/>
      <c r="FPL160" s="20"/>
      <c r="FPM160" s="20"/>
      <c r="FPN160" s="20"/>
      <c r="FPO160" s="20"/>
      <c r="FPP160" s="20"/>
      <c r="FPQ160" s="20"/>
      <c r="FPR160" s="20"/>
      <c r="FPS160" s="20"/>
      <c r="FPT160" s="20"/>
      <c r="FPU160" s="20"/>
      <c r="FPV160" s="20"/>
      <c r="FPW160" s="20"/>
      <c r="FPX160" s="20"/>
      <c r="FPY160" s="20"/>
      <c r="FPZ160" s="20"/>
      <c r="FQA160" s="20"/>
      <c r="FQB160" s="20"/>
      <c r="FQC160" s="20"/>
      <c r="FQD160" s="20"/>
      <c r="FQE160" s="20"/>
      <c r="FQF160" s="20"/>
      <c r="FQG160" s="20"/>
      <c r="FQH160" s="20"/>
      <c r="FQI160" s="20"/>
      <c r="FQJ160" s="20"/>
      <c r="FQK160" s="20"/>
      <c r="FQL160" s="20"/>
      <c r="FQM160" s="20"/>
      <c r="FQN160" s="20"/>
      <c r="FQO160" s="20"/>
      <c r="FQP160" s="20"/>
      <c r="FQQ160" s="20"/>
      <c r="FQR160" s="20"/>
      <c r="FQS160" s="20"/>
      <c r="FQT160" s="20"/>
      <c r="FQU160" s="20"/>
      <c r="FQV160" s="20"/>
      <c r="FQW160" s="20"/>
      <c r="FQX160" s="20"/>
      <c r="FQY160" s="20"/>
      <c r="FQZ160" s="20"/>
      <c r="FRA160" s="20"/>
      <c r="FRB160" s="20"/>
      <c r="FRC160" s="20"/>
      <c r="FRD160" s="20"/>
      <c r="FRE160" s="20"/>
      <c r="FRF160" s="20"/>
      <c r="FRG160" s="20"/>
      <c r="FRH160" s="20"/>
      <c r="FRI160" s="20"/>
      <c r="FRJ160" s="20"/>
      <c r="FRK160" s="20"/>
      <c r="FRL160" s="20"/>
      <c r="FRM160" s="20"/>
      <c r="FRN160" s="20"/>
      <c r="FRO160" s="20"/>
      <c r="FRP160" s="20"/>
      <c r="FRQ160" s="20"/>
      <c r="FRR160" s="20"/>
      <c r="FRS160" s="20"/>
      <c r="FRT160" s="20"/>
      <c r="FRU160" s="20"/>
      <c r="FRV160" s="20"/>
      <c r="FRW160" s="20"/>
      <c r="FRX160" s="20"/>
      <c r="FRY160" s="20"/>
      <c r="FRZ160" s="20"/>
      <c r="FSA160" s="20"/>
      <c r="FSB160" s="20"/>
      <c r="FSC160" s="20"/>
      <c r="FSD160" s="20"/>
      <c r="FSE160" s="20"/>
      <c r="FSF160" s="20"/>
      <c r="FSG160" s="20"/>
      <c r="FSH160" s="20"/>
      <c r="FSI160" s="20"/>
      <c r="FSJ160" s="20"/>
      <c r="FSK160" s="20"/>
      <c r="FSL160" s="20"/>
      <c r="FSM160" s="20"/>
      <c r="FSN160" s="20"/>
      <c r="FSO160" s="20"/>
      <c r="FSP160" s="20"/>
      <c r="FSQ160" s="20"/>
      <c r="FSR160" s="20"/>
      <c r="FSS160" s="20"/>
      <c r="FST160" s="20"/>
      <c r="FSU160" s="20"/>
      <c r="FSV160" s="20"/>
      <c r="FSW160" s="20"/>
      <c r="FSX160" s="20"/>
      <c r="FSY160" s="20"/>
      <c r="FSZ160" s="20"/>
      <c r="FTA160" s="20"/>
      <c r="FTB160" s="20"/>
      <c r="FTC160" s="20"/>
      <c r="FTD160" s="20"/>
      <c r="FTE160" s="20"/>
      <c r="FTF160" s="20"/>
      <c r="FTG160" s="20"/>
      <c r="FTH160" s="20"/>
      <c r="FTI160" s="20"/>
      <c r="FTJ160" s="20"/>
      <c r="FTK160" s="20"/>
      <c r="FTL160" s="20"/>
      <c r="FTM160" s="20"/>
      <c r="FTN160" s="20"/>
      <c r="FTO160" s="20"/>
      <c r="FTP160" s="20"/>
      <c r="FTQ160" s="20"/>
      <c r="FTR160" s="20"/>
      <c r="FTS160" s="20"/>
      <c r="FTT160" s="20"/>
      <c r="FTU160" s="20"/>
      <c r="FTV160" s="20"/>
      <c r="FTW160" s="20"/>
      <c r="FTX160" s="20"/>
      <c r="FTY160" s="20"/>
      <c r="FTZ160" s="20"/>
      <c r="FUA160" s="20"/>
      <c r="FUB160" s="20"/>
      <c r="FUC160" s="20"/>
      <c r="FUD160" s="20"/>
      <c r="FUE160" s="20"/>
      <c r="FUF160" s="20"/>
      <c r="FUG160" s="20"/>
      <c r="FUH160" s="20"/>
      <c r="FUI160" s="20"/>
      <c r="FUJ160" s="20"/>
      <c r="FUK160" s="20"/>
      <c r="FUL160" s="20"/>
      <c r="FUM160" s="20"/>
      <c r="FUN160" s="20"/>
      <c r="FUO160" s="20"/>
      <c r="FUP160" s="20"/>
      <c r="FUQ160" s="20"/>
      <c r="FUR160" s="20"/>
      <c r="FUS160" s="20"/>
      <c r="FUT160" s="20"/>
      <c r="FUU160" s="20"/>
      <c r="FUV160" s="20"/>
      <c r="FUW160" s="20"/>
      <c r="FUX160" s="20"/>
      <c r="FUY160" s="20"/>
      <c r="FUZ160" s="20"/>
      <c r="FVA160" s="20"/>
      <c r="FVB160" s="20"/>
      <c r="FVC160" s="20"/>
      <c r="FVD160" s="20"/>
      <c r="FVE160" s="20"/>
      <c r="FVF160" s="20"/>
      <c r="FVG160" s="20"/>
      <c r="FVH160" s="20"/>
      <c r="FVI160" s="20"/>
      <c r="FVJ160" s="20"/>
      <c r="FVK160" s="20"/>
      <c r="FVL160" s="20"/>
      <c r="FVM160" s="20"/>
      <c r="FVN160" s="20"/>
      <c r="FVO160" s="20"/>
      <c r="FVP160" s="20"/>
      <c r="FVQ160" s="20"/>
      <c r="FVR160" s="20"/>
      <c r="FVS160" s="20"/>
      <c r="FVT160" s="20"/>
      <c r="FVU160" s="20"/>
      <c r="FVV160" s="20"/>
      <c r="FVW160" s="20"/>
      <c r="FVX160" s="20"/>
      <c r="FVY160" s="20"/>
      <c r="FVZ160" s="20"/>
      <c r="FWA160" s="20"/>
      <c r="FWB160" s="20"/>
      <c r="FWC160" s="20"/>
      <c r="FWD160" s="20"/>
      <c r="FWE160" s="20"/>
      <c r="FWF160" s="20"/>
      <c r="FWG160" s="20"/>
      <c r="FWH160" s="20"/>
      <c r="FWI160" s="20"/>
      <c r="FWJ160" s="20"/>
      <c r="FWK160" s="20"/>
      <c r="FWL160" s="20"/>
      <c r="FWM160" s="20"/>
      <c r="FWN160" s="20"/>
      <c r="FWO160" s="20"/>
      <c r="FWP160" s="20"/>
      <c r="FWQ160" s="20"/>
      <c r="FWR160" s="20"/>
      <c r="FWS160" s="20"/>
      <c r="FWT160" s="20"/>
      <c r="FWU160" s="20"/>
      <c r="FWV160" s="20"/>
      <c r="FWW160" s="20"/>
      <c r="FWX160" s="20"/>
      <c r="FWY160" s="20"/>
      <c r="FWZ160" s="20"/>
      <c r="FXA160" s="20"/>
      <c r="FXB160" s="20"/>
      <c r="FXC160" s="20"/>
      <c r="FXD160" s="20"/>
      <c r="FXE160" s="20"/>
      <c r="FXF160" s="20"/>
      <c r="FXG160" s="20"/>
      <c r="FXH160" s="20"/>
      <c r="FXI160" s="20"/>
      <c r="FXJ160" s="20"/>
      <c r="FXK160" s="20"/>
      <c r="FXL160" s="20"/>
      <c r="FXM160" s="20"/>
      <c r="FXN160" s="20"/>
      <c r="FXO160" s="20"/>
      <c r="FXP160" s="20"/>
      <c r="FXQ160" s="20"/>
      <c r="FXR160" s="20"/>
      <c r="FXS160" s="20"/>
      <c r="FXT160" s="20"/>
      <c r="FXU160" s="20"/>
      <c r="FXV160" s="20"/>
      <c r="FXW160" s="20"/>
      <c r="FXX160" s="20"/>
      <c r="FXY160" s="20"/>
      <c r="FXZ160" s="20"/>
      <c r="FYA160" s="20"/>
      <c r="FYB160" s="20"/>
      <c r="FYC160" s="20"/>
      <c r="FYD160" s="20"/>
      <c r="FYE160" s="20"/>
      <c r="FYF160" s="20"/>
      <c r="FYG160" s="20"/>
      <c r="FYH160" s="20"/>
      <c r="FYI160" s="20"/>
      <c r="FYJ160" s="20"/>
      <c r="FYK160" s="20"/>
      <c r="FYL160" s="20"/>
      <c r="FYM160" s="20"/>
      <c r="FYN160" s="20"/>
      <c r="FYO160" s="20"/>
      <c r="FYP160" s="20"/>
      <c r="FYQ160" s="20"/>
      <c r="FYR160" s="20"/>
      <c r="FYS160" s="20"/>
      <c r="FYT160" s="20"/>
      <c r="FYU160" s="20"/>
      <c r="FYV160" s="20"/>
      <c r="FYW160" s="20"/>
      <c r="FYX160" s="20"/>
      <c r="FYY160" s="20"/>
      <c r="FYZ160" s="20"/>
      <c r="FZA160" s="20"/>
      <c r="FZB160" s="20"/>
      <c r="FZC160" s="20"/>
      <c r="FZD160" s="20"/>
      <c r="FZE160" s="20"/>
      <c r="FZF160" s="20"/>
      <c r="FZG160" s="20"/>
      <c r="FZH160" s="20"/>
      <c r="FZI160" s="20"/>
      <c r="FZJ160" s="20"/>
      <c r="FZK160" s="20"/>
      <c r="FZL160" s="20"/>
      <c r="FZM160" s="20"/>
      <c r="FZN160" s="20"/>
      <c r="FZO160" s="20"/>
      <c r="FZP160" s="20"/>
      <c r="FZQ160" s="20"/>
      <c r="FZR160" s="20"/>
      <c r="FZS160" s="20"/>
      <c r="FZT160" s="20"/>
      <c r="FZU160" s="20"/>
      <c r="FZV160" s="20"/>
      <c r="FZW160" s="20"/>
      <c r="FZX160" s="20"/>
      <c r="FZY160" s="20"/>
      <c r="FZZ160" s="20"/>
      <c r="GAA160" s="20"/>
      <c r="GAB160" s="20"/>
      <c r="GAC160" s="20"/>
      <c r="GAD160" s="20"/>
      <c r="GAE160" s="20"/>
      <c r="GAF160" s="20"/>
      <c r="GAG160" s="20"/>
      <c r="GAH160" s="20"/>
      <c r="GAI160" s="20"/>
      <c r="GAJ160" s="20"/>
      <c r="GAK160" s="20"/>
      <c r="GAL160" s="20"/>
      <c r="GAM160" s="20"/>
      <c r="GAN160" s="20"/>
      <c r="GAO160" s="20"/>
      <c r="GAP160" s="20"/>
      <c r="GAQ160" s="20"/>
      <c r="GAR160" s="20"/>
      <c r="GAS160" s="20"/>
      <c r="GAT160" s="20"/>
      <c r="GAU160" s="20"/>
      <c r="GAV160" s="20"/>
      <c r="GAW160" s="20"/>
      <c r="GAX160" s="20"/>
      <c r="GAY160" s="20"/>
      <c r="GAZ160" s="20"/>
      <c r="GBA160" s="20"/>
      <c r="GBB160" s="20"/>
      <c r="GBC160" s="20"/>
      <c r="GBD160" s="20"/>
      <c r="GBE160" s="20"/>
      <c r="GBF160" s="20"/>
      <c r="GBG160" s="20"/>
      <c r="GBH160" s="20"/>
      <c r="GBI160" s="20"/>
      <c r="GBJ160" s="20"/>
      <c r="GBK160" s="20"/>
      <c r="GBL160" s="20"/>
      <c r="GBM160" s="20"/>
      <c r="GBN160" s="20"/>
      <c r="GBO160" s="20"/>
      <c r="GBP160" s="20"/>
      <c r="GBQ160" s="20"/>
      <c r="GBR160" s="20"/>
      <c r="GBS160" s="20"/>
      <c r="GBT160" s="20"/>
      <c r="GBU160" s="20"/>
      <c r="GBV160" s="20"/>
      <c r="GBW160" s="20"/>
      <c r="GBX160" s="20"/>
      <c r="GBY160" s="20"/>
      <c r="GBZ160" s="20"/>
      <c r="GCA160" s="20"/>
      <c r="GCB160" s="20"/>
      <c r="GCC160" s="20"/>
      <c r="GCD160" s="20"/>
      <c r="GCE160" s="20"/>
      <c r="GCF160" s="20"/>
      <c r="GCG160" s="20"/>
      <c r="GCH160" s="20"/>
      <c r="GCI160" s="20"/>
      <c r="GCJ160" s="20"/>
      <c r="GCK160" s="20"/>
      <c r="GCL160" s="20"/>
      <c r="GCM160" s="20"/>
      <c r="GCN160" s="20"/>
      <c r="GCO160" s="20"/>
      <c r="GCP160" s="20"/>
      <c r="GCQ160" s="20"/>
      <c r="GCR160" s="20"/>
      <c r="GCS160" s="20"/>
      <c r="GCT160" s="20"/>
      <c r="GCU160" s="20"/>
      <c r="GCV160" s="20"/>
      <c r="GCW160" s="20"/>
      <c r="GCX160" s="20"/>
      <c r="GCY160" s="20"/>
      <c r="GCZ160" s="20"/>
      <c r="GDA160" s="20"/>
      <c r="GDB160" s="20"/>
      <c r="GDC160" s="20"/>
      <c r="GDD160" s="20"/>
      <c r="GDE160" s="20"/>
      <c r="GDF160" s="20"/>
      <c r="GDG160" s="20"/>
      <c r="GDH160" s="20"/>
      <c r="GDI160" s="20"/>
      <c r="GDJ160" s="20"/>
      <c r="GDK160" s="20"/>
      <c r="GDL160" s="20"/>
      <c r="GDM160" s="20"/>
      <c r="GDN160" s="20"/>
      <c r="GDO160" s="20"/>
      <c r="GDP160" s="20"/>
      <c r="GDQ160" s="20"/>
      <c r="GDR160" s="20"/>
      <c r="GDS160" s="20"/>
      <c r="GDT160" s="20"/>
      <c r="GDU160" s="20"/>
      <c r="GDV160" s="20"/>
      <c r="GDW160" s="20"/>
      <c r="GDX160" s="20"/>
      <c r="GDY160" s="20"/>
      <c r="GDZ160" s="20"/>
      <c r="GEA160" s="20"/>
      <c r="GEB160" s="20"/>
      <c r="GEC160" s="20"/>
      <c r="GED160" s="20"/>
      <c r="GEE160" s="20"/>
      <c r="GEF160" s="20"/>
      <c r="GEG160" s="20"/>
      <c r="GEH160" s="20"/>
      <c r="GEI160" s="20"/>
      <c r="GEJ160" s="20"/>
      <c r="GEK160" s="20"/>
      <c r="GEL160" s="20"/>
      <c r="GEM160" s="20"/>
      <c r="GEN160" s="20"/>
      <c r="GEO160" s="20"/>
      <c r="GEP160" s="20"/>
      <c r="GEQ160" s="20"/>
      <c r="GER160" s="20"/>
      <c r="GES160" s="20"/>
      <c r="GET160" s="20"/>
      <c r="GEU160" s="20"/>
      <c r="GEV160" s="20"/>
      <c r="GEW160" s="20"/>
      <c r="GEX160" s="20"/>
      <c r="GEY160" s="20"/>
      <c r="GEZ160" s="20"/>
      <c r="GFA160" s="20"/>
      <c r="GFB160" s="20"/>
      <c r="GFC160" s="20"/>
      <c r="GFD160" s="20"/>
      <c r="GFE160" s="20"/>
      <c r="GFF160" s="20"/>
      <c r="GFG160" s="20"/>
      <c r="GFH160" s="20"/>
      <c r="GFI160" s="20"/>
      <c r="GFJ160" s="20"/>
      <c r="GFK160" s="20"/>
      <c r="GFL160" s="20"/>
      <c r="GFM160" s="20"/>
      <c r="GFN160" s="20"/>
      <c r="GFO160" s="20"/>
      <c r="GFP160" s="20"/>
      <c r="GFQ160" s="20"/>
      <c r="GFR160" s="20"/>
      <c r="GFS160" s="20"/>
      <c r="GFT160" s="20"/>
      <c r="GFU160" s="20"/>
      <c r="GFV160" s="20"/>
      <c r="GFW160" s="20"/>
      <c r="GFX160" s="20"/>
      <c r="GFY160" s="20"/>
      <c r="GFZ160" s="20"/>
      <c r="GGA160" s="20"/>
      <c r="GGB160" s="20"/>
      <c r="GGC160" s="20"/>
      <c r="GGD160" s="20"/>
      <c r="GGE160" s="20"/>
      <c r="GGF160" s="20"/>
      <c r="GGG160" s="20"/>
      <c r="GGH160" s="20"/>
      <c r="GGI160" s="20"/>
      <c r="GGJ160" s="20"/>
      <c r="GGK160" s="20"/>
      <c r="GGL160" s="20"/>
      <c r="GGM160" s="20"/>
      <c r="GGN160" s="20"/>
      <c r="GGO160" s="20"/>
      <c r="GGP160" s="20"/>
      <c r="GGQ160" s="20"/>
      <c r="GGR160" s="20"/>
      <c r="GGS160" s="20"/>
      <c r="GGT160" s="20"/>
      <c r="GGU160" s="20"/>
      <c r="GGV160" s="20"/>
      <c r="GGW160" s="20"/>
      <c r="GGX160" s="20"/>
      <c r="GGY160" s="20"/>
      <c r="GGZ160" s="20"/>
      <c r="GHA160" s="20"/>
      <c r="GHB160" s="20"/>
      <c r="GHC160" s="20"/>
      <c r="GHD160" s="20"/>
      <c r="GHE160" s="20"/>
      <c r="GHF160" s="20"/>
      <c r="GHG160" s="20"/>
      <c r="GHH160" s="20"/>
      <c r="GHI160" s="20"/>
      <c r="GHJ160" s="20"/>
      <c r="GHK160" s="20"/>
      <c r="GHL160" s="20"/>
      <c r="GHM160" s="20"/>
      <c r="GHN160" s="20"/>
      <c r="GHO160" s="20"/>
      <c r="GHP160" s="20"/>
      <c r="GHQ160" s="20"/>
      <c r="GHR160" s="20"/>
      <c r="GHS160" s="20"/>
      <c r="GHT160" s="20"/>
      <c r="GHU160" s="20"/>
      <c r="GHV160" s="20"/>
      <c r="GHW160" s="20"/>
      <c r="GHX160" s="20"/>
      <c r="GHY160" s="20"/>
      <c r="GHZ160" s="20"/>
      <c r="GIA160" s="20"/>
      <c r="GIB160" s="20"/>
      <c r="GIC160" s="20"/>
      <c r="GID160" s="20"/>
      <c r="GIE160" s="20"/>
      <c r="GIF160" s="20"/>
      <c r="GIG160" s="20"/>
      <c r="GIH160" s="20"/>
      <c r="GII160" s="20"/>
      <c r="GIJ160" s="20"/>
      <c r="GIK160" s="20"/>
      <c r="GIL160" s="20"/>
      <c r="GIM160" s="20"/>
      <c r="GIN160" s="20"/>
      <c r="GIO160" s="20"/>
      <c r="GIP160" s="20"/>
      <c r="GIQ160" s="20"/>
      <c r="GIR160" s="20"/>
      <c r="GIS160" s="20"/>
      <c r="GIT160" s="20"/>
      <c r="GIU160" s="20"/>
      <c r="GIV160" s="20"/>
      <c r="GIW160" s="20"/>
      <c r="GIX160" s="20"/>
      <c r="GIY160" s="20"/>
      <c r="GIZ160" s="20"/>
      <c r="GJA160" s="20"/>
      <c r="GJB160" s="20"/>
      <c r="GJC160" s="20"/>
      <c r="GJD160" s="20"/>
      <c r="GJE160" s="20"/>
      <c r="GJF160" s="20"/>
      <c r="GJG160" s="20"/>
      <c r="GJH160" s="20"/>
      <c r="GJI160" s="20"/>
      <c r="GJJ160" s="20"/>
      <c r="GJK160" s="20"/>
      <c r="GJL160" s="20"/>
      <c r="GJM160" s="20"/>
      <c r="GJN160" s="20"/>
      <c r="GJO160" s="20"/>
      <c r="GJP160" s="20"/>
      <c r="GJQ160" s="20"/>
      <c r="GJR160" s="20"/>
      <c r="GJS160" s="20"/>
      <c r="GJT160" s="20"/>
      <c r="GJU160" s="20"/>
      <c r="GJV160" s="20"/>
      <c r="GJW160" s="20"/>
      <c r="GJX160" s="20"/>
      <c r="GJY160" s="20"/>
      <c r="GJZ160" s="20"/>
      <c r="GKA160" s="20"/>
      <c r="GKB160" s="20"/>
      <c r="GKC160" s="20"/>
      <c r="GKD160" s="20"/>
      <c r="GKE160" s="20"/>
      <c r="GKF160" s="20"/>
      <c r="GKG160" s="20"/>
      <c r="GKH160" s="20"/>
      <c r="GKI160" s="20"/>
      <c r="GKJ160" s="20"/>
      <c r="GKK160" s="20"/>
      <c r="GKL160" s="20"/>
      <c r="GKM160" s="20"/>
      <c r="GKN160" s="20"/>
      <c r="GKO160" s="20"/>
      <c r="GKP160" s="20"/>
      <c r="GKQ160" s="20"/>
      <c r="GKR160" s="20"/>
      <c r="GKS160" s="20"/>
      <c r="GKT160" s="20"/>
      <c r="GKU160" s="20"/>
      <c r="GKV160" s="20"/>
      <c r="GKW160" s="20"/>
      <c r="GKX160" s="20"/>
      <c r="GKY160" s="20"/>
      <c r="GKZ160" s="20"/>
      <c r="GLA160" s="20"/>
      <c r="GLB160" s="20"/>
      <c r="GLC160" s="20"/>
      <c r="GLD160" s="20"/>
      <c r="GLE160" s="20"/>
      <c r="GLF160" s="20"/>
      <c r="GLG160" s="20"/>
      <c r="GLH160" s="20"/>
      <c r="GLI160" s="20"/>
      <c r="GLJ160" s="20"/>
      <c r="GLK160" s="20"/>
      <c r="GLL160" s="20"/>
      <c r="GLM160" s="20"/>
      <c r="GLN160" s="20"/>
      <c r="GLO160" s="20"/>
      <c r="GLP160" s="20"/>
      <c r="GLQ160" s="20"/>
      <c r="GLR160" s="20"/>
      <c r="GLS160" s="20"/>
      <c r="GLT160" s="20"/>
      <c r="GLU160" s="20"/>
      <c r="GLV160" s="20"/>
      <c r="GLW160" s="20"/>
      <c r="GLX160" s="20"/>
      <c r="GLY160" s="20"/>
      <c r="GLZ160" s="20"/>
      <c r="GMA160" s="20"/>
      <c r="GMB160" s="20"/>
      <c r="GMC160" s="20"/>
      <c r="GMD160" s="20"/>
      <c r="GME160" s="20"/>
      <c r="GMF160" s="20"/>
      <c r="GMG160" s="20"/>
      <c r="GMH160" s="20"/>
      <c r="GMI160" s="20"/>
      <c r="GMJ160" s="20"/>
      <c r="GMK160" s="20"/>
      <c r="GML160" s="20"/>
      <c r="GMM160" s="20"/>
      <c r="GMN160" s="20"/>
      <c r="GMO160" s="20"/>
      <c r="GMP160" s="20"/>
      <c r="GMQ160" s="20"/>
      <c r="GMR160" s="20"/>
      <c r="GMS160" s="20"/>
      <c r="GMT160" s="20"/>
      <c r="GMU160" s="20"/>
      <c r="GMV160" s="20"/>
      <c r="GMW160" s="20"/>
      <c r="GMX160" s="20"/>
      <c r="GMY160" s="20"/>
      <c r="GMZ160" s="20"/>
      <c r="GNA160" s="20"/>
      <c r="GNB160" s="20"/>
      <c r="GNC160" s="20"/>
      <c r="GND160" s="20"/>
      <c r="GNE160" s="20"/>
      <c r="GNF160" s="20"/>
      <c r="GNG160" s="20"/>
      <c r="GNH160" s="20"/>
      <c r="GNI160" s="20"/>
      <c r="GNJ160" s="20"/>
      <c r="GNK160" s="20"/>
      <c r="GNL160" s="20"/>
      <c r="GNM160" s="20"/>
      <c r="GNN160" s="20"/>
      <c r="GNO160" s="20"/>
      <c r="GNP160" s="20"/>
      <c r="GNQ160" s="20"/>
      <c r="GNR160" s="20"/>
      <c r="GNS160" s="20"/>
      <c r="GNT160" s="20"/>
      <c r="GNU160" s="20"/>
      <c r="GNV160" s="20"/>
      <c r="GNW160" s="20"/>
      <c r="GNX160" s="20"/>
      <c r="GNY160" s="20"/>
      <c r="GNZ160" s="20"/>
      <c r="GOA160" s="20"/>
      <c r="GOB160" s="20"/>
      <c r="GOC160" s="20"/>
      <c r="GOD160" s="20"/>
      <c r="GOE160" s="20"/>
      <c r="GOF160" s="20"/>
      <c r="GOG160" s="20"/>
      <c r="GOH160" s="20"/>
      <c r="GOI160" s="20"/>
      <c r="GOJ160" s="20"/>
      <c r="GOK160" s="20"/>
      <c r="GOL160" s="20"/>
      <c r="GOM160" s="20"/>
      <c r="GON160" s="20"/>
      <c r="GOO160" s="20"/>
      <c r="GOP160" s="20"/>
      <c r="GOQ160" s="20"/>
      <c r="GOR160" s="20"/>
      <c r="GOS160" s="20"/>
      <c r="GOT160" s="20"/>
      <c r="GOU160" s="20"/>
      <c r="GOV160" s="20"/>
      <c r="GOW160" s="20"/>
      <c r="GOX160" s="20"/>
      <c r="GOY160" s="20"/>
      <c r="GOZ160" s="20"/>
      <c r="GPA160" s="20"/>
      <c r="GPB160" s="20"/>
      <c r="GPC160" s="20"/>
      <c r="GPD160" s="20"/>
      <c r="GPE160" s="20"/>
      <c r="GPF160" s="20"/>
      <c r="GPG160" s="20"/>
      <c r="GPH160" s="20"/>
      <c r="GPI160" s="20"/>
      <c r="GPJ160" s="20"/>
      <c r="GPK160" s="20"/>
      <c r="GPL160" s="20"/>
      <c r="GPM160" s="20"/>
      <c r="GPN160" s="20"/>
      <c r="GPO160" s="20"/>
      <c r="GPP160" s="20"/>
      <c r="GPQ160" s="20"/>
      <c r="GPR160" s="20"/>
      <c r="GPS160" s="20"/>
      <c r="GPT160" s="20"/>
      <c r="GPU160" s="20"/>
      <c r="GPV160" s="20"/>
      <c r="GPW160" s="20"/>
      <c r="GPX160" s="20"/>
      <c r="GPY160" s="20"/>
      <c r="GPZ160" s="20"/>
      <c r="GQA160" s="20"/>
      <c r="GQB160" s="20"/>
      <c r="GQC160" s="20"/>
      <c r="GQD160" s="20"/>
      <c r="GQE160" s="20"/>
      <c r="GQF160" s="20"/>
      <c r="GQG160" s="20"/>
      <c r="GQH160" s="20"/>
      <c r="GQI160" s="20"/>
      <c r="GQJ160" s="20"/>
      <c r="GQK160" s="20"/>
      <c r="GQL160" s="20"/>
      <c r="GQM160" s="20"/>
      <c r="GQN160" s="20"/>
      <c r="GQO160" s="20"/>
      <c r="GQP160" s="20"/>
      <c r="GQQ160" s="20"/>
      <c r="GQR160" s="20"/>
      <c r="GQS160" s="20"/>
      <c r="GQT160" s="20"/>
      <c r="GQU160" s="20"/>
      <c r="GQV160" s="20"/>
      <c r="GQW160" s="20"/>
      <c r="GQX160" s="20"/>
      <c r="GQY160" s="20"/>
      <c r="GQZ160" s="20"/>
      <c r="GRA160" s="20"/>
      <c r="GRB160" s="20"/>
      <c r="GRC160" s="20"/>
      <c r="GRD160" s="20"/>
      <c r="GRE160" s="20"/>
      <c r="GRF160" s="20"/>
      <c r="GRG160" s="20"/>
      <c r="GRH160" s="20"/>
      <c r="GRI160" s="20"/>
      <c r="GRJ160" s="20"/>
      <c r="GRK160" s="20"/>
      <c r="GRL160" s="20"/>
      <c r="GRM160" s="20"/>
      <c r="GRN160" s="20"/>
      <c r="GRO160" s="20"/>
      <c r="GRP160" s="20"/>
      <c r="GRQ160" s="20"/>
      <c r="GRR160" s="20"/>
      <c r="GRS160" s="20"/>
      <c r="GRT160" s="20"/>
      <c r="GRU160" s="20"/>
      <c r="GRV160" s="20"/>
      <c r="GRW160" s="20"/>
      <c r="GRX160" s="20"/>
      <c r="GRY160" s="20"/>
      <c r="GRZ160" s="20"/>
      <c r="GSA160" s="20"/>
      <c r="GSB160" s="20"/>
      <c r="GSC160" s="20"/>
      <c r="GSD160" s="20"/>
      <c r="GSE160" s="20"/>
      <c r="GSF160" s="20"/>
      <c r="GSG160" s="20"/>
      <c r="GSH160" s="20"/>
      <c r="GSI160" s="20"/>
      <c r="GSJ160" s="20"/>
      <c r="GSK160" s="20"/>
      <c r="GSL160" s="20"/>
      <c r="GSM160" s="20"/>
      <c r="GSN160" s="20"/>
      <c r="GSO160" s="20"/>
      <c r="GSP160" s="20"/>
      <c r="GSQ160" s="20"/>
      <c r="GSR160" s="20"/>
      <c r="GSS160" s="20"/>
      <c r="GST160" s="20"/>
      <c r="GSU160" s="20"/>
      <c r="GSV160" s="20"/>
      <c r="GSW160" s="20"/>
      <c r="GSX160" s="20"/>
      <c r="GSY160" s="20"/>
      <c r="GSZ160" s="20"/>
      <c r="GTA160" s="20"/>
      <c r="GTB160" s="20"/>
      <c r="GTC160" s="20"/>
      <c r="GTD160" s="20"/>
      <c r="GTE160" s="20"/>
      <c r="GTF160" s="20"/>
      <c r="GTG160" s="20"/>
      <c r="GTH160" s="20"/>
      <c r="GTI160" s="20"/>
      <c r="GTJ160" s="20"/>
      <c r="GTK160" s="20"/>
      <c r="GTL160" s="20"/>
      <c r="GTM160" s="20"/>
      <c r="GTN160" s="20"/>
      <c r="GTO160" s="20"/>
      <c r="GTP160" s="20"/>
      <c r="GTQ160" s="20"/>
      <c r="GTR160" s="20"/>
      <c r="GTS160" s="20"/>
      <c r="GTT160" s="20"/>
      <c r="GTU160" s="20"/>
      <c r="GTV160" s="20"/>
      <c r="GTW160" s="20"/>
      <c r="GTX160" s="20"/>
      <c r="GTY160" s="20"/>
      <c r="GTZ160" s="20"/>
      <c r="GUA160" s="20"/>
      <c r="GUB160" s="20"/>
      <c r="GUC160" s="20"/>
      <c r="GUD160" s="20"/>
      <c r="GUE160" s="20"/>
      <c r="GUF160" s="20"/>
      <c r="GUG160" s="20"/>
      <c r="GUH160" s="20"/>
      <c r="GUI160" s="20"/>
      <c r="GUJ160" s="20"/>
      <c r="GUK160" s="20"/>
      <c r="GUL160" s="20"/>
      <c r="GUM160" s="20"/>
      <c r="GUN160" s="20"/>
      <c r="GUO160" s="20"/>
      <c r="GUP160" s="20"/>
      <c r="GUQ160" s="20"/>
      <c r="GUR160" s="20"/>
      <c r="GUS160" s="20"/>
      <c r="GUT160" s="20"/>
      <c r="GUU160" s="20"/>
      <c r="GUV160" s="20"/>
      <c r="GUW160" s="20"/>
      <c r="GUX160" s="20"/>
      <c r="GUY160" s="20"/>
      <c r="GUZ160" s="20"/>
      <c r="GVA160" s="20"/>
      <c r="GVB160" s="20"/>
      <c r="GVC160" s="20"/>
      <c r="GVD160" s="20"/>
      <c r="GVE160" s="20"/>
      <c r="GVF160" s="20"/>
      <c r="GVG160" s="20"/>
      <c r="GVH160" s="20"/>
      <c r="GVI160" s="20"/>
      <c r="GVJ160" s="20"/>
      <c r="GVK160" s="20"/>
      <c r="GVL160" s="20"/>
      <c r="GVM160" s="20"/>
      <c r="GVN160" s="20"/>
      <c r="GVO160" s="20"/>
      <c r="GVP160" s="20"/>
      <c r="GVQ160" s="20"/>
      <c r="GVR160" s="20"/>
      <c r="GVS160" s="20"/>
      <c r="GVT160" s="20"/>
      <c r="GVU160" s="20"/>
      <c r="GVV160" s="20"/>
      <c r="GVW160" s="20"/>
      <c r="GVX160" s="20"/>
      <c r="GVY160" s="20"/>
      <c r="GVZ160" s="20"/>
      <c r="GWA160" s="20"/>
      <c r="GWB160" s="20"/>
      <c r="GWC160" s="20"/>
      <c r="GWD160" s="20"/>
      <c r="GWE160" s="20"/>
      <c r="GWF160" s="20"/>
      <c r="GWG160" s="20"/>
      <c r="GWH160" s="20"/>
      <c r="GWI160" s="20"/>
      <c r="GWJ160" s="20"/>
      <c r="GWK160" s="20"/>
      <c r="GWL160" s="20"/>
      <c r="GWM160" s="20"/>
      <c r="GWN160" s="20"/>
      <c r="GWO160" s="20"/>
      <c r="GWP160" s="20"/>
      <c r="GWQ160" s="20"/>
      <c r="GWR160" s="20"/>
      <c r="GWS160" s="20"/>
      <c r="GWT160" s="20"/>
      <c r="GWU160" s="20"/>
      <c r="GWV160" s="20"/>
      <c r="GWW160" s="20"/>
      <c r="GWX160" s="20"/>
      <c r="GWY160" s="20"/>
      <c r="GWZ160" s="20"/>
      <c r="GXA160" s="20"/>
      <c r="GXB160" s="20"/>
      <c r="GXC160" s="20"/>
      <c r="GXD160" s="20"/>
      <c r="GXE160" s="20"/>
      <c r="GXF160" s="20"/>
      <c r="GXG160" s="20"/>
      <c r="GXH160" s="20"/>
      <c r="GXI160" s="20"/>
      <c r="GXJ160" s="20"/>
      <c r="GXK160" s="20"/>
      <c r="GXL160" s="20"/>
      <c r="GXM160" s="20"/>
      <c r="GXN160" s="20"/>
      <c r="GXO160" s="20"/>
      <c r="GXP160" s="20"/>
      <c r="GXQ160" s="20"/>
      <c r="GXR160" s="20"/>
      <c r="GXS160" s="20"/>
      <c r="GXT160" s="20"/>
      <c r="GXU160" s="20"/>
      <c r="GXV160" s="20"/>
      <c r="GXW160" s="20"/>
      <c r="GXX160" s="20"/>
      <c r="GXY160" s="20"/>
      <c r="GXZ160" s="20"/>
      <c r="GYA160" s="20"/>
      <c r="GYB160" s="20"/>
      <c r="GYC160" s="20"/>
      <c r="GYD160" s="20"/>
      <c r="GYE160" s="20"/>
      <c r="GYF160" s="20"/>
      <c r="GYG160" s="20"/>
      <c r="GYH160" s="20"/>
      <c r="GYI160" s="20"/>
      <c r="GYJ160" s="20"/>
      <c r="GYK160" s="20"/>
      <c r="GYL160" s="20"/>
      <c r="GYM160" s="20"/>
      <c r="GYN160" s="20"/>
      <c r="GYO160" s="20"/>
      <c r="GYP160" s="20"/>
      <c r="GYQ160" s="20"/>
      <c r="GYR160" s="20"/>
      <c r="GYS160" s="20"/>
      <c r="GYT160" s="20"/>
      <c r="GYU160" s="20"/>
      <c r="GYV160" s="20"/>
      <c r="GYW160" s="20"/>
      <c r="GYX160" s="20"/>
      <c r="GYY160" s="20"/>
      <c r="GYZ160" s="20"/>
      <c r="GZA160" s="20"/>
      <c r="GZB160" s="20"/>
      <c r="GZC160" s="20"/>
      <c r="GZD160" s="20"/>
      <c r="GZE160" s="20"/>
      <c r="GZF160" s="20"/>
      <c r="GZG160" s="20"/>
      <c r="GZH160" s="20"/>
      <c r="GZI160" s="20"/>
      <c r="GZJ160" s="20"/>
      <c r="GZK160" s="20"/>
      <c r="GZL160" s="20"/>
      <c r="GZM160" s="20"/>
      <c r="GZN160" s="20"/>
      <c r="GZO160" s="20"/>
      <c r="GZP160" s="20"/>
      <c r="GZQ160" s="20"/>
      <c r="GZR160" s="20"/>
      <c r="GZS160" s="20"/>
      <c r="GZT160" s="20"/>
      <c r="GZU160" s="20"/>
      <c r="GZV160" s="20"/>
      <c r="GZW160" s="20"/>
      <c r="GZX160" s="20"/>
      <c r="GZY160" s="20"/>
      <c r="GZZ160" s="20"/>
      <c r="HAA160" s="20"/>
      <c r="HAB160" s="20"/>
      <c r="HAC160" s="20"/>
      <c r="HAD160" s="20"/>
      <c r="HAE160" s="20"/>
      <c r="HAF160" s="20"/>
      <c r="HAG160" s="20"/>
      <c r="HAH160" s="20"/>
      <c r="HAI160" s="20"/>
      <c r="HAJ160" s="20"/>
      <c r="HAK160" s="20"/>
      <c r="HAL160" s="20"/>
      <c r="HAM160" s="20"/>
      <c r="HAN160" s="20"/>
      <c r="HAO160" s="20"/>
      <c r="HAP160" s="20"/>
      <c r="HAQ160" s="20"/>
      <c r="HAR160" s="20"/>
      <c r="HAS160" s="20"/>
      <c r="HAT160" s="20"/>
      <c r="HAU160" s="20"/>
      <c r="HAV160" s="20"/>
      <c r="HAW160" s="20"/>
      <c r="HAX160" s="20"/>
      <c r="HAY160" s="20"/>
      <c r="HAZ160" s="20"/>
      <c r="HBA160" s="20"/>
      <c r="HBB160" s="20"/>
      <c r="HBC160" s="20"/>
      <c r="HBD160" s="20"/>
      <c r="HBE160" s="20"/>
      <c r="HBF160" s="20"/>
      <c r="HBG160" s="20"/>
      <c r="HBH160" s="20"/>
      <c r="HBI160" s="20"/>
      <c r="HBJ160" s="20"/>
      <c r="HBK160" s="20"/>
      <c r="HBL160" s="20"/>
      <c r="HBM160" s="20"/>
      <c r="HBN160" s="20"/>
      <c r="HBO160" s="20"/>
      <c r="HBP160" s="20"/>
      <c r="HBQ160" s="20"/>
      <c r="HBR160" s="20"/>
      <c r="HBS160" s="20"/>
      <c r="HBT160" s="20"/>
      <c r="HBU160" s="20"/>
      <c r="HBV160" s="20"/>
      <c r="HBW160" s="20"/>
      <c r="HBX160" s="20"/>
      <c r="HBY160" s="20"/>
      <c r="HBZ160" s="20"/>
      <c r="HCA160" s="20"/>
      <c r="HCB160" s="20"/>
      <c r="HCC160" s="20"/>
      <c r="HCD160" s="20"/>
      <c r="HCE160" s="20"/>
      <c r="HCF160" s="20"/>
      <c r="HCG160" s="20"/>
      <c r="HCH160" s="20"/>
      <c r="HCI160" s="20"/>
      <c r="HCJ160" s="20"/>
      <c r="HCK160" s="20"/>
      <c r="HCL160" s="20"/>
      <c r="HCM160" s="20"/>
      <c r="HCN160" s="20"/>
      <c r="HCO160" s="20"/>
      <c r="HCP160" s="20"/>
      <c r="HCQ160" s="20"/>
      <c r="HCR160" s="20"/>
      <c r="HCS160" s="20"/>
      <c r="HCT160" s="20"/>
      <c r="HCU160" s="20"/>
      <c r="HCV160" s="20"/>
      <c r="HCW160" s="20"/>
      <c r="HCX160" s="20"/>
      <c r="HCY160" s="20"/>
      <c r="HCZ160" s="20"/>
      <c r="HDA160" s="20"/>
      <c r="HDB160" s="20"/>
      <c r="HDC160" s="20"/>
      <c r="HDD160" s="20"/>
      <c r="HDE160" s="20"/>
      <c r="HDF160" s="20"/>
      <c r="HDG160" s="20"/>
      <c r="HDH160" s="20"/>
      <c r="HDI160" s="20"/>
      <c r="HDJ160" s="20"/>
      <c r="HDK160" s="20"/>
      <c r="HDL160" s="20"/>
      <c r="HDM160" s="20"/>
      <c r="HDN160" s="20"/>
      <c r="HDO160" s="20"/>
      <c r="HDP160" s="20"/>
      <c r="HDQ160" s="20"/>
      <c r="HDR160" s="20"/>
      <c r="HDS160" s="20"/>
      <c r="HDT160" s="20"/>
      <c r="HDU160" s="20"/>
      <c r="HDV160" s="20"/>
      <c r="HDW160" s="20"/>
      <c r="HDX160" s="20"/>
      <c r="HDY160" s="20"/>
      <c r="HDZ160" s="20"/>
      <c r="HEA160" s="20"/>
      <c r="HEB160" s="20"/>
      <c r="HEC160" s="20"/>
      <c r="HED160" s="20"/>
      <c r="HEE160" s="20"/>
      <c r="HEF160" s="20"/>
      <c r="HEG160" s="20"/>
      <c r="HEH160" s="20"/>
      <c r="HEI160" s="20"/>
      <c r="HEJ160" s="20"/>
      <c r="HEK160" s="20"/>
      <c r="HEL160" s="20"/>
      <c r="HEM160" s="20"/>
      <c r="HEN160" s="20"/>
      <c r="HEO160" s="20"/>
      <c r="HEP160" s="20"/>
      <c r="HEQ160" s="20"/>
      <c r="HER160" s="20"/>
      <c r="HES160" s="20"/>
      <c r="HET160" s="20"/>
      <c r="HEU160" s="20"/>
      <c r="HEV160" s="20"/>
      <c r="HEW160" s="20"/>
      <c r="HEX160" s="20"/>
      <c r="HEY160" s="20"/>
      <c r="HEZ160" s="20"/>
      <c r="HFA160" s="20"/>
      <c r="HFB160" s="20"/>
      <c r="HFC160" s="20"/>
      <c r="HFD160" s="20"/>
      <c r="HFE160" s="20"/>
      <c r="HFF160" s="20"/>
      <c r="HFG160" s="20"/>
      <c r="HFH160" s="20"/>
      <c r="HFI160" s="20"/>
      <c r="HFJ160" s="20"/>
      <c r="HFK160" s="20"/>
      <c r="HFL160" s="20"/>
      <c r="HFM160" s="20"/>
      <c r="HFN160" s="20"/>
      <c r="HFO160" s="20"/>
      <c r="HFP160" s="20"/>
      <c r="HFQ160" s="20"/>
      <c r="HFR160" s="20"/>
      <c r="HFS160" s="20"/>
      <c r="HFT160" s="20"/>
      <c r="HFU160" s="20"/>
      <c r="HFV160" s="20"/>
      <c r="HFW160" s="20"/>
      <c r="HFX160" s="20"/>
      <c r="HFY160" s="20"/>
      <c r="HFZ160" s="20"/>
      <c r="HGA160" s="20"/>
      <c r="HGB160" s="20"/>
      <c r="HGC160" s="20"/>
      <c r="HGD160" s="20"/>
      <c r="HGE160" s="20"/>
      <c r="HGF160" s="20"/>
      <c r="HGG160" s="20"/>
      <c r="HGH160" s="20"/>
      <c r="HGI160" s="20"/>
      <c r="HGJ160" s="20"/>
      <c r="HGK160" s="20"/>
      <c r="HGL160" s="20"/>
      <c r="HGM160" s="20"/>
      <c r="HGN160" s="20"/>
      <c r="HGO160" s="20"/>
      <c r="HGP160" s="20"/>
      <c r="HGQ160" s="20"/>
      <c r="HGR160" s="20"/>
      <c r="HGS160" s="20"/>
      <c r="HGT160" s="20"/>
      <c r="HGU160" s="20"/>
      <c r="HGV160" s="20"/>
      <c r="HGW160" s="20"/>
      <c r="HGX160" s="20"/>
      <c r="HGY160" s="20"/>
      <c r="HGZ160" s="20"/>
      <c r="HHA160" s="20"/>
      <c r="HHB160" s="20"/>
      <c r="HHC160" s="20"/>
      <c r="HHD160" s="20"/>
      <c r="HHE160" s="20"/>
      <c r="HHF160" s="20"/>
      <c r="HHG160" s="20"/>
      <c r="HHH160" s="20"/>
      <c r="HHI160" s="20"/>
      <c r="HHJ160" s="20"/>
      <c r="HHK160" s="20"/>
      <c r="HHL160" s="20"/>
      <c r="HHM160" s="20"/>
      <c r="HHN160" s="20"/>
      <c r="HHO160" s="20"/>
      <c r="HHP160" s="20"/>
      <c r="HHQ160" s="20"/>
      <c r="HHR160" s="20"/>
      <c r="HHS160" s="20"/>
      <c r="HHT160" s="20"/>
      <c r="HHU160" s="20"/>
      <c r="HHV160" s="20"/>
      <c r="HHW160" s="20"/>
      <c r="HHX160" s="20"/>
      <c r="HHY160" s="20"/>
      <c r="HHZ160" s="20"/>
      <c r="HIA160" s="20"/>
      <c r="HIB160" s="20"/>
      <c r="HIC160" s="20"/>
      <c r="HID160" s="20"/>
      <c r="HIE160" s="20"/>
      <c r="HIF160" s="20"/>
      <c r="HIG160" s="20"/>
      <c r="HIH160" s="20"/>
      <c r="HII160" s="20"/>
      <c r="HIJ160" s="20"/>
      <c r="HIK160" s="20"/>
      <c r="HIL160" s="20"/>
      <c r="HIM160" s="20"/>
      <c r="HIN160" s="20"/>
      <c r="HIO160" s="20"/>
      <c r="HIP160" s="20"/>
      <c r="HIQ160" s="20"/>
      <c r="HIR160" s="20"/>
      <c r="HIS160" s="20"/>
      <c r="HIT160" s="20"/>
      <c r="HIU160" s="20"/>
      <c r="HIV160" s="20"/>
      <c r="HIW160" s="20"/>
      <c r="HIX160" s="20"/>
      <c r="HIY160" s="20"/>
      <c r="HIZ160" s="20"/>
      <c r="HJA160" s="20"/>
      <c r="HJB160" s="20"/>
      <c r="HJC160" s="20"/>
      <c r="HJD160" s="20"/>
      <c r="HJE160" s="20"/>
      <c r="HJF160" s="20"/>
      <c r="HJG160" s="20"/>
      <c r="HJH160" s="20"/>
      <c r="HJI160" s="20"/>
      <c r="HJJ160" s="20"/>
      <c r="HJK160" s="20"/>
      <c r="HJL160" s="20"/>
      <c r="HJM160" s="20"/>
      <c r="HJN160" s="20"/>
      <c r="HJO160" s="20"/>
      <c r="HJP160" s="20"/>
      <c r="HJQ160" s="20"/>
      <c r="HJR160" s="20"/>
      <c r="HJS160" s="20"/>
      <c r="HJT160" s="20"/>
      <c r="HJU160" s="20"/>
      <c r="HJV160" s="20"/>
      <c r="HJW160" s="20"/>
      <c r="HJX160" s="20"/>
      <c r="HJY160" s="20"/>
      <c r="HJZ160" s="20"/>
      <c r="HKA160" s="20"/>
      <c r="HKB160" s="20"/>
      <c r="HKC160" s="20"/>
      <c r="HKD160" s="20"/>
      <c r="HKE160" s="20"/>
      <c r="HKF160" s="20"/>
      <c r="HKG160" s="20"/>
      <c r="HKH160" s="20"/>
      <c r="HKI160" s="20"/>
      <c r="HKJ160" s="20"/>
      <c r="HKK160" s="20"/>
      <c r="HKL160" s="20"/>
      <c r="HKM160" s="20"/>
      <c r="HKN160" s="20"/>
      <c r="HKO160" s="20"/>
      <c r="HKP160" s="20"/>
      <c r="HKQ160" s="20"/>
      <c r="HKR160" s="20"/>
      <c r="HKS160" s="20"/>
      <c r="HKT160" s="20"/>
      <c r="HKU160" s="20"/>
      <c r="HKV160" s="20"/>
      <c r="HKW160" s="20"/>
      <c r="HKX160" s="20"/>
      <c r="HKY160" s="20"/>
      <c r="HKZ160" s="20"/>
      <c r="HLA160" s="20"/>
      <c r="HLB160" s="20"/>
      <c r="HLC160" s="20"/>
      <c r="HLD160" s="20"/>
      <c r="HLE160" s="20"/>
      <c r="HLF160" s="20"/>
      <c r="HLG160" s="20"/>
      <c r="HLH160" s="20"/>
      <c r="HLI160" s="20"/>
      <c r="HLJ160" s="20"/>
      <c r="HLK160" s="20"/>
      <c r="HLL160" s="20"/>
      <c r="HLM160" s="20"/>
      <c r="HLN160" s="20"/>
      <c r="HLO160" s="20"/>
      <c r="HLP160" s="20"/>
      <c r="HLQ160" s="20"/>
      <c r="HLR160" s="20"/>
      <c r="HLS160" s="20"/>
      <c r="HLT160" s="20"/>
      <c r="HLU160" s="20"/>
      <c r="HLV160" s="20"/>
      <c r="HLW160" s="20"/>
      <c r="HLX160" s="20"/>
      <c r="HLY160" s="20"/>
      <c r="HLZ160" s="20"/>
      <c r="HMA160" s="20"/>
      <c r="HMB160" s="20"/>
      <c r="HMC160" s="20"/>
      <c r="HMD160" s="20"/>
      <c r="HME160" s="20"/>
      <c r="HMF160" s="20"/>
      <c r="HMG160" s="20"/>
      <c r="HMH160" s="20"/>
      <c r="HMI160" s="20"/>
      <c r="HMJ160" s="20"/>
      <c r="HMK160" s="20"/>
      <c r="HML160" s="20"/>
      <c r="HMM160" s="20"/>
      <c r="HMN160" s="20"/>
      <c r="HMO160" s="20"/>
      <c r="HMP160" s="20"/>
      <c r="HMQ160" s="20"/>
      <c r="HMR160" s="20"/>
      <c r="HMS160" s="20"/>
      <c r="HMT160" s="20"/>
      <c r="HMU160" s="20"/>
      <c r="HMV160" s="20"/>
      <c r="HMW160" s="20"/>
      <c r="HMX160" s="20"/>
      <c r="HMY160" s="20"/>
      <c r="HMZ160" s="20"/>
      <c r="HNA160" s="20"/>
      <c r="HNB160" s="20"/>
      <c r="HNC160" s="20"/>
      <c r="HND160" s="20"/>
      <c r="HNE160" s="20"/>
      <c r="HNF160" s="20"/>
      <c r="HNG160" s="20"/>
      <c r="HNH160" s="20"/>
      <c r="HNI160" s="20"/>
      <c r="HNJ160" s="20"/>
      <c r="HNK160" s="20"/>
      <c r="HNL160" s="20"/>
      <c r="HNM160" s="20"/>
      <c r="HNN160" s="20"/>
      <c r="HNO160" s="20"/>
      <c r="HNP160" s="20"/>
      <c r="HNQ160" s="20"/>
      <c r="HNR160" s="20"/>
      <c r="HNS160" s="20"/>
      <c r="HNT160" s="20"/>
      <c r="HNU160" s="20"/>
      <c r="HNV160" s="20"/>
      <c r="HNW160" s="20"/>
      <c r="HNX160" s="20"/>
      <c r="HNY160" s="20"/>
      <c r="HNZ160" s="20"/>
      <c r="HOA160" s="20"/>
      <c r="HOB160" s="20"/>
      <c r="HOC160" s="20"/>
      <c r="HOD160" s="20"/>
      <c r="HOE160" s="20"/>
      <c r="HOF160" s="20"/>
      <c r="HOG160" s="20"/>
      <c r="HOH160" s="20"/>
      <c r="HOI160" s="20"/>
      <c r="HOJ160" s="20"/>
      <c r="HOK160" s="20"/>
      <c r="HOL160" s="20"/>
      <c r="HOM160" s="20"/>
      <c r="HON160" s="20"/>
      <c r="HOO160" s="20"/>
      <c r="HOP160" s="20"/>
      <c r="HOQ160" s="20"/>
      <c r="HOR160" s="20"/>
      <c r="HOS160" s="20"/>
      <c r="HOT160" s="20"/>
      <c r="HOU160" s="20"/>
      <c r="HOV160" s="20"/>
      <c r="HOW160" s="20"/>
      <c r="HOX160" s="20"/>
      <c r="HOY160" s="20"/>
      <c r="HOZ160" s="20"/>
      <c r="HPA160" s="20"/>
      <c r="HPB160" s="20"/>
      <c r="HPC160" s="20"/>
      <c r="HPD160" s="20"/>
      <c r="HPE160" s="20"/>
      <c r="HPF160" s="20"/>
      <c r="HPG160" s="20"/>
      <c r="HPH160" s="20"/>
      <c r="HPI160" s="20"/>
      <c r="HPJ160" s="20"/>
      <c r="HPK160" s="20"/>
      <c r="HPL160" s="20"/>
      <c r="HPM160" s="20"/>
      <c r="HPN160" s="20"/>
      <c r="HPO160" s="20"/>
      <c r="HPP160" s="20"/>
      <c r="HPQ160" s="20"/>
      <c r="HPR160" s="20"/>
      <c r="HPS160" s="20"/>
      <c r="HPT160" s="20"/>
      <c r="HPU160" s="20"/>
      <c r="HPV160" s="20"/>
      <c r="HPW160" s="20"/>
      <c r="HPX160" s="20"/>
      <c r="HPY160" s="20"/>
      <c r="HPZ160" s="20"/>
      <c r="HQA160" s="20"/>
      <c r="HQB160" s="20"/>
      <c r="HQC160" s="20"/>
      <c r="HQD160" s="20"/>
      <c r="HQE160" s="20"/>
      <c r="HQF160" s="20"/>
      <c r="HQG160" s="20"/>
      <c r="HQH160" s="20"/>
      <c r="HQI160" s="20"/>
      <c r="HQJ160" s="20"/>
      <c r="HQK160" s="20"/>
      <c r="HQL160" s="20"/>
      <c r="HQM160" s="20"/>
      <c r="HQN160" s="20"/>
      <c r="HQO160" s="20"/>
      <c r="HQP160" s="20"/>
      <c r="HQQ160" s="20"/>
      <c r="HQR160" s="20"/>
      <c r="HQS160" s="20"/>
      <c r="HQT160" s="20"/>
      <c r="HQU160" s="20"/>
      <c r="HQV160" s="20"/>
      <c r="HQW160" s="20"/>
      <c r="HQX160" s="20"/>
      <c r="HQY160" s="20"/>
      <c r="HQZ160" s="20"/>
      <c r="HRA160" s="20"/>
      <c r="HRB160" s="20"/>
      <c r="HRC160" s="20"/>
      <c r="HRD160" s="20"/>
      <c r="HRE160" s="20"/>
      <c r="HRF160" s="20"/>
      <c r="HRG160" s="20"/>
      <c r="HRH160" s="20"/>
      <c r="HRI160" s="20"/>
      <c r="HRJ160" s="20"/>
      <c r="HRK160" s="20"/>
      <c r="HRL160" s="20"/>
      <c r="HRM160" s="20"/>
      <c r="HRN160" s="20"/>
      <c r="HRO160" s="20"/>
      <c r="HRP160" s="20"/>
      <c r="HRQ160" s="20"/>
      <c r="HRR160" s="20"/>
      <c r="HRS160" s="20"/>
      <c r="HRT160" s="20"/>
      <c r="HRU160" s="20"/>
      <c r="HRV160" s="20"/>
      <c r="HRW160" s="20"/>
      <c r="HRX160" s="20"/>
      <c r="HRY160" s="20"/>
      <c r="HRZ160" s="20"/>
      <c r="HSA160" s="20"/>
      <c r="HSB160" s="20"/>
      <c r="HSC160" s="20"/>
      <c r="HSD160" s="20"/>
      <c r="HSE160" s="20"/>
      <c r="HSF160" s="20"/>
      <c r="HSG160" s="20"/>
      <c r="HSH160" s="20"/>
      <c r="HSI160" s="20"/>
      <c r="HSJ160" s="20"/>
      <c r="HSK160" s="20"/>
      <c r="HSL160" s="20"/>
      <c r="HSM160" s="20"/>
      <c r="HSN160" s="20"/>
      <c r="HSO160" s="20"/>
      <c r="HSP160" s="20"/>
      <c r="HSQ160" s="20"/>
      <c r="HSR160" s="20"/>
      <c r="HSS160" s="20"/>
      <c r="HST160" s="20"/>
      <c r="HSU160" s="20"/>
      <c r="HSV160" s="20"/>
      <c r="HSW160" s="20"/>
      <c r="HSX160" s="20"/>
      <c r="HSY160" s="20"/>
      <c r="HSZ160" s="20"/>
      <c r="HTA160" s="20"/>
      <c r="HTB160" s="20"/>
      <c r="HTC160" s="20"/>
      <c r="HTD160" s="20"/>
      <c r="HTE160" s="20"/>
      <c r="HTF160" s="20"/>
      <c r="HTG160" s="20"/>
      <c r="HTH160" s="20"/>
      <c r="HTI160" s="20"/>
      <c r="HTJ160" s="20"/>
      <c r="HTK160" s="20"/>
      <c r="HTL160" s="20"/>
      <c r="HTM160" s="20"/>
      <c r="HTN160" s="20"/>
      <c r="HTO160" s="20"/>
      <c r="HTP160" s="20"/>
      <c r="HTQ160" s="20"/>
      <c r="HTR160" s="20"/>
      <c r="HTS160" s="20"/>
      <c r="HTT160" s="20"/>
      <c r="HTU160" s="20"/>
      <c r="HTV160" s="20"/>
      <c r="HTW160" s="20"/>
      <c r="HTX160" s="20"/>
      <c r="HTY160" s="20"/>
      <c r="HTZ160" s="20"/>
      <c r="HUA160" s="20"/>
      <c r="HUB160" s="20"/>
      <c r="HUC160" s="20"/>
      <c r="HUD160" s="20"/>
      <c r="HUE160" s="20"/>
      <c r="HUF160" s="20"/>
      <c r="HUG160" s="20"/>
      <c r="HUH160" s="20"/>
      <c r="HUI160" s="20"/>
      <c r="HUJ160" s="20"/>
      <c r="HUK160" s="20"/>
      <c r="HUL160" s="20"/>
      <c r="HUM160" s="20"/>
      <c r="HUN160" s="20"/>
      <c r="HUO160" s="20"/>
      <c r="HUP160" s="20"/>
      <c r="HUQ160" s="20"/>
      <c r="HUR160" s="20"/>
      <c r="HUS160" s="20"/>
      <c r="HUT160" s="20"/>
      <c r="HUU160" s="20"/>
      <c r="HUV160" s="20"/>
      <c r="HUW160" s="20"/>
      <c r="HUX160" s="20"/>
      <c r="HUY160" s="20"/>
      <c r="HUZ160" s="20"/>
      <c r="HVA160" s="20"/>
      <c r="HVB160" s="20"/>
      <c r="HVC160" s="20"/>
      <c r="HVD160" s="20"/>
      <c r="HVE160" s="20"/>
      <c r="HVF160" s="20"/>
      <c r="HVG160" s="20"/>
      <c r="HVH160" s="20"/>
      <c r="HVI160" s="20"/>
      <c r="HVJ160" s="20"/>
      <c r="HVK160" s="20"/>
      <c r="HVL160" s="20"/>
      <c r="HVM160" s="20"/>
      <c r="HVN160" s="20"/>
      <c r="HVO160" s="20"/>
      <c r="HVP160" s="20"/>
      <c r="HVQ160" s="20"/>
      <c r="HVR160" s="20"/>
      <c r="HVS160" s="20"/>
      <c r="HVT160" s="20"/>
      <c r="HVU160" s="20"/>
      <c r="HVV160" s="20"/>
      <c r="HVW160" s="20"/>
      <c r="HVX160" s="20"/>
      <c r="HVY160" s="20"/>
      <c r="HVZ160" s="20"/>
      <c r="HWA160" s="20"/>
      <c r="HWB160" s="20"/>
      <c r="HWC160" s="20"/>
      <c r="HWD160" s="20"/>
      <c r="HWE160" s="20"/>
      <c r="HWF160" s="20"/>
      <c r="HWG160" s="20"/>
      <c r="HWH160" s="20"/>
      <c r="HWI160" s="20"/>
      <c r="HWJ160" s="20"/>
      <c r="HWK160" s="20"/>
      <c r="HWL160" s="20"/>
      <c r="HWM160" s="20"/>
      <c r="HWN160" s="20"/>
      <c r="HWO160" s="20"/>
      <c r="HWP160" s="20"/>
      <c r="HWQ160" s="20"/>
      <c r="HWR160" s="20"/>
      <c r="HWS160" s="20"/>
      <c r="HWT160" s="20"/>
      <c r="HWU160" s="20"/>
      <c r="HWV160" s="20"/>
      <c r="HWW160" s="20"/>
      <c r="HWX160" s="20"/>
      <c r="HWY160" s="20"/>
      <c r="HWZ160" s="20"/>
      <c r="HXA160" s="20"/>
      <c r="HXB160" s="20"/>
      <c r="HXC160" s="20"/>
      <c r="HXD160" s="20"/>
      <c r="HXE160" s="20"/>
      <c r="HXF160" s="20"/>
      <c r="HXG160" s="20"/>
      <c r="HXH160" s="20"/>
      <c r="HXI160" s="20"/>
      <c r="HXJ160" s="20"/>
      <c r="HXK160" s="20"/>
      <c r="HXL160" s="20"/>
      <c r="HXM160" s="20"/>
      <c r="HXN160" s="20"/>
      <c r="HXO160" s="20"/>
      <c r="HXP160" s="20"/>
      <c r="HXQ160" s="20"/>
      <c r="HXR160" s="20"/>
      <c r="HXS160" s="20"/>
      <c r="HXT160" s="20"/>
      <c r="HXU160" s="20"/>
      <c r="HXV160" s="20"/>
      <c r="HXW160" s="20"/>
      <c r="HXX160" s="20"/>
      <c r="HXY160" s="20"/>
      <c r="HXZ160" s="20"/>
      <c r="HYA160" s="20"/>
      <c r="HYB160" s="20"/>
      <c r="HYC160" s="20"/>
      <c r="HYD160" s="20"/>
      <c r="HYE160" s="20"/>
      <c r="HYF160" s="20"/>
      <c r="HYG160" s="20"/>
      <c r="HYH160" s="20"/>
      <c r="HYI160" s="20"/>
      <c r="HYJ160" s="20"/>
      <c r="HYK160" s="20"/>
      <c r="HYL160" s="20"/>
      <c r="HYM160" s="20"/>
      <c r="HYN160" s="20"/>
      <c r="HYO160" s="20"/>
      <c r="HYP160" s="20"/>
      <c r="HYQ160" s="20"/>
      <c r="HYR160" s="20"/>
      <c r="HYS160" s="20"/>
      <c r="HYT160" s="20"/>
      <c r="HYU160" s="20"/>
      <c r="HYV160" s="20"/>
      <c r="HYW160" s="20"/>
      <c r="HYX160" s="20"/>
      <c r="HYY160" s="20"/>
      <c r="HYZ160" s="20"/>
      <c r="HZA160" s="20"/>
      <c r="HZB160" s="20"/>
      <c r="HZC160" s="20"/>
      <c r="HZD160" s="20"/>
      <c r="HZE160" s="20"/>
      <c r="HZF160" s="20"/>
      <c r="HZG160" s="20"/>
      <c r="HZH160" s="20"/>
      <c r="HZI160" s="20"/>
      <c r="HZJ160" s="20"/>
      <c r="HZK160" s="20"/>
      <c r="HZL160" s="20"/>
      <c r="HZM160" s="20"/>
      <c r="HZN160" s="20"/>
      <c r="HZO160" s="20"/>
      <c r="HZP160" s="20"/>
      <c r="HZQ160" s="20"/>
      <c r="HZR160" s="20"/>
      <c r="HZS160" s="20"/>
      <c r="HZT160" s="20"/>
      <c r="HZU160" s="20"/>
      <c r="HZV160" s="20"/>
      <c r="HZW160" s="20"/>
      <c r="HZX160" s="20"/>
      <c r="HZY160" s="20"/>
      <c r="HZZ160" s="20"/>
      <c r="IAA160" s="20"/>
      <c r="IAB160" s="20"/>
      <c r="IAC160" s="20"/>
      <c r="IAD160" s="20"/>
      <c r="IAE160" s="20"/>
      <c r="IAF160" s="20"/>
      <c r="IAG160" s="20"/>
      <c r="IAH160" s="20"/>
      <c r="IAI160" s="20"/>
      <c r="IAJ160" s="20"/>
      <c r="IAK160" s="20"/>
      <c r="IAL160" s="20"/>
      <c r="IAM160" s="20"/>
      <c r="IAN160" s="20"/>
      <c r="IAO160" s="20"/>
      <c r="IAP160" s="20"/>
      <c r="IAQ160" s="20"/>
      <c r="IAR160" s="20"/>
      <c r="IAS160" s="20"/>
      <c r="IAT160" s="20"/>
      <c r="IAU160" s="20"/>
      <c r="IAV160" s="20"/>
      <c r="IAW160" s="20"/>
      <c r="IAX160" s="20"/>
      <c r="IAY160" s="20"/>
      <c r="IAZ160" s="20"/>
      <c r="IBA160" s="20"/>
      <c r="IBB160" s="20"/>
      <c r="IBC160" s="20"/>
      <c r="IBD160" s="20"/>
      <c r="IBE160" s="20"/>
      <c r="IBF160" s="20"/>
      <c r="IBG160" s="20"/>
      <c r="IBH160" s="20"/>
      <c r="IBI160" s="20"/>
      <c r="IBJ160" s="20"/>
      <c r="IBK160" s="20"/>
      <c r="IBL160" s="20"/>
      <c r="IBM160" s="20"/>
      <c r="IBN160" s="20"/>
      <c r="IBO160" s="20"/>
      <c r="IBP160" s="20"/>
      <c r="IBQ160" s="20"/>
      <c r="IBR160" s="20"/>
      <c r="IBS160" s="20"/>
      <c r="IBT160" s="20"/>
      <c r="IBU160" s="20"/>
      <c r="IBV160" s="20"/>
      <c r="IBW160" s="20"/>
      <c r="IBX160" s="20"/>
      <c r="IBY160" s="20"/>
      <c r="IBZ160" s="20"/>
      <c r="ICA160" s="20"/>
      <c r="ICB160" s="20"/>
      <c r="ICC160" s="20"/>
      <c r="ICD160" s="20"/>
      <c r="ICE160" s="20"/>
      <c r="ICF160" s="20"/>
      <c r="ICG160" s="20"/>
      <c r="ICH160" s="20"/>
      <c r="ICI160" s="20"/>
      <c r="ICJ160" s="20"/>
      <c r="ICK160" s="20"/>
      <c r="ICL160" s="20"/>
      <c r="ICM160" s="20"/>
      <c r="ICN160" s="20"/>
      <c r="ICO160" s="20"/>
      <c r="ICP160" s="20"/>
      <c r="ICQ160" s="20"/>
      <c r="ICR160" s="20"/>
      <c r="ICS160" s="20"/>
      <c r="ICT160" s="20"/>
      <c r="ICU160" s="20"/>
      <c r="ICV160" s="20"/>
      <c r="ICW160" s="20"/>
      <c r="ICX160" s="20"/>
      <c r="ICY160" s="20"/>
      <c r="ICZ160" s="20"/>
      <c r="IDA160" s="20"/>
      <c r="IDB160" s="20"/>
      <c r="IDC160" s="20"/>
      <c r="IDD160" s="20"/>
      <c r="IDE160" s="20"/>
      <c r="IDF160" s="20"/>
      <c r="IDG160" s="20"/>
      <c r="IDH160" s="20"/>
      <c r="IDI160" s="20"/>
      <c r="IDJ160" s="20"/>
      <c r="IDK160" s="20"/>
      <c r="IDL160" s="20"/>
      <c r="IDM160" s="20"/>
      <c r="IDN160" s="20"/>
      <c r="IDO160" s="20"/>
      <c r="IDP160" s="20"/>
      <c r="IDQ160" s="20"/>
      <c r="IDR160" s="20"/>
      <c r="IDS160" s="20"/>
      <c r="IDT160" s="20"/>
      <c r="IDU160" s="20"/>
      <c r="IDV160" s="20"/>
      <c r="IDW160" s="20"/>
      <c r="IDX160" s="20"/>
      <c r="IDY160" s="20"/>
      <c r="IDZ160" s="20"/>
      <c r="IEA160" s="20"/>
      <c r="IEB160" s="20"/>
      <c r="IEC160" s="20"/>
      <c r="IED160" s="20"/>
      <c r="IEE160" s="20"/>
      <c r="IEF160" s="20"/>
      <c r="IEG160" s="20"/>
      <c r="IEH160" s="20"/>
      <c r="IEI160" s="20"/>
      <c r="IEJ160" s="20"/>
      <c r="IEK160" s="20"/>
      <c r="IEL160" s="20"/>
      <c r="IEM160" s="20"/>
      <c r="IEN160" s="20"/>
      <c r="IEO160" s="20"/>
      <c r="IEP160" s="20"/>
      <c r="IEQ160" s="20"/>
      <c r="IER160" s="20"/>
      <c r="IES160" s="20"/>
      <c r="IET160" s="20"/>
      <c r="IEU160" s="20"/>
      <c r="IEV160" s="20"/>
      <c r="IEW160" s="20"/>
      <c r="IEX160" s="20"/>
      <c r="IEY160" s="20"/>
      <c r="IEZ160" s="20"/>
      <c r="IFA160" s="20"/>
      <c r="IFB160" s="20"/>
      <c r="IFC160" s="20"/>
      <c r="IFD160" s="20"/>
      <c r="IFE160" s="20"/>
      <c r="IFF160" s="20"/>
      <c r="IFG160" s="20"/>
      <c r="IFH160" s="20"/>
      <c r="IFI160" s="20"/>
      <c r="IFJ160" s="20"/>
      <c r="IFK160" s="20"/>
      <c r="IFL160" s="20"/>
      <c r="IFM160" s="20"/>
      <c r="IFN160" s="20"/>
      <c r="IFO160" s="20"/>
      <c r="IFP160" s="20"/>
      <c r="IFQ160" s="20"/>
      <c r="IFR160" s="20"/>
      <c r="IFS160" s="20"/>
      <c r="IFT160" s="20"/>
      <c r="IFU160" s="20"/>
      <c r="IFV160" s="20"/>
      <c r="IFW160" s="20"/>
      <c r="IFX160" s="20"/>
      <c r="IFY160" s="20"/>
      <c r="IFZ160" s="20"/>
      <c r="IGA160" s="20"/>
      <c r="IGB160" s="20"/>
      <c r="IGC160" s="20"/>
      <c r="IGD160" s="20"/>
      <c r="IGE160" s="20"/>
      <c r="IGF160" s="20"/>
      <c r="IGG160" s="20"/>
      <c r="IGH160" s="20"/>
      <c r="IGI160" s="20"/>
      <c r="IGJ160" s="20"/>
      <c r="IGK160" s="20"/>
      <c r="IGL160" s="20"/>
      <c r="IGM160" s="20"/>
      <c r="IGN160" s="20"/>
      <c r="IGO160" s="20"/>
      <c r="IGP160" s="20"/>
      <c r="IGQ160" s="20"/>
      <c r="IGR160" s="20"/>
      <c r="IGS160" s="20"/>
      <c r="IGT160" s="20"/>
      <c r="IGU160" s="20"/>
      <c r="IGV160" s="20"/>
      <c r="IGW160" s="20"/>
      <c r="IGX160" s="20"/>
      <c r="IGY160" s="20"/>
      <c r="IGZ160" s="20"/>
      <c r="IHA160" s="20"/>
      <c r="IHB160" s="20"/>
      <c r="IHC160" s="20"/>
      <c r="IHD160" s="20"/>
      <c r="IHE160" s="20"/>
      <c r="IHF160" s="20"/>
      <c r="IHG160" s="20"/>
      <c r="IHH160" s="20"/>
      <c r="IHI160" s="20"/>
      <c r="IHJ160" s="20"/>
      <c r="IHK160" s="20"/>
      <c r="IHL160" s="20"/>
      <c r="IHM160" s="20"/>
      <c r="IHN160" s="20"/>
      <c r="IHO160" s="20"/>
      <c r="IHP160" s="20"/>
      <c r="IHQ160" s="20"/>
      <c r="IHR160" s="20"/>
      <c r="IHS160" s="20"/>
      <c r="IHT160" s="20"/>
      <c r="IHU160" s="20"/>
      <c r="IHV160" s="20"/>
      <c r="IHW160" s="20"/>
      <c r="IHX160" s="20"/>
      <c r="IHY160" s="20"/>
      <c r="IHZ160" s="20"/>
      <c r="IIA160" s="20"/>
      <c r="IIB160" s="20"/>
      <c r="IIC160" s="20"/>
      <c r="IID160" s="20"/>
      <c r="IIE160" s="20"/>
      <c r="IIF160" s="20"/>
      <c r="IIG160" s="20"/>
      <c r="IIH160" s="20"/>
      <c r="III160" s="20"/>
      <c r="IIJ160" s="20"/>
      <c r="IIK160" s="20"/>
      <c r="IIL160" s="20"/>
      <c r="IIM160" s="20"/>
      <c r="IIN160" s="20"/>
      <c r="IIO160" s="20"/>
      <c r="IIP160" s="20"/>
      <c r="IIQ160" s="20"/>
      <c r="IIR160" s="20"/>
      <c r="IIS160" s="20"/>
      <c r="IIT160" s="20"/>
      <c r="IIU160" s="20"/>
      <c r="IIV160" s="20"/>
      <c r="IIW160" s="20"/>
      <c r="IIX160" s="20"/>
      <c r="IIY160" s="20"/>
      <c r="IIZ160" s="20"/>
      <c r="IJA160" s="20"/>
      <c r="IJB160" s="20"/>
      <c r="IJC160" s="20"/>
      <c r="IJD160" s="20"/>
      <c r="IJE160" s="20"/>
      <c r="IJF160" s="20"/>
      <c r="IJG160" s="20"/>
      <c r="IJH160" s="20"/>
      <c r="IJI160" s="20"/>
      <c r="IJJ160" s="20"/>
      <c r="IJK160" s="20"/>
      <c r="IJL160" s="20"/>
      <c r="IJM160" s="20"/>
      <c r="IJN160" s="20"/>
      <c r="IJO160" s="20"/>
      <c r="IJP160" s="20"/>
      <c r="IJQ160" s="20"/>
      <c r="IJR160" s="20"/>
      <c r="IJS160" s="20"/>
      <c r="IJT160" s="20"/>
      <c r="IJU160" s="20"/>
      <c r="IJV160" s="20"/>
      <c r="IJW160" s="20"/>
      <c r="IJX160" s="20"/>
      <c r="IJY160" s="20"/>
      <c r="IJZ160" s="20"/>
      <c r="IKA160" s="20"/>
      <c r="IKB160" s="20"/>
      <c r="IKC160" s="20"/>
      <c r="IKD160" s="20"/>
      <c r="IKE160" s="20"/>
      <c r="IKF160" s="20"/>
      <c r="IKG160" s="20"/>
      <c r="IKH160" s="20"/>
      <c r="IKI160" s="20"/>
      <c r="IKJ160" s="20"/>
      <c r="IKK160" s="20"/>
      <c r="IKL160" s="20"/>
      <c r="IKM160" s="20"/>
      <c r="IKN160" s="20"/>
      <c r="IKO160" s="20"/>
      <c r="IKP160" s="20"/>
      <c r="IKQ160" s="20"/>
      <c r="IKR160" s="20"/>
      <c r="IKS160" s="20"/>
      <c r="IKT160" s="20"/>
      <c r="IKU160" s="20"/>
      <c r="IKV160" s="20"/>
      <c r="IKW160" s="20"/>
      <c r="IKX160" s="20"/>
      <c r="IKY160" s="20"/>
      <c r="IKZ160" s="20"/>
      <c r="ILA160" s="20"/>
      <c r="ILB160" s="20"/>
      <c r="ILC160" s="20"/>
      <c r="ILD160" s="20"/>
      <c r="ILE160" s="20"/>
      <c r="ILF160" s="20"/>
      <c r="ILG160" s="20"/>
      <c r="ILH160" s="20"/>
      <c r="ILI160" s="20"/>
      <c r="ILJ160" s="20"/>
      <c r="ILK160" s="20"/>
      <c r="ILL160" s="20"/>
      <c r="ILM160" s="20"/>
      <c r="ILN160" s="20"/>
      <c r="ILO160" s="20"/>
      <c r="ILP160" s="20"/>
      <c r="ILQ160" s="20"/>
      <c r="ILR160" s="20"/>
      <c r="ILS160" s="20"/>
      <c r="ILT160" s="20"/>
      <c r="ILU160" s="20"/>
      <c r="ILV160" s="20"/>
      <c r="ILW160" s="20"/>
      <c r="ILX160" s="20"/>
      <c r="ILY160" s="20"/>
      <c r="ILZ160" s="20"/>
      <c r="IMA160" s="20"/>
      <c r="IMB160" s="20"/>
      <c r="IMC160" s="20"/>
      <c r="IMD160" s="20"/>
      <c r="IME160" s="20"/>
      <c r="IMF160" s="20"/>
      <c r="IMG160" s="20"/>
      <c r="IMH160" s="20"/>
      <c r="IMI160" s="20"/>
      <c r="IMJ160" s="20"/>
      <c r="IMK160" s="20"/>
      <c r="IML160" s="20"/>
      <c r="IMM160" s="20"/>
      <c r="IMN160" s="20"/>
      <c r="IMO160" s="20"/>
      <c r="IMP160" s="20"/>
      <c r="IMQ160" s="20"/>
      <c r="IMR160" s="20"/>
      <c r="IMS160" s="20"/>
      <c r="IMT160" s="20"/>
      <c r="IMU160" s="20"/>
      <c r="IMV160" s="20"/>
      <c r="IMW160" s="20"/>
      <c r="IMX160" s="20"/>
      <c r="IMY160" s="20"/>
      <c r="IMZ160" s="20"/>
      <c r="INA160" s="20"/>
      <c r="INB160" s="20"/>
      <c r="INC160" s="20"/>
      <c r="IND160" s="20"/>
      <c r="INE160" s="20"/>
      <c r="INF160" s="20"/>
      <c r="ING160" s="20"/>
      <c r="INH160" s="20"/>
      <c r="INI160" s="20"/>
      <c r="INJ160" s="20"/>
      <c r="INK160" s="20"/>
      <c r="INL160" s="20"/>
      <c r="INM160" s="20"/>
      <c r="INN160" s="20"/>
      <c r="INO160" s="20"/>
      <c r="INP160" s="20"/>
      <c r="INQ160" s="20"/>
      <c r="INR160" s="20"/>
      <c r="INS160" s="20"/>
      <c r="INT160" s="20"/>
      <c r="INU160" s="20"/>
      <c r="INV160" s="20"/>
      <c r="INW160" s="20"/>
      <c r="INX160" s="20"/>
      <c r="INY160" s="20"/>
      <c r="INZ160" s="20"/>
      <c r="IOA160" s="20"/>
      <c r="IOB160" s="20"/>
      <c r="IOC160" s="20"/>
      <c r="IOD160" s="20"/>
      <c r="IOE160" s="20"/>
      <c r="IOF160" s="20"/>
      <c r="IOG160" s="20"/>
      <c r="IOH160" s="20"/>
      <c r="IOI160" s="20"/>
      <c r="IOJ160" s="20"/>
      <c r="IOK160" s="20"/>
      <c r="IOL160" s="20"/>
      <c r="IOM160" s="20"/>
      <c r="ION160" s="20"/>
      <c r="IOO160" s="20"/>
      <c r="IOP160" s="20"/>
      <c r="IOQ160" s="20"/>
      <c r="IOR160" s="20"/>
      <c r="IOS160" s="20"/>
      <c r="IOT160" s="20"/>
      <c r="IOU160" s="20"/>
      <c r="IOV160" s="20"/>
      <c r="IOW160" s="20"/>
      <c r="IOX160" s="20"/>
      <c r="IOY160" s="20"/>
      <c r="IOZ160" s="20"/>
      <c r="IPA160" s="20"/>
      <c r="IPB160" s="20"/>
      <c r="IPC160" s="20"/>
      <c r="IPD160" s="20"/>
      <c r="IPE160" s="20"/>
      <c r="IPF160" s="20"/>
      <c r="IPG160" s="20"/>
      <c r="IPH160" s="20"/>
      <c r="IPI160" s="20"/>
      <c r="IPJ160" s="20"/>
      <c r="IPK160" s="20"/>
      <c r="IPL160" s="20"/>
      <c r="IPM160" s="20"/>
      <c r="IPN160" s="20"/>
      <c r="IPO160" s="20"/>
      <c r="IPP160" s="20"/>
      <c r="IPQ160" s="20"/>
      <c r="IPR160" s="20"/>
      <c r="IPS160" s="20"/>
      <c r="IPT160" s="20"/>
      <c r="IPU160" s="20"/>
      <c r="IPV160" s="20"/>
      <c r="IPW160" s="20"/>
      <c r="IPX160" s="20"/>
      <c r="IPY160" s="20"/>
      <c r="IPZ160" s="20"/>
      <c r="IQA160" s="20"/>
      <c r="IQB160" s="20"/>
      <c r="IQC160" s="20"/>
      <c r="IQD160" s="20"/>
      <c r="IQE160" s="20"/>
      <c r="IQF160" s="20"/>
      <c r="IQG160" s="20"/>
      <c r="IQH160" s="20"/>
      <c r="IQI160" s="20"/>
      <c r="IQJ160" s="20"/>
      <c r="IQK160" s="20"/>
      <c r="IQL160" s="20"/>
      <c r="IQM160" s="20"/>
      <c r="IQN160" s="20"/>
      <c r="IQO160" s="20"/>
      <c r="IQP160" s="20"/>
      <c r="IQQ160" s="20"/>
      <c r="IQR160" s="20"/>
      <c r="IQS160" s="20"/>
      <c r="IQT160" s="20"/>
      <c r="IQU160" s="20"/>
      <c r="IQV160" s="20"/>
      <c r="IQW160" s="20"/>
      <c r="IQX160" s="20"/>
      <c r="IQY160" s="20"/>
      <c r="IQZ160" s="20"/>
      <c r="IRA160" s="20"/>
      <c r="IRB160" s="20"/>
      <c r="IRC160" s="20"/>
      <c r="IRD160" s="20"/>
      <c r="IRE160" s="20"/>
      <c r="IRF160" s="20"/>
      <c r="IRG160" s="20"/>
      <c r="IRH160" s="20"/>
      <c r="IRI160" s="20"/>
      <c r="IRJ160" s="20"/>
      <c r="IRK160" s="20"/>
      <c r="IRL160" s="20"/>
      <c r="IRM160" s="20"/>
      <c r="IRN160" s="20"/>
      <c r="IRO160" s="20"/>
      <c r="IRP160" s="20"/>
      <c r="IRQ160" s="20"/>
      <c r="IRR160" s="20"/>
      <c r="IRS160" s="20"/>
      <c r="IRT160" s="20"/>
      <c r="IRU160" s="20"/>
      <c r="IRV160" s="20"/>
      <c r="IRW160" s="20"/>
      <c r="IRX160" s="20"/>
      <c r="IRY160" s="20"/>
      <c r="IRZ160" s="20"/>
      <c r="ISA160" s="20"/>
      <c r="ISB160" s="20"/>
      <c r="ISC160" s="20"/>
      <c r="ISD160" s="20"/>
      <c r="ISE160" s="20"/>
      <c r="ISF160" s="20"/>
      <c r="ISG160" s="20"/>
      <c r="ISH160" s="20"/>
      <c r="ISI160" s="20"/>
      <c r="ISJ160" s="20"/>
      <c r="ISK160" s="20"/>
      <c r="ISL160" s="20"/>
      <c r="ISM160" s="20"/>
      <c r="ISN160" s="20"/>
      <c r="ISO160" s="20"/>
      <c r="ISP160" s="20"/>
      <c r="ISQ160" s="20"/>
      <c r="ISR160" s="20"/>
      <c r="ISS160" s="20"/>
      <c r="IST160" s="20"/>
      <c r="ISU160" s="20"/>
      <c r="ISV160" s="20"/>
      <c r="ISW160" s="20"/>
      <c r="ISX160" s="20"/>
      <c r="ISY160" s="20"/>
      <c r="ISZ160" s="20"/>
      <c r="ITA160" s="20"/>
      <c r="ITB160" s="20"/>
      <c r="ITC160" s="20"/>
      <c r="ITD160" s="20"/>
      <c r="ITE160" s="20"/>
      <c r="ITF160" s="20"/>
      <c r="ITG160" s="20"/>
      <c r="ITH160" s="20"/>
      <c r="ITI160" s="20"/>
      <c r="ITJ160" s="20"/>
      <c r="ITK160" s="20"/>
      <c r="ITL160" s="20"/>
      <c r="ITM160" s="20"/>
      <c r="ITN160" s="20"/>
      <c r="ITO160" s="20"/>
      <c r="ITP160" s="20"/>
      <c r="ITQ160" s="20"/>
      <c r="ITR160" s="20"/>
      <c r="ITS160" s="20"/>
      <c r="ITT160" s="20"/>
      <c r="ITU160" s="20"/>
      <c r="ITV160" s="20"/>
      <c r="ITW160" s="20"/>
      <c r="ITX160" s="20"/>
      <c r="ITY160" s="20"/>
      <c r="ITZ160" s="20"/>
      <c r="IUA160" s="20"/>
      <c r="IUB160" s="20"/>
      <c r="IUC160" s="20"/>
      <c r="IUD160" s="20"/>
      <c r="IUE160" s="20"/>
      <c r="IUF160" s="20"/>
      <c r="IUG160" s="20"/>
      <c r="IUH160" s="20"/>
      <c r="IUI160" s="20"/>
      <c r="IUJ160" s="20"/>
      <c r="IUK160" s="20"/>
      <c r="IUL160" s="20"/>
      <c r="IUM160" s="20"/>
      <c r="IUN160" s="20"/>
      <c r="IUO160" s="20"/>
      <c r="IUP160" s="20"/>
      <c r="IUQ160" s="20"/>
      <c r="IUR160" s="20"/>
      <c r="IUS160" s="20"/>
      <c r="IUT160" s="20"/>
      <c r="IUU160" s="20"/>
      <c r="IUV160" s="20"/>
      <c r="IUW160" s="20"/>
      <c r="IUX160" s="20"/>
      <c r="IUY160" s="20"/>
      <c r="IUZ160" s="20"/>
      <c r="IVA160" s="20"/>
      <c r="IVB160" s="20"/>
      <c r="IVC160" s="20"/>
      <c r="IVD160" s="20"/>
      <c r="IVE160" s="20"/>
      <c r="IVF160" s="20"/>
      <c r="IVG160" s="20"/>
      <c r="IVH160" s="20"/>
      <c r="IVI160" s="20"/>
      <c r="IVJ160" s="20"/>
      <c r="IVK160" s="20"/>
      <c r="IVL160" s="20"/>
      <c r="IVM160" s="20"/>
      <c r="IVN160" s="20"/>
      <c r="IVO160" s="20"/>
      <c r="IVP160" s="20"/>
      <c r="IVQ160" s="20"/>
      <c r="IVR160" s="20"/>
      <c r="IVS160" s="20"/>
      <c r="IVT160" s="20"/>
      <c r="IVU160" s="20"/>
      <c r="IVV160" s="20"/>
      <c r="IVW160" s="20"/>
      <c r="IVX160" s="20"/>
      <c r="IVY160" s="20"/>
      <c r="IVZ160" s="20"/>
      <c r="IWA160" s="20"/>
      <c r="IWB160" s="20"/>
      <c r="IWC160" s="20"/>
      <c r="IWD160" s="20"/>
      <c r="IWE160" s="20"/>
      <c r="IWF160" s="20"/>
      <c r="IWG160" s="20"/>
      <c r="IWH160" s="20"/>
      <c r="IWI160" s="20"/>
      <c r="IWJ160" s="20"/>
      <c r="IWK160" s="20"/>
      <c r="IWL160" s="20"/>
      <c r="IWM160" s="20"/>
      <c r="IWN160" s="20"/>
      <c r="IWO160" s="20"/>
      <c r="IWP160" s="20"/>
      <c r="IWQ160" s="20"/>
      <c r="IWR160" s="20"/>
      <c r="IWS160" s="20"/>
      <c r="IWT160" s="20"/>
      <c r="IWU160" s="20"/>
      <c r="IWV160" s="20"/>
      <c r="IWW160" s="20"/>
      <c r="IWX160" s="20"/>
      <c r="IWY160" s="20"/>
      <c r="IWZ160" s="20"/>
      <c r="IXA160" s="20"/>
      <c r="IXB160" s="20"/>
      <c r="IXC160" s="20"/>
      <c r="IXD160" s="20"/>
      <c r="IXE160" s="20"/>
      <c r="IXF160" s="20"/>
      <c r="IXG160" s="20"/>
      <c r="IXH160" s="20"/>
      <c r="IXI160" s="20"/>
      <c r="IXJ160" s="20"/>
      <c r="IXK160" s="20"/>
      <c r="IXL160" s="20"/>
      <c r="IXM160" s="20"/>
      <c r="IXN160" s="20"/>
      <c r="IXO160" s="20"/>
      <c r="IXP160" s="20"/>
      <c r="IXQ160" s="20"/>
      <c r="IXR160" s="20"/>
      <c r="IXS160" s="20"/>
      <c r="IXT160" s="20"/>
      <c r="IXU160" s="20"/>
      <c r="IXV160" s="20"/>
      <c r="IXW160" s="20"/>
      <c r="IXX160" s="20"/>
      <c r="IXY160" s="20"/>
      <c r="IXZ160" s="20"/>
      <c r="IYA160" s="20"/>
      <c r="IYB160" s="20"/>
      <c r="IYC160" s="20"/>
      <c r="IYD160" s="20"/>
      <c r="IYE160" s="20"/>
      <c r="IYF160" s="20"/>
      <c r="IYG160" s="20"/>
      <c r="IYH160" s="20"/>
      <c r="IYI160" s="20"/>
      <c r="IYJ160" s="20"/>
      <c r="IYK160" s="20"/>
      <c r="IYL160" s="20"/>
      <c r="IYM160" s="20"/>
      <c r="IYN160" s="20"/>
      <c r="IYO160" s="20"/>
      <c r="IYP160" s="20"/>
      <c r="IYQ160" s="20"/>
      <c r="IYR160" s="20"/>
      <c r="IYS160" s="20"/>
      <c r="IYT160" s="20"/>
      <c r="IYU160" s="20"/>
      <c r="IYV160" s="20"/>
      <c r="IYW160" s="20"/>
      <c r="IYX160" s="20"/>
      <c r="IYY160" s="20"/>
      <c r="IYZ160" s="20"/>
      <c r="IZA160" s="20"/>
      <c r="IZB160" s="20"/>
      <c r="IZC160" s="20"/>
      <c r="IZD160" s="20"/>
      <c r="IZE160" s="20"/>
      <c r="IZF160" s="20"/>
      <c r="IZG160" s="20"/>
      <c r="IZH160" s="20"/>
      <c r="IZI160" s="20"/>
      <c r="IZJ160" s="20"/>
      <c r="IZK160" s="20"/>
      <c r="IZL160" s="20"/>
      <c r="IZM160" s="20"/>
      <c r="IZN160" s="20"/>
      <c r="IZO160" s="20"/>
      <c r="IZP160" s="20"/>
      <c r="IZQ160" s="20"/>
      <c r="IZR160" s="20"/>
      <c r="IZS160" s="20"/>
      <c r="IZT160" s="20"/>
      <c r="IZU160" s="20"/>
      <c r="IZV160" s="20"/>
      <c r="IZW160" s="20"/>
      <c r="IZX160" s="20"/>
      <c r="IZY160" s="20"/>
      <c r="IZZ160" s="20"/>
      <c r="JAA160" s="20"/>
      <c r="JAB160" s="20"/>
      <c r="JAC160" s="20"/>
      <c r="JAD160" s="20"/>
      <c r="JAE160" s="20"/>
      <c r="JAF160" s="20"/>
      <c r="JAG160" s="20"/>
      <c r="JAH160" s="20"/>
      <c r="JAI160" s="20"/>
      <c r="JAJ160" s="20"/>
      <c r="JAK160" s="20"/>
      <c r="JAL160" s="20"/>
      <c r="JAM160" s="20"/>
      <c r="JAN160" s="20"/>
      <c r="JAO160" s="20"/>
      <c r="JAP160" s="20"/>
      <c r="JAQ160" s="20"/>
      <c r="JAR160" s="20"/>
      <c r="JAS160" s="20"/>
      <c r="JAT160" s="20"/>
      <c r="JAU160" s="20"/>
      <c r="JAV160" s="20"/>
      <c r="JAW160" s="20"/>
      <c r="JAX160" s="20"/>
      <c r="JAY160" s="20"/>
      <c r="JAZ160" s="20"/>
      <c r="JBA160" s="20"/>
      <c r="JBB160" s="20"/>
      <c r="JBC160" s="20"/>
      <c r="JBD160" s="20"/>
      <c r="JBE160" s="20"/>
      <c r="JBF160" s="20"/>
      <c r="JBG160" s="20"/>
      <c r="JBH160" s="20"/>
      <c r="JBI160" s="20"/>
      <c r="JBJ160" s="20"/>
      <c r="JBK160" s="20"/>
      <c r="JBL160" s="20"/>
      <c r="JBM160" s="20"/>
      <c r="JBN160" s="20"/>
      <c r="JBO160" s="20"/>
      <c r="JBP160" s="20"/>
      <c r="JBQ160" s="20"/>
      <c r="JBR160" s="20"/>
      <c r="JBS160" s="20"/>
      <c r="JBT160" s="20"/>
      <c r="JBU160" s="20"/>
      <c r="JBV160" s="20"/>
      <c r="JBW160" s="20"/>
      <c r="JBX160" s="20"/>
      <c r="JBY160" s="20"/>
      <c r="JBZ160" s="20"/>
      <c r="JCA160" s="20"/>
      <c r="JCB160" s="20"/>
      <c r="JCC160" s="20"/>
      <c r="JCD160" s="20"/>
      <c r="JCE160" s="20"/>
      <c r="JCF160" s="20"/>
      <c r="JCG160" s="20"/>
      <c r="JCH160" s="20"/>
      <c r="JCI160" s="20"/>
      <c r="JCJ160" s="20"/>
      <c r="JCK160" s="20"/>
      <c r="JCL160" s="20"/>
      <c r="JCM160" s="20"/>
      <c r="JCN160" s="20"/>
      <c r="JCO160" s="20"/>
      <c r="JCP160" s="20"/>
      <c r="JCQ160" s="20"/>
      <c r="JCR160" s="20"/>
      <c r="JCS160" s="20"/>
      <c r="JCT160" s="20"/>
      <c r="JCU160" s="20"/>
      <c r="JCV160" s="20"/>
      <c r="JCW160" s="20"/>
      <c r="JCX160" s="20"/>
      <c r="JCY160" s="20"/>
      <c r="JCZ160" s="20"/>
      <c r="JDA160" s="20"/>
      <c r="JDB160" s="20"/>
      <c r="JDC160" s="20"/>
      <c r="JDD160" s="20"/>
      <c r="JDE160" s="20"/>
      <c r="JDF160" s="20"/>
      <c r="JDG160" s="20"/>
      <c r="JDH160" s="20"/>
      <c r="JDI160" s="20"/>
      <c r="JDJ160" s="20"/>
      <c r="JDK160" s="20"/>
      <c r="JDL160" s="20"/>
      <c r="JDM160" s="20"/>
      <c r="JDN160" s="20"/>
      <c r="JDO160" s="20"/>
      <c r="JDP160" s="20"/>
      <c r="JDQ160" s="20"/>
      <c r="JDR160" s="20"/>
      <c r="JDS160" s="20"/>
      <c r="JDT160" s="20"/>
      <c r="JDU160" s="20"/>
      <c r="JDV160" s="20"/>
      <c r="JDW160" s="20"/>
      <c r="JDX160" s="20"/>
      <c r="JDY160" s="20"/>
      <c r="JDZ160" s="20"/>
      <c r="JEA160" s="20"/>
      <c r="JEB160" s="20"/>
      <c r="JEC160" s="20"/>
      <c r="JED160" s="20"/>
      <c r="JEE160" s="20"/>
      <c r="JEF160" s="20"/>
      <c r="JEG160" s="20"/>
      <c r="JEH160" s="20"/>
      <c r="JEI160" s="20"/>
      <c r="JEJ160" s="20"/>
      <c r="JEK160" s="20"/>
      <c r="JEL160" s="20"/>
      <c r="JEM160" s="20"/>
      <c r="JEN160" s="20"/>
      <c r="JEO160" s="20"/>
      <c r="JEP160" s="20"/>
      <c r="JEQ160" s="20"/>
      <c r="JER160" s="20"/>
      <c r="JES160" s="20"/>
      <c r="JET160" s="20"/>
      <c r="JEU160" s="20"/>
      <c r="JEV160" s="20"/>
      <c r="JEW160" s="20"/>
      <c r="JEX160" s="20"/>
      <c r="JEY160" s="20"/>
      <c r="JEZ160" s="20"/>
      <c r="JFA160" s="20"/>
      <c r="JFB160" s="20"/>
      <c r="JFC160" s="20"/>
      <c r="JFD160" s="20"/>
      <c r="JFE160" s="20"/>
      <c r="JFF160" s="20"/>
      <c r="JFG160" s="20"/>
      <c r="JFH160" s="20"/>
      <c r="JFI160" s="20"/>
      <c r="JFJ160" s="20"/>
      <c r="JFK160" s="20"/>
      <c r="JFL160" s="20"/>
      <c r="JFM160" s="20"/>
      <c r="JFN160" s="20"/>
      <c r="JFO160" s="20"/>
      <c r="JFP160" s="20"/>
      <c r="JFQ160" s="20"/>
      <c r="JFR160" s="20"/>
      <c r="JFS160" s="20"/>
      <c r="JFT160" s="20"/>
      <c r="JFU160" s="20"/>
      <c r="JFV160" s="20"/>
      <c r="JFW160" s="20"/>
      <c r="JFX160" s="20"/>
      <c r="JFY160" s="20"/>
      <c r="JFZ160" s="20"/>
      <c r="JGA160" s="20"/>
      <c r="JGB160" s="20"/>
      <c r="JGC160" s="20"/>
      <c r="JGD160" s="20"/>
      <c r="JGE160" s="20"/>
      <c r="JGF160" s="20"/>
      <c r="JGG160" s="20"/>
      <c r="JGH160" s="20"/>
      <c r="JGI160" s="20"/>
      <c r="JGJ160" s="20"/>
      <c r="JGK160" s="20"/>
      <c r="JGL160" s="20"/>
      <c r="JGM160" s="20"/>
      <c r="JGN160" s="20"/>
      <c r="JGO160" s="20"/>
      <c r="JGP160" s="20"/>
      <c r="JGQ160" s="20"/>
      <c r="JGR160" s="20"/>
      <c r="JGS160" s="20"/>
      <c r="JGT160" s="20"/>
      <c r="JGU160" s="20"/>
      <c r="JGV160" s="20"/>
      <c r="JGW160" s="20"/>
      <c r="JGX160" s="20"/>
      <c r="JGY160" s="20"/>
      <c r="JGZ160" s="20"/>
      <c r="JHA160" s="20"/>
      <c r="JHB160" s="20"/>
      <c r="JHC160" s="20"/>
      <c r="JHD160" s="20"/>
      <c r="JHE160" s="20"/>
      <c r="JHF160" s="20"/>
      <c r="JHG160" s="20"/>
      <c r="JHH160" s="20"/>
      <c r="JHI160" s="20"/>
      <c r="JHJ160" s="20"/>
      <c r="JHK160" s="20"/>
      <c r="JHL160" s="20"/>
      <c r="JHM160" s="20"/>
      <c r="JHN160" s="20"/>
      <c r="JHO160" s="20"/>
      <c r="JHP160" s="20"/>
      <c r="JHQ160" s="20"/>
      <c r="JHR160" s="20"/>
      <c r="JHS160" s="20"/>
      <c r="JHT160" s="20"/>
      <c r="JHU160" s="20"/>
      <c r="JHV160" s="20"/>
      <c r="JHW160" s="20"/>
      <c r="JHX160" s="20"/>
      <c r="JHY160" s="20"/>
      <c r="JHZ160" s="20"/>
      <c r="JIA160" s="20"/>
      <c r="JIB160" s="20"/>
      <c r="JIC160" s="20"/>
      <c r="JID160" s="20"/>
      <c r="JIE160" s="20"/>
      <c r="JIF160" s="20"/>
      <c r="JIG160" s="20"/>
      <c r="JIH160" s="20"/>
      <c r="JII160" s="20"/>
      <c r="JIJ160" s="20"/>
      <c r="JIK160" s="20"/>
      <c r="JIL160" s="20"/>
      <c r="JIM160" s="20"/>
      <c r="JIN160" s="20"/>
      <c r="JIO160" s="20"/>
      <c r="JIP160" s="20"/>
      <c r="JIQ160" s="20"/>
      <c r="JIR160" s="20"/>
      <c r="JIS160" s="20"/>
      <c r="JIT160" s="20"/>
      <c r="JIU160" s="20"/>
      <c r="JIV160" s="20"/>
      <c r="JIW160" s="20"/>
      <c r="JIX160" s="20"/>
      <c r="JIY160" s="20"/>
      <c r="JIZ160" s="20"/>
      <c r="JJA160" s="20"/>
      <c r="JJB160" s="20"/>
      <c r="JJC160" s="20"/>
      <c r="JJD160" s="20"/>
      <c r="JJE160" s="20"/>
      <c r="JJF160" s="20"/>
      <c r="JJG160" s="20"/>
      <c r="JJH160" s="20"/>
      <c r="JJI160" s="20"/>
      <c r="JJJ160" s="20"/>
      <c r="JJK160" s="20"/>
      <c r="JJL160" s="20"/>
      <c r="JJM160" s="20"/>
      <c r="JJN160" s="20"/>
      <c r="JJO160" s="20"/>
      <c r="JJP160" s="20"/>
      <c r="JJQ160" s="20"/>
      <c r="JJR160" s="20"/>
      <c r="JJS160" s="20"/>
      <c r="JJT160" s="20"/>
      <c r="JJU160" s="20"/>
      <c r="JJV160" s="20"/>
      <c r="JJW160" s="20"/>
      <c r="JJX160" s="20"/>
      <c r="JJY160" s="20"/>
      <c r="JJZ160" s="20"/>
      <c r="JKA160" s="20"/>
      <c r="JKB160" s="20"/>
      <c r="JKC160" s="20"/>
      <c r="JKD160" s="20"/>
      <c r="JKE160" s="20"/>
      <c r="JKF160" s="20"/>
      <c r="JKG160" s="20"/>
      <c r="JKH160" s="20"/>
      <c r="JKI160" s="20"/>
      <c r="JKJ160" s="20"/>
      <c r="JKK160" s="20"/>
      <c r="JKL160" s="20"/>
      <c r="JKM160" s="20"/>
      <c r="JKN160" s="20"/>
      <c r="JKO160" s="20"/>
      <c r="JKP160" s="20"/>
      <c r="JKQ160" s="20"/>
      <c r="JKR160" s="20"/>
      <c r="JKS160" s="20"/>
      <c r="JKT160" s="20"/>
      <c r="JKU160" s="20"/>
      <c r="JKV160" s="20"/>
      <c r="JKW160" s="20"/>
      <c r="JKX160" s="20"/>
      <c r="JKY160" s="20"/>
      <c r="JKZ160" s="20"/>
      <c r="JLA160" s="20"/>
      <c r="JLB160" s="20"/>
      <c r="JLC160" s="20"/>
      <c r="JLD160" s="20"/>
      <c r="JLE160" s="20"/>
      <c r="JLF160" s="20"/>
      <c r="JLG160" s="20"/>
      <c r="JLH160" s="20"/>
      <c r="JLI160" s="20"/>
      <c r="JLJ160" s="20"/>
      <c r="JLK160" s="20"/>
      <c r="JLL160" s="20"/>
      <c r="JLM160" s="20"/>
      <c r="JLN160" s="20"/>
      <c r="JLO160" s="20"/>
      <c r="JLP160" s="20"/>
      <c r="JLQ160" s="20"/>
      <c r="JLR160" s="20"/>
      <c r="JLS160" s="20"/>
      <c r="JLT160" s="20"/>
      <c r="JLU160" s="20"/>
      <c r="JLV160" s="20"/>
      <c r="JLW160" s="20"/>
      <c r="JLX160" s="20"/>
      <c r="JLY160" s="20"/>
      <c r="JLZ160" s="20"/>
      <c r="JMA160" s="20"/>
      <c r="JMB160" s="20"/>
      <c r="JMC160" s="20"/>
      <c r="JMD160" s="20"/>
      <c r="JME160" s="20"/>
      <c r="JMF160" s="20"/>
      <c r="JMG160" s="20"/>
      <c r="JMH160" s="20"/>
      <c r="JMI160" s="20"/>
      <c r="JMJ160" s="20"/>
      <c r="JMK160" s="20"/>
      <c r="JML160" s="20"/>
      <c r="JMM160" s="20"/>
      <c r="JMN160" s="20"/>
      <c r="JMO160" s="20"/>
      <c r="JMP160" s="20"/>
      <c r="JMQ160" s="20"/>
      <c r="JMR160" s="20"/>
      <c r="JMS160" s="20"/>
      <c r="JMT160" s="20"/>
      <c r="JMU160" s="20"/>
      <c r="JMV160" s="20"/>
      <c r="JMW160" s="20"/>
      <c r="JMX160" s="20"/>
      <c r="JMY160" s="20"/>
      <c r="JMZ160" s="20"/>
      <c r="JNA160" s="20"/>
      <c r="JNB160" s="20"/>
      <c r="JNC160" s="20"/>
      <c r="JND160" s="20"/>
      <c r="JNE160" s="20"/>
      <c r="JNF160" s="20"/>
      <c r="JNG160" s="20"/>
      <c r="JNH160" s="20"/>
      <c r="JNI160" s="20"/>
      <c r="JNJ160" s="20"/>
      <c r="JNK160" s="20"/>
      <c r="JNL160" s="20"/>
      <c r="JNM160" s="20"/>
      <c r="JNN160" s="20"/>
      <c r="JNO160" s="20"/>
      <c r="JNP160" s="20"/>
      <c r="JNQ160" s="20"/>
      <c r="JNR160" s="20"/>
      <c r="JNS160" s="20"/>
      <c r="JNT160" s="20"/>
      <c r="JNU160" s="20"/>
      <c r="JNV160" s="20"/>
      <c r="JNW160" s="20"/>
      <c r="JNX160" s="20"/>
      <c r="JNY160" s="20"/>
      <c r="JNZ160" s="20"/>
      <c r="JOA160" s="20"/>
      <c r="JOB160" s="20"/>
      <c r="JOC160" s="20"/>
      <c r="JOD160" s="20"/>
      <c r="JOE160" s="20"/>
      <c r="JOF160" s="20"/>
      <c r="JOG160" s="20"/>
      <c r="JOH160" s="20"/>
      <c r="JOI160" s="20"/>
      <c r="JOJ160" s="20"/>
      <c r="JOK160" s="20"/>
      <c r="JOL160" s="20"/>
      <c r="JOM160" s="20"/>
      <c r="JON160" s="20"/>
      <c r="JOO160" s="20"/>
      <c r="JOP160" s="20"/>
      <c r="JOQ160" s="20"/>
      <c r="JOR160" s="20"/>
      <c r="JOS160" s="20"/>
      <c r="JOT160" s="20"/>
      <c r="JOU160" s="20"/>
      <c r="JOV160" s="20"/>
      <c r="JOW160" s="20"/>
      <c r="JOX160" s="20"/>
      <c r="JOY160" s="20"/>
      <c r="JOZ160" s="20"/>
      <c r="JPA160" s="20"/>
      <c r="JPB160" s="20"/>
      <c r="JPC160" s="20"/>
      <c r="JPD160" s="20"/>
      <c r="JPE160" s="20"/>
      <c r="JPF160" s="20"/>
      <c r="JPG160" s="20"/>
      <c r="JPH160" s="20"/>
      <c r="JPI160" s="20"/>
      <c r="JPJ160" s="20"/>
      <c r="JPK160" s="20"/>
      <c r="JPL160" s="20"/>
      <c r="JPM160" s="20"/>
      <c r="JPN160" s="20"/>
      <c r="JPO160" s="20"/>
      <c r="JPP160" s="20"/>
      <c r="JPQ160" s="20"/>
      <c r="JPR160" s="20"/>
      <c r="JPS160" s="20"/>
      <c r="JPT160" s="20"/>
      <c r="JPU160" s="20"/>
      <c r="JPV160" s="20"/>
      <c r="JPW160" s="20"/>
      <c r="JPX160" s="20"/>
      <c r="JPY160" s="20"/>
      <c r="JPZ160" s="20"/>
      <c r="JQA160" s="20"/>
      <c r="JQB160" s="20"/>
      <c r="JQC160" s="20"/>
      <c r="JQD160" s="20"/>
      <c r="JQE160" s="20"/>
      <c r="JQF160" s="20"/>
      <c r="JQG160" s="20"/>
      <c r="JQH160" s="20"/>
      <c r="JQI160" s="20"/>
      <c r="JQJ160" s="20"/>
      <c r="JQK160" s="20"/>
      <c r="JQL160" s="20"/>
      <c r="JQM160" s="20"/>
      <c r="JQN160" s="20"/>
      <c r="JQO160" s="20"/>
      <c r="JQP160" s="20"/>
      <c r="JQQ160" s="20"/>
      <c r="JQR160" s="20"/>
      <c r="JQS160" s="20"/>
      <c r="JQT160" s="20"/>
      <c r="JQU160" s="20"/>
      <c r="JQV160" s="20"/>
      <c r="JQW160" s="20"/>
      <c r="JQX160" s="20"/>
      <c r="JQY160" s="20"/>
      <c r="JQZ160" s="20"/>
      <c r="JRA160" s="20"/>
      <c r="JRB160" s="20"/>
      <c r="JRC160" s="20"/>
      <c r="JRD160" s="20"/>
      <c r="JRE160" s="20"/>
      <c r="JRF160" s="20"/>
      <c r="JRG160" s="20"/>
      <c r="JRH160" s="20"/>
      <c r="JRI160" s="20"/>
      <c r="JRJ160" s="20"/>
      <c r="JRK160" s="20"/>
      <c r="JRL160" s="20"/>
      <c r="JRM160" s="20"/>
      <c r="JRN160" s="20"/>
      <c r="JRO160" s="20"/>
      <c r="JRP160" s="20"/>
      <c r="JRQ160" s="20"/>
      <c r="JRR160" s="20"/>
      <c r="JRS160" s="20"/>
      <c r="JRT160" s="20"/>
      <c r="JRU160" s="20"/>
      <c r="JRV160" s="20"/>
      <c r="JRW160" s="20"/>
      <c r="JRX160" s="20"/>
      <c r="JRY160" s="20"/>
      <c r="JRZ160" s="20"/>
      <c r="JSA160" s="20"/>
      <c r="JSB160" s="20"/>
      <c r="JSC160" s="20"/>
      <c r="JSD160" s="20"/>
      <c r="JSE160" s="20"/>
      <c r="JSF160" s="20"/>
      <c r="JSG160" s="20"/>
      <c r="JSH160" s="20"/>
      <c r="JSI160" s="20"/>
      <c r="JSJ160" s="20"/>
      <c r="JSK160" s="20"/>
      <c r="JSL160" s="20"/>
      <c r="JSM160" s="20"/>
      <c r="JSN160" s="20"/>
      <c r="JSO160" s="20"/>
      <c r="JSP160" s="20"/>
      <c r="JSQ160" s="20"/>
      <c r="JSR160" s="20"/>
      <c r="JSS160" s="20"/>
      <c r="JST160" s="20"/>
      <c r="JSU160" s="20"/>
      <c r="JSV160" s="20"/>
      <c r="JSW160" s="20"/>
      <c r="JSX160" s="20"/>
      <c r="JSY160" s="20"/>
      <c r="JSZ160" s="20"/>
      <c r="JTA160" s="20"/>
      <c r="JTB160" s="20"/>
      <c r="JTC160" s="20"/>
      <c r="JTD160" s="20"/>
      <c r="JTE160" s="20"/>
      <c r="JTF160" s="20"/>
      <c r="JTG160" s="20"/>
      <c r="JTH160" s="20"/>
      <c r="JTI160" s="20"/>
      <c r="JTJ160" s="20"/>
      <c r="JTK160" s="20"/>
      <c r="JTL160" s="20"/>
      <c r="JTM160" s="20"/>
      <c r="JTN160" s="20"/>
      <c r="JTO160" s="20"/>
      <c r="JTP160" s="20"/>
      <c r="JTQ160" s="20"/>
      <c r="JTR160" s="20"/>
      <c r="JTS160" s="20"/>
      <c r="JTT160" s="20"/>
      <c r="JTU160" s="20"/>
      <c r="JTV160" s="20"/>
      <c r="JTW160" s="20"/>
      <c r="JTX160" s="20"/>
      <c r="JTY160" s="20"/>
      <c r="JTZ160" s="20"/>
      <c r="JUA160" s="20"/>
      <c r="JUB160" s="20"/>
      <c r="JUC160" s="20"/>
      <c r="JUD160" s="20"/>
      <c r="JUE160" s="20"/>
      <c r="JUF160" s="20"/>
      <c r="JUG160" s="20"/>
      <c r="JUH160" s="20"/>
      <c r="JUI160" s="20"/>
      <c r="JUJ160" s="20"/>
      <c r="JUK160" s="20"/>
      <c r="JUL160" s="20"/>
      <c r="JUM160" s="20"/>
      <c r="JUN160" s="20"/>
      <c r="JUO160" s="20"/>
      <c r="JUP160" s="20"/>
      <c r="JUQ160" s="20"/>
      <c r="JUR160" s="20"/>
      <c r="JUS160" s="20"/>
      <c r="JUT160" s="20"/>
      <c r="JUU160" s="20"/>
      <c r="JUV160" s="20"/>
      <c r="JUW160" s="20"/>
      <c r="JUX160" s="20"/>
      <c r="JUY160" s="20"/>
      <c r="JUZ160" s="20"/>
      <c r="JVA160" s="20"/>
      <c r="JVB160" s="20"/>
      <c r="JVC160" s="20"/>
      <c r="JVD160" s="20"/>
      <c r="JVE160" s="20"/>
      <c r="JVF160" s="20"/>
      <c r="JVG160" s="20"/>
      <c r="JVH160" s="20"/>
      <c r="JVI160" s="20"/>
      <c r="JVJ160" s="20"/>
      <c r="JVK160" s="20"/>
      <c r="JVL160" s="20"/>
      <c r="JVM160" s="20"/>
      <c r="JVN160" s="20"/>
      <c r="JVO160" s="20"/>
      <c r="JVP160" s="20"/>
      <c r="JVQ160" s="20"/>
      <c r="JVR160" s="20"/>
      <c r="JVS160" s="20"/>
      <c r="JVT160" s="20"/>
      <c r="JVU160" s="20"/>
      <c r="JVV160" s="20"/>
      <c r="JVW160" s="20"/>
      <c r="JVX160" s="20"/>
      <c r="JVY160" s="20"/>
      <c r="JVZ160" s="20"/>
      <c r="JWA160" s="20"/>
      <c r="JWB160" s="20"/>
      <c r="JWC160" s="20"/>
      <c r="JWD160" s="20"/>
      <c r="JWE160" s="20"/>
      <c r="JWF160" s="20"/>
      <c r="JWG160" s="20"/>
      <c r="JWH160" s="20"/>
      <c r="JWI160" s="20"/>
      <c r="JWJ160" s="20"/>
      <c r="JWK160" s="20"/>
      <c r="JWL160" s="20"/>
      <c r="JWM160" s="20"/>
      <c r="JWN160" s="20"/>
      <c r="JWO160" s="20"/>
      <c r="JWP160" s="20"/>
      <c r="JWQ160" s="20"/>
      <c r="JWR160" s="20"/>
      <c r="JWS160" s="20"/>
      <c r="JWT160" s="20"/>
      <c r="JWU160" s="20"/>
      <c r="JWV160" s="20"/>
      <c r="JWW160" s="20"/>
      <c r="JWX160" s="20"/>
      <c r="JWY160" s="20"/>
      <c r="JWZ160" s="20"/>
      <c r="JXA160" s="20"/>
      <c r="JXB160" s="20"/>
      <c r="JXC160" s="20"/>
      <c r="JXD160" s="20"/>
      <c r="JXE160" s="20"/>
      <c r="JXF160" s="20"/>
      <c r="JXG160" s="20"/>
      <c r="JXH160" s="20"/>
      <c r="JXI160" s="20"/>
      <c r="JXJ160" s="20"/>
      <c r="JXK160" s="20"/>
      <c r="JXL160" s="20"/>
      <c r="JXM160" s="20"/>
      <c r="JXN160" s="20"/>
      <c r="JXO160" s="20"/>
      <c r="JXP160" s="20"/>
      <c r="JXQ160" s="20"/>
      <c r="JXR160" s="20"/>
      <c r="JXS160" s="20"/>
      <c r="JXT160" s="20"/>
      <c r="JXU160" s="20"/>
      <c r="JXV160" s="20"/>
      <c r="JXW160" s="20"/>
      <c r="JXX160" s="20"/>
      <c r="JXY160" s="20"/>
      <c r="JXZ160" s="20"/>
      <c r="JYA160" s="20"/>
      <c r="JYB160" s="20"/>
      <c r="JYC160" s="20"/>
      <c r="JYD160" s="20"/>
      <c r="JYE160" s="20"/>
      <c r="JYF160" s="20"/>
      <c r="JYG160" s="20"/>
      <c r="JYH160" s="20"/>
      <c r="JYI160" s="20"/>
      <c r="JYJ160" s="20"/>
      <c r="JYK160" s="20"/>
      <c r="JYL160" s="20"/>
      <c r="JYM160" s="20"/>
      <c r="JYN160" s="20"/>
      <c r="JYO160" s="20"/>
      <c r="JYP160" s="20"/>
      <c r="JYQ160" s="20"/>
      <c r="JYR160" s="20"/>
      <c r="JYS160" s="20"/>
      <c r="JYT160" s="20"/>
      <c r="JYU160" s="20"/>
      <c r="JYV160" s="20"/>
      <c r="JYW160" s="20"/>
      <c r="JYX160" s="20"/>
      <c r="JYY160" s="20"/>
      <c r="JYZ160" s="20"/>
      <c r="JZA160" s="20"/>
      <c r="JZB160" s="20"/>
      <c r="JZC160" s="20"/>
      <c r="JZD160" s="20"/>
      <c r="JZE160" s="20"/>
      <c r="JZF160" s="20"/>
      <c r="JZG160" s="20"/>
      <c r="JZH160" s="20"/>
      <c r="JZI160" s="20"/>
      <c r="JZJ160" s="20"/>
      <c r="JZK160" s="20"/>
      <c r="JZL160" s="20"/>
      <c r="JZM160" s="20"/>
      <c r="JZN160" s="20"/>
      <c r="JZO160" s="20"/>
      <c r="JZP160" s="20"/>
      <c r="JZQ160" s="20"/>
      <c r="JZR160" s="20"/>
      <c r="JZS160" s="20"/>
      <c r="JZT160" s="20"/>
      <c r="JZU160" s="20"/>
      <c r="JZV160" s="20"/>
      <c r="JZW160" s="20"/>
      <c r="JZX160" s="20"/>
      <c r="JZY160" s="20"/>
      <c r="JZZ160" s="20"/>
      <c r="KAA160" s="20"/>
      <c r="KAB160" s="20"/>
      <c r="KAC160" s="20"/>
      <c r="KAD160" s="20"/>
      <c r="KAE160" s="20"/>
      <c r="KAF160" s="20"/>
      <c r="KAG160" s="20"/>
      <c r="KAH160" s="20"/>
      <c r="KAI160" s="20"/>
      <c r="KAJ160" s="20"/>
      <c r="KAK160" s="20"/>
      <c r="KAL160" s="20"/>
      <c r="KAM160" s="20"/>
      <c r="KAN160" s="20"/>
      <c r="KAO160" s="20"/>
      <c r="KAP160" s="20"/>
      <c r="KAQ160" s="20"/>
      <c r="KAR160" s="20"/>
      <c r="KAS160" s="20"/>
      <c r="KAT160" s="20"/>
      <c r="KAU160" s="20"/>
      <c r="KAV160" s="20"/>
      <c r="KAW160" s="20"/>
      <c r="KAX160" s="20"/>
      <c r="KAY160" s="20"/>
      <c r="KAZ160" s="20"/>
      <c r="KBA160" s="20"/>
      <c r="KBB160" s="20"/>
      <c r="KBC160" s="20"/>
      <c r="KBD160" s="20"/>
      <c r="KBE160" s="20"/>
      <c r="KBF160" s="20"/>
      <c r="KBG160" s="20"/>
      <c r="KBH160" s="20"/>
      <c r="KBI160" s="20"/>
      <c r="KBJ160" s="20"/>
      <c r="KBK160" s="20"/>
      <c r="KBL160" s="20"/>
      <c r="KBM160" s="20"/>
      <c r="KBN160" s="20"/>
      <c r="KBO160" s="20"/>
      <c r="KBP160" s="20"/>
      <c r="KBQ160" s="20"/>
      <c r="KBR160" s="20"/>
      <c r="KBS160" s="20"/>
      <c r="KBT160" s="20"/>
      <c r="KBU160" s="20"/>
      <c r="KBV160" s="20"/>
      <c r="KBW160" s="20"/>
      <c r="KBX160" s="20"/>
      <c r="KBY160" s="20"/>
      <c r="KBZ160" s="20"/>
      <c r="KCA160" s="20"/>
      <c r="KCB160" s="20"/>
      <c r="KCC160" s="20"/>
      <c r="KCD160" s="20"/>
      <c r="KCE160" s="20"/>
      <c r="KCF160" s="20"/>
      <c r="KCG160" s="20"/>
      <c r="KCH160" s="20"/>
      <c r="KCI160" s="20"/>
      <c r="KCJ160" s="20"/>
      <c r="KCK160" s="20"/>
      <c r="KCL160" s="20"/>
      <c r="KCM160" s="20"/>
      <c r="KCN160" s="20"/>
      <c r="KCO160" s="20"/>
      <c r="KCP160" s="20"/>
      <c r="KCQ160" s="20"/>
      <c r="KCR160" s="20"/>
      <c r="KCS160" s="20"/>
      <c r="KCT160" s="20"/>
      <c r="KCU160" s="20"/>
      <c r="KCV160" s="20"/>
      <c r="KCW160" s="20"/>
      <c r="KCX160" s="20"/>
      <c r="KCY160" s="20"/>
      <c r="KCZ160" s="20"/>
      <c r="KDA160" s="20"/>
      <c r="KDB160" s="20"/>
      <c r="KDC160" s="20"/>
      <c r="KDD160" s="20"/>
      <c r="KDE160" s="20"/>
      <c r="KDF160" s="20"/>
      <c r="KDG160" s="20"/>
      <c r="KDH160" s="20"/>
      <c r="KDI160" s="20"/>
      <c r="KDJ160" s="20"/>
      <c r="KDK160" s="20"/>
      <c r="KDL160" s="20"/>
      <c r="KDM160" s="20"/>
      <c r="KDN160" s="20"/>
      <c r="KDO160" s="20"/>
      <c r="KDP160" s="20"/>
      <c r="KDQ160" s="20"/>
      <c r="KDR160" s="20"/>
      <c r="KDS160" s="20"/>
      <c r="KDT160" s="20"/>
      <c r="KDU160" s="20"/>
      <c r="KDV160" s="20"/>
      <c r="KDW160" s="20"/>
      <c r="KDX160" s="20"/>
      <c r="KDY160" s="20"/>
      <c r="KDZ160" s="20"/>
      <c r="KEA160" s="20"/>
      <c r="KEB160" s="20"/>
      <c r="KEC160" s="20"/>
      <c r="KED160" s="20"/>
      <c r="KEE160" s="20"/>
      <c r="KEF160" s="20"/>
      <c r="KEG160" s="20"/>
      <c r="KEH160" s="20"/>
      <c r="KEI160" s="20"/>
      <c r="KEJ160" s="20"/>
      <c r="KEK160" s="20"/>
      <c r="KEL160" s="20"/>
      <c r="KEM160" s="20"/>
      <c r="KEN160" s="20"/>
      <c r="KEO160" s="20"/>
      <c r="KEP160" s="20"/>
      <c r="KEQ160" s="20"/>
      <c r="KER160" s="20"/>
      <c r="KES160" s="20"/>
      <c r="KET160" s="20"/>
      <c r="KEU160" s="20"/>
      <c r="KEV160" s="20"/>
      <c r="KEW160" s="20"/>
      <c r="KEX160" s="20"/>
      <c r="KEY160" s="20"/>
      <c r="KEZ160" s="20"/>
      <c r="KFA160" s="20"/>
      <c r="KFB160" s="20"/>
      <c r="KFC160" s="20"/>
      <c r="KFD160" s="20"/>
      <c r="KFE160" s="20"/>
      <c r="KFF160" s="20"/>
      <c r="KFG160" s="20"/>
      <c r="KFH160" s="20"/>
      <c r="KFI160" s="20"/>
      <c r="KFJ160" s="20"/>
      <c r="KFK160" s="20"/>
      <c r="KFL160" s="20"/>
      <c r="KFM160" s="20"/>
      <c r="KFN160" s="20"/>
      <c r="KFO160" s="20"/>
      <c r="KFP160" s="20"/>
      <c r="KFQ160" s="20"/>
      <c r="KFR160" s="20"/>
      <c r="KFS160" s="20"/>
      <c r="KFT160" s="20"/>
      <c r="KFU160" s="20"/>
      <c r="KFV160" s="20"/>
      <c r="KFW160" s="20"/>
      <c r="KFX160" s="20"/>
      <c r="KFY160" s="20"/>
      <c r="KFZ160" s="20"/>
      <c r="KGA160" s="20"/>
      <c r="KGB160" s="20"/>
      <c r="KGC160" s="20"/>
      <c r="KGD160" s="20"/>
      <c r="KGE160" s="20"/>
      <c r="KGF160" s="20"/>
      <c r="KGG160" s="20"/>
      <c r="KGH160" s="20"/>
      <c r="KGI160" s="20"/>
      <c r="KGJ160" s="20"/>
      <c r="KGK160" s="20"/>
      <c r="KGL160" s="20"/>
      <c r="KGM160" s="20"/>
      <c r="KGN160" s="20"/>
      <c r="KGO160" s="20"/>
      <c r="KGP160" s="20"/>
      <c r="KGQ160" s="20"/>
      <c r="KGR160" s="20"/>
      <c r="KGS160" s="20"/>
      <c r="KGT160" s="20"/>
      <c r="KGU160" s="20"/>
      <c r="KGV160" s="20"/>
      <c r="KGW160" s="20"/>
      <c r="KGX160" s="20"/>
      <c r="KGY160" s="20"/>
      <c r="KGZ160" s="20"/>
      <c r="KHA160" s="20"/>
      <c r="KHB160" s="20"/>
      <c r="KHC160" s="20"/>
      <c r="KHD160" s="20"/>
      <c r="KHE160" s="20"/>
      <c r="KHF160" s="20"/>
      <c r="KHG160" s="20"/>
      <c r="KHH160" s="20"/>
      <c r="KHI160" s="20"/>
      <c r="KHJ160" s="20"/>
      <c r="KHK160" s="20"/>
      <c r="KHL160" s="20"/>
      <c r="KHM160" s="20"/>
      <c r="KHN160" s="20"/>
      <c r="KHO160" s="20"/>
      <c r="KHP160" s="20"/>
      <c r="KHQ160" s="20"/>
      <c r="KHR160" s="20"/>
      <c r="KHS160" s="20"/>
      <c r="KHT160" s="20"/>
      <c r="KHU160" s="20"/>
      <c r="KHV160" s="20"/>
      <c r="KHW160" s="20"/>
      <c r="KHX160" s="20"/>
      <c r="KHY160" s="20"/>
      <c r="KHZ160" s="20"/>
      <c r="KIA160" s="20"/>
      <c r="KIB160" s="20"/>
      <c r="KIC160" s="20"/>
      <c r="KID160" s="20"/>
      <c r="KIE160" s="20"/>
      <c r="KIF160" s="20"/>
      <c r="KIG160" s="20"/>
      <c r="KIH160" s="20"/>
      <c r="KII160" s="20"/>
      <c r="KIJ160" s="20"/>
      <c r="KIK160" s="20"/>
      <c r="KIL160" s="20"/>
      <c r="KIM160" s="20"/>
      <c r="KIN160" s="20"/>
      <c r="KIO160" s="20"/>
      <c r="KIP160" s="20"/>
      <c r="KIQ160" s="20"/>
      <c r="KIR160" s="20"/>
      <c r="KIS160" s="20"/>
      <c r="KIT160" s="20"/>
      <c r="KIU160" s="20"/>
      <c r="KIV160" s="20"/>
      <c r="KIW160" s="20"/>
      <c r="KIX160" s="20"/>
      <c r="KIY160" s="20"/>
      <c r="KIZ160" s="20"/>
      <c r="KJA160" s="20"/>
      <c r="KJB160" s="20"/>
      <c r="KJC160" s="20"/>
      <c r="KJD160" s="20"/>
      <c r="KJE160" s="20"/>
      <c r="KJF160" s="20"/>
      <c r="KJG160" s="20"/>
      <c r="KJH160" s="20"/>
      <c r="KJI160" s="20"/>
      <c r="KJJ160" s="20"/>
      <c r="KJK160" s="20"/>
      <c r="KJL160" s="20"/>
      <c r="KJM160" s="20"/>
      <c r="KJN160" s="20"/>
      <c r="KJO160" s="20"/>
      <c r="KJP160" s="20"/>
      <c r="KJQ160" s="20"/>
      <c r="KJR160" s="20"/>
      <c r="KJS160" s="20"/>
      <c r="KJT160" s="20"/>
      <c r="KJU160" s="20"/>
      <c r="KJV160" s="20"/>
      <c r="KJW160" s="20"/>
      <c r="KJX160" s="20"/>
      <c r="KJY160" s="20"/>
      <c r="KJZ160" s="20"/>
      <c r="KKA160" s="20"/>
      <c r="KKB160" s="20"/>
      <c r="KKC160" s="20"/>
      <c r="KKD160" s="20"/>
      <c r="KKE160" s="20"/>
      <c r="KKF160" s="20"/>
      <c r="KKG160" s="20"/>
      <c r="KKH160" s="20"/>
      <c r="KKI160" s="20"/>
      <c r="KKJ160" s="20"/>
      <c r="KKK160" s="20"/>
      <c r="KKL160" s="20"/>
      <c r="KKM160" s="20"/>
      <c r="KKN160" s="20"/>
      <c r="KKO160" s="20"/>
      <c r="KKP160" s="20"/>
      <c r="KKQ160" s="20"/>
      <c r="KKR160" s="20"/>
      <c r="KKS160" s="20"/>
      <c r="KKT160" s="20"/>
      <c r="KKU160" s="20"/>
      <c r="KKV160" s="20"/>
      <c r="KKW160" s="20"/>
      <c r="KKX160" s="20"/>
      <c r="KKY160" s="20"/>
      <c r="KKZ160" s="20"/>
      <c r="KLA160" s="20"/>
      <c r="KLB160" s="20"/>
      <c r="KLC160" s="20"/>
      <c r="KLD160" s="20"/>
      <c r="KLE160" s="20"/>
      <c r="KLF160" s="20"/>
      <c r="KLG160" s="20"/>
      <c r="KLH160" s="20"/>
      <c r="KLI160" s="20"/>
      <c r="KLJ160" s="20"/>
      <c r="KLK160" s="20"/>
      <c r="KLL160" s="20"/>
      <c r="KLM160" s="20"/>
      <c r="KLN160" s="20"/>
      <c r="KLO160" s="20"/>
      <c r="KLP160" s="20"/>
      <c r="KLQ160" s="20"/>
      <c r="KLR160" s="20"/>
      <c r="KLS160" s="20"/>
      <c r="KLT160" s="20"/>
      <c r="KLU160" s="20"/>
      <c r="KLV160" s="20"/>
      <c r="KLW160" s="20"/>
      <c r="KLX160" s="20"/>
      <c r="KLY160" s="20"/>
      <c r="KLZ160" s="20"/>
      <c r="KMA160" s="20"/>
      <c r="KMB160" s="20"/>
      <c r="KMC160" s="20"/>
      <c r="KMD160" s="20"/>
      <c r="KME160" s="20"/>
      <c r="KMF160" s="20"/>
      <c r="KMG160" s="20"/>
      <c r="KMH160" s="20"/>
      <c r="KMI160" s="20"/>
      <c r="KMJ160" s="20"/>
      <c r="KMK160" s="20"/>
      <c r="KML160" s="20"/>
      <c r="KMM160" s="20"/>
      <c r="KMN160" s="20"/>
      <c r="KMO160" s="20"/>
      <c r="KMP160" s="20"/>
      <c r="KMQ160" s="20"/>
      <c r="KMR160" s="20"/>
      <c r="KMS160" s="20"/>
      <c r="KMT160" s="20"/>
      <c r="KMU160" s="20"/>
      <c r="KMV160" s="20"/>
      <c r="KMW160" s="20"/>
      <c r="KMX160" s="20"/>
      <c r="KMY160" s="20"/>
      <c r="KMZ160" s="20"/>
      <c r="KNA160" s="20"/>
      <c r="KNB160" s="20"/>
      <c r="KNC160" s="20"/>
      <c r="KND160" s="20"/>
      <c r="KNE160" s="20"/>
      <c r="KNF160" s="20"/>
      <c r="KNG160" s="20"/>
      <c r="KNH160" s="20"/>
      <c r="KNI160" s="20"/>
      <c r="KNJ160" s="20"/>
      <c r="KNK160" s="20"/>
      <c r="KNL160" s="20"/>
      <c r="KNM160" s="20"/>
      <c r="KNN160" s="20"/>
      <c r="KNO160" s="20"/>
      <c r="KNP160" s="20"/>
      <c r="KNQ160" s="20"/>
      <c r="KNR160" s="20"/>
      <c r="KNS160" s="20"/>
      <c r="KNT160" s="20"/>
      <c r="KNU160" s="20"/>
      <c r="KNV160" s="20"/>
      <c r="KNW160" s="20"/>
      <c r="KNX160" s="20"/>
      <c r="KNY160" s="20"/>
      <c r="KNZ160" s="20"/>
      <c r="KOA160" s="20"/>
      <c r="KOB160" s="20"/>
      <c r="KOC160" s="20"/>
      <c r="KOD160" s="20"/>
      <c r="KOE160" s="20"/>
      <c r="KOF160" s="20"/>
      <c r="KOG160" s="20"/>
      <c r="KOH160" s="20"/>
      <c r="KOI160" s="20"/>
      <c r="KOJ160" s="20"/>
      <c r="KOK160" s="20"/>
      <c r="KOL160" s="20"/>
      <c r="KOM160" s="20"/>
      <c r="KON160" s="20"/>
      <c r="KOO160" s="20"/>
      <c r="KOP160" s="20"/>
      <c r="KOQ160" s="20"/>
      <c r="KOR160" s="20"/>
      <c r="KOS160" s="20"/>
      <c r="KOT160" s="20"/>
      <c r="KOU160" s="20"/>
      <c r="KOV160" s="20"/>
      <c r="KOW160" s="20"/>
      <c r="KOX160" s="20"/>
      <c r="KOY160" s="20"/>
      <c r="KOZ160" s="20"/>
      <c r="KPA160" s="20"/>
      <c r="KPB160" s="20"/>
      <c r="KPC160" s="20"/>
      <c r="KPD160" s="20"/>
      <c r="KPE160" s="20"/>
      <c r="KPF160" s="20"/>
      <c r="KPG160" s="20"/>
      <c r="KPH160" s="20"/>
      <c r="KPI160" s="20"/>
      <c r="KPJ160" s="20"/>
      <c r="KPK160" s="20"/>
      <c r="KPL160" s="20"/>
      <c r="KPM160" s="20"/>
      <c r="KPN160" s="20"/>
      <c r="KPO160" s="20"/>
      <c r="KPP160" s="20"/>
      <c r="KPQ160" s="20"/>
      <c r="KPR160" s="20"/>
      <c r="KPS160" s="20"/>
      <c r="KPT160" s="20"/>
      <c r="KPU160" s="20"/>
      <c r="KPV160" s="20"/>
      <c r="KPW160" s="20"/>
      <c r="KPX160" s="20"/>
      <c r="KPY160" s="20"/>
      <c r="KPZ160" s="20"/>
      <c r="KQA160" s="20"/>
      <c r="KQB160" s="20"/>
      <c r="KQC160" s="20"/>
      <c r="KQD160" s="20"/>
      <c r="KQE160" s="20"/>
      <c r="KQF160" s="20"/>
      <c r="KQG160" s="20"/>
      <c r="KQH160" s="20"/>
      <c r="KQI160" s="20"/>
      <c r="KQJ160" s="20"/>
      <c r="KQK160" s="20"/>
      <c r="KQL160" s="20"/>
      <c r="KQM160" s="20"/>
      <c r="KQN160" s="20"/>
      <c r="KQO160" s="20"/>
      <c r="KQP160" s="20"/>
      <c r="KQQ160" s="20"/>
      <c r="KQR160" s="20"/>
      <c r="KQS160" s="20"/>
      <c r="KQT160" s="20"/>
      <c r="KQU160" s="20"/>
      <c r="KQV160" s="20"/>
      <c r="KQW160" s="20"/>
      <c r="KQX160" s="20"/>
      <c r="KQY160" s="20"/>
      <c r="KQZ160" s="20"/>
      <c r="KRA160" s="20"/>
      <c r="KRB160" s="20"/>
      <c r="KRC160" s="20"/>
      <c r="KRD160" s="20"/>
      <c r="KRE160" s="20"/>
      <c r="KRF160" s="20"/>
      <c r="KRG160" s="20"/>
      <c r="KRH160" s="20"/>
      <c r="KRI160" s="20"/>
      <c r="KRJ160" s="20"/>
      <c r="KRK160" s="20"/>
      <c r="KRL160" s="20"/>
      <c r="KRM160" s="20"/>
      <c r="KRN160" s="20"/>
      <c r="KRO160" s="20"/>
      <c r="KRP160" s="20"/>
      <c r="KRQ160" s="20"/>
      <c r="KRR160" s="20"/>
      <c r="KRS160" s="20"/>
      <c r="KRT160" s="20"/>
      <c r="KRU160" s="20"/>
      <c r="KRV160" s="20"/>
      <c r="KRW160" s="20"/>
      <c r="KRX160" s="20"/>
      <c r="KRY160" s="20"/>
      <c r="KRZ160" s="20"/>
      <c r="KSA160" s="20"/>
      <c r="KSB160" s="20"/>
      <c r="KSC160" s="20"/>
      <c r="KSD160" s="20"/>
      <c r="KSE160" s="20"/>
      <c r="KSF160" s="20"/>
      <c r="KSG160" s="20"/>
      <c r="KSH160" s="20"/>
      <c r="KSI160" s="20"/>
      <c r="KSJ160" s="20"/>
      <c r="KSK160" s="20"/>
      <c r="KSL160" s="20"/>
      <c r="KSM160" s="20"/>
      <c r="KSN160" s="20"/>
      <c r="KSO160" s="20"/>
      <c r="KSP160" s="20"/>
      <c r="KSQ160" s="20"/>
      <c r="KSR160" s="20"/>
      <c r="KSS160" s="20"/>
      <c r="KST160" s="20"/>
      <c r="KSU160" s="20"/>
      <c r="KSV160" s="20"/>
      <c r="KSW160" s="20"/>
      <c r="KSX160" s="20"/>
      <c r="KSY160" s="20"/>
      <c r="KSZ160" s="20"/>
      <c r="KTA160" s="20"/>
      <c r="KTB160" s="20"/>
      <c r="KTC160" s="20"/>
      <c r="KTD160" s="20"/>
      <c r="KTE160" s="20"/>
      <c r="KTF160" s="20"/>
      <c r="KTG160" s="20"/>
      <c r="KTH160" s="20"/>
      <c r="KTI160" s="20"/>
      <c r="KTJ160" s="20"/>
      <c r="KTK160" s="20"/>
      <c r="KTL160" s="20"/>
      <c r="KTM160" s="20"/>
      <c r="KTN160" s="20"/>
      <c r="KTO160" s="20"/>
      <c r="KTP160" s="20"/>
      <c r="KTQ160" s="20"/>
      <c r="KTR160" s="20"/>
      <c r="KTS160" s="20"/>
      <c r="KTT160" s="20"/>
      <c r="KTU160" s="20"/>
      <c r="KTV160" s="20"/>
      <c r="KTW160" s="20"/>
      <c r="KTX160" s="20"/>
      <c r="KTY160" s="20"/>
      <c r="KTZ160" s="20"/>
      <c r="KUA160" s="20"/>
      <c r="KUB160" s="20"/>
      <c r="KUC160" s="20"/>
      <c r="KUD160" s="20"/>
      <c r="KUE160" s="20"/>
      <c r="KUF160" s="20"/>
      <c r="KUG160" s="20"/>
      <c r="KUH160" s="20"/>
      <c r="KUI160" s="20"/>
      <c r="KUJ160" s="20"/>
      <c r="KUK160" s="20"/>
      <c r="KUL160" s="20"/>
      <c r="KUM160" s="20"/>
      <c r="KUN160" s="20"/>
      <c r="KUO160" s="20"/>
      <c r="KUP160" s="20"/>
      <c r="KUQ160" s="20"/>
      <c r="KUR160" s="20"/>
      <c r="KUS160" s="20"/>
      <c r="KUT160" s="20"/>
      <c r="KUU160" s="20"/>
      <c r="KUV160" s="20"/>
      <c r="KUW160" s="20"/>
      <c r="KUX160" s="20"/>
      <c r="KUY160" s="20"/>
      <c r="KUZ160" s="20"/>
      <c r="KVA160" s="20"/>
      <c r="KVB160" s="20"/>
      <c r="KVC160" s="20"/>
      <c r="KVD160" s="20"/>
      <c r="KVE160" s="20"/>
      <c r="KVF160" s="20"/>
      <c r="KVG160" s="20"/>
      <c r="KVH160" s="20"/>
      <c r="KVI160" s="20"/>
      <c r="KVJ160" s="20"/>
      <c r="KVK160" s="20"/>
      <c r="KVL160" s="20"/>
      <c r="KVM160" s="20"/>
      <c r="KVN160" s="20"/>
      <c r="KVO160" s="20"/>
      <c r="KVP160" s="20"/>
      <c r="KVQ160" s="20"/>
      <c r="KVR160" s="20"/>
      <c r="KVS160" s="20"/>
      <c r="KVT160" s="20"/>
      <c r="KVU160" s="20"/>
      <c r="KVV160" s="20"/>
      <c r="KVW160" s="20"/>
      <c r="KVX160" s="20"/>
      <c r="KVY160" s="20"/>
      <c r="KVZ160" s="20"/>
      <c r="KWA160" s="20"/>
      <c r="KWB160" s="20"/>
      <c r="KWC160" s="20"/>
      <c r="KWD160" s="20"/>
      <c r="KWE160" s="20"/>
      <c r="KWF160" s="20"/>
      <c r="KWG160" s="20"/>
      <c r="KWH160" s="20"/>
      <c r="KWI160" s="20"/>
      <c r="KWJ160" s="20"/>
      <c r="KWK160" s="20"/>
      <c r="KWL160" s="20"/>
      <c r="KWM160" s="20"/>
      <c r="KWN160" s="20"/>
      <c r="KWO160" s="20"/>
      <c r="KWP160" s="20"/>
      <c r="KWQ160" s="20"/>
      <c r="KWR160" s="20"/>
      <c r="KWS160" s="20"/>
      <c r="KWT160" s="20"/>
      <c r="KWU160" s="20"/>
      <c r="KWV160" s="20"/>
      <c r="KWW160" s="20"/>
      <c r="KWX160" s="20"/>
      <c r="KWY160" s="20"/>
      <c r="KWZ160" s="20"/>
      <c r="KXA160" s="20"/>
      <c r="KXB160" s="20"/>
      <c r="KXC160" s="20"/>
      <c r="KXD160" s="20"/>
      <c r="KXE160" s="20"/>
      <c r="KXF160" s="20"/>
      <c r="KXG160" s="20"/>
      <c r="KXH160" s="20"/>
      <c r="KXI160" s="20"/>
      <c r="KXJ160" s="20"/>
      <c r="KXK160" s="20"/>
      <c r="KXL160" s="20"/>
      <c r="KXM160" s="20"/>
      <c r="KXN160" s="20"/>
      <c r="KXO160" s="20"/>
      <c r="KXP160" s="20"/>
      <c r="KXQ160" s="20"/>
      <c r="KXR160" s="20"/>
      <c r="KXS160" s="20"/>
      <c r="KXT160" s="20"/>
      <c r="KXU160" s="20"/>
      <c r="KXV160" s="20"/>
      <c r="KXW160" s="20"/>
      <c r="KXX160" s="20"/>
      <c r="KXY160" s="20"/>
      <c r="KXZ160" s="20"/>
      <c r="KYA160" s="20"/>
      <c r="KYB160" s="20"/>
      <c r="KYC160" s="20"/>
      <c r="KYD160" s="20"/>
      <c r="KYE160" s="20"/>
      <c r="KYF160" s="20"/>
      <c r="KYG160" s="20"/>
      <c r="KYH160" s="20"/>
      <c r="KYI160" s="20"/>
      <c r="KYJ160" s="20"/>
      <c r="KYK160" s="20"/>
      <c r="KYL160" s="20"/>
      <c r="KYM160" s="20"/>
      <c r="KYN160" s="20"/>
      <c r="KYO160" s="20"/>
      <c r="KYP160" s="20"/>
      <c r="KYQ160" s="20"/>
      <c r="KYR160" s="20"/>
      <c r="KYS160" s="20"/>
      <c r="KYT160" s="20"/>
      <c r="KYU160" s="20"/>
      <c r="KYV160" s="20"/>
      <c r="KYW160" s="20"/>
      <c r="KYX160" s="20"/>
      <c r="KYY160" s="20"/>
      <c r="KYZ160" s="20"/>
      <c r="KZA160" s="20"/>
      <c r="KZB160" s="20"/>
      <c r="KZC160" s="20"/>
      <c r="KZD160" s="20"/>
      <c r="KZE160" s="20"/>
      <c r="KZF160" s="20"/>
      <c r="KZG160" s="20"/>
      <c r="KZH160" s="20"/>
      <c r="KZI160" s="20"/>
      <c r="KZJ160" s="20"/>
      <c r="KZK160" s="20"/>
      <c r="KZL160" s="20"/>
      <c r="KZM160" s="20"/>
      <c r="KZN160" s="20"/>
      <c r="KZO160" s="20"/>
      <c r="KZP160" s="20"/>
      <c r="KZQ160" s="20"/>
      <c r="KZR160" s="20"/>
      <c r="KZS160" s="20"/>
      <c r="KZT160" s="20"/>
      <c r="KZU160" s="20"/>
      <c r="KZV160" s="20"/>
      <c r="KZW160" s="20"/>
      <c r="KZX160" s="20"/>
      <c r="KZY160" s="20"/>
      <c r="KZZ160" s="20"/>
      <c r="LAA160" s="20"/>
      <c r="LAB160" s="20"/>
      <c r="LAC160" s="20"/>
      <c r="LAD160" s="20"/>
      <c r="LAE160" s="20"/>
      <c r="LAF160" s="20"/>
      <c r="LAG160" s="20"/>
      <c r="LAH160" s="20"/>
      <c r="LAI160" s="20"/>
      <c r="LAJ160" s="20"/>
      <c r="LAK160" s="20"/>
      <c r="LAL160" s="20"/>
      <c r="LAM160" s="20"/>
      <c r="LAN160" s="20"/>
      <c r="LAO160" s="20"/>
      <c r="LAP160" s="20"/>
      <c r="LAQ160" s="20"/>
      <c r="LAR160" s="20"/>
      <c r="LAS160" s="20"/>
      <c r="LAT160" s="20"/>
      <c r="LAU160" s="20"/>
      <c r="LAV160" s="20"/>
      <c r="LAW160" s="20"/>
      <c r="LAX160" s="20"/>
      <c r="LAY160" s="20"/>
      <c r="LAZ160" s="20"/>
      <c r="LBA160" s="20"/>
      <c r="LBB160" s="20"/>
      <c r="LBC160" s="20"/>
      <c r="LBD160" s="20"/>
      <c r="LBE160" s="20"/>
      <c r="LBF160" s="20"/>
      <c r="LBG160" s="20"/>
      <c r="LBH160" s="20"/>
      <c r="LBI160" s="20"/>
      <c r="LBJ160" s="20"/>
      <c r="LBK160" s="20"/>
      <c r="LBL160" s="20"/>
      <c r="LBM160" s="20"/>
      <c r="LBN160" s="20"/>
      <c r="LBO160" s="20"/>
      <c r="LBP160" s="20"/>
      <c r="LBQ160" s="20"/>
      <c r="LBR160" s="20"/>
      <c r="LBS160" s="20"/>
      <c r="LBT160" s="20"/>
      <c r="LBU160" s="20"/>
      <c r="LBV160" s="20"/>
      <c r="LBW160" s="20"/>
      <c r="LBX160" s="20"/>
      <c r="LBY160" s="20"/>
      <c r="LBZ160" s="20"/>
      <c r="LCA160" s="20"/>
      <c r="LCB160" s="20"/>
      <c r="LCC160" s="20"/>
      <c r="LCD160" s="20"/>
      <c r="LCE160" s="20"/>
      <c r="LCF160" s="20"/>
      <c r="LCG160" s="20"/>
      <c r="LCH160" s="20"/>
      <c r="LCI160" s="20"/>
      <c r="LCJ160" s="20"/>
      <c r="LCK160" s="20"/>
      <c r="LCL160" s="20"/>
      <c r="LCM160" s="20"/>
      <c r="LCN160" s="20"/>
      <c r="LCO160" s="20"/>
      <c r="LCP160" s="20"/>
      <c r="LCQ160" s="20"/>
      <c r="LCR160" s="20"/>
      <c r="LCS160" s="20"/>
      <c r="LCT160" s="20"/>
      <c r="LCU160" s="20"/>
      <c r="LCV160" s="20"/>
      <c r="LCW160" s="20"/>
      <c r="LCX160" s="20"/>
      <c r="LCY160" s="20"/>
      <c r="LCZ160" s="20"/>
      <c r="LDA160" s="20"/>
      <c r="LDB160" s="20"/>
      <c r="LDC160" s="20"/>
      <c r="LDD160" s="20"/>
      <c r="LDE160" s="20"/>
      <c r="LDF160" s="20"/>
      <c r="LDG160" s="20"/>
      <c r="LDH160" s="20"/>
      <c r="LDI160" s="20"/>
      <c r="LDJ160" s="20"/>
      <c r="LDK160" s="20"/>
      <c r="LDL160" s="20"/>
      <c r="LDM160" s="20"/>
      <c r="LDN160" s="20"/>
      <c r="LDO160" s="20"/>
      <c r="LDP160" s="20"/>
      <c r="LDQ160" s="20"/>
      <c r="LDR160" s="20"/>
      <c r="LDS160" s="20"/>
      <c r="LDT160" s="20"/>
      <c r="LDU160" s="20"/>
      <c r="LDV160" s="20"/>
      <c r="LDW160" s="20"/>
      <c r="LDX160" s="20"/>
      <c r="LDY160" s="20"/>
      <c r="LDZ160" s="20"/>
      <c r="LEA160" s="20"/>
      <c r="LEB160" s="20"/>
      <c r="LEC160" s="20"/>
      <c r="LED160" s="20"/>
      <c r="LEE160" s="20"/>
      <c r="LEF160" s="20"/>
      <c r="LEG160" s="20"/>
      <c r="LEH160" s="20"/>
      <c r="LEI160" s="20"/>
      <c r="LEJ160" s="20"/>
      <c r="LEK160" s="20"/>
      <c r="LEL160" s="20"/>
      <c r="LEM160" s="20"/>
      <c r="LEN160" s="20"/>
      <c r="LEO160" s="20"/>
      <c r="LEP160" s="20"/>
      <c r="LEQ160" s="20"/>
      <c r="LER160" s="20"/>
      <c r="LES160" s="20"/>
      <c r="LET160" s="20"/>
      <c r="LEU160" s="20"/>
      <c r="LEV160" s="20"/>
      <c r="LEW160" s="20"/>
      <c r="LEX160" s="20"/>
      <c r="LEY160" s="20"/>
      <c r="LEZ160" s="20"/>
      <c r="LFA160" s="20"/>
      <c r="LFB160" s="20"/>
      <c r="LFC160" s="20"/>
      <c r="LFD160" s="20"/>
      <c r="LFE160" s="20"/>
      <c r="LFF160" s="20"/>
      <c r="LFG160" s="20"/>
      <c r="LFH160" s="20"/>
      <c r="LFI160" s="20"/>
      <c r="LFJ160" s="20"/>
      <c r="LFK160" s="20"/>
      <c r="LFL160" s="20"/>
      <c r="LFM160" s="20"/>
      <c r="LFN160" s="20"/>
      <c r="LFO160" s="20"/>
      <c r="LFP160" s="20"/>
      <c r="LFQ160" s="20"/>
      <c r="LFR160" s="20"/>
      <c r="LFS160" s="20"/>
      <c r="LFT160" s="20"/>
      <c r="LFU160" s="20"/>
      <c r="LFV160" s="20"/>
      <c r="LFW160" s="20"/>
      <c r="LFX160" s="20"/>
      <c r="LFY160" s="20"/>
      <c r="LFZ160" s="20"/>
      <c r="LGA160" s="20"/>
      <c r="LGB160" s="20"/>
      <c r="LGC160" s="20"/>
      <c r="LGD160" s="20"/>
      <c r="LGE160" s="20"/>
      <c r="LGF160" s="20"/>
      <c r="LGG160" s="20"/>
      <c r="LGH160" s="20"/>
      <c r="LGI160" s="20"/>
      <c r="LGJ160" s="20"/>
      <c r="LGK160" s="20"/>
      <c r="LGL160" s="20"/>
      <c r="LGM160" s="20"/>
      <c r="LGN160" s="20"/>
      <c r="LGO160" s="20"/>
      <c r="LGP160" s="20"/>
      <c r="LGQ160" s="20"/>
      <c r="LGR160" s="20"/>
      <c r="LGS160" s="20"/>
      <c r="LGT160" s="20"/>
      <c r="LGU160" s="20"/>
      <c r="LGV160" s="20"/>
      <c r="LGW160" s="20"/>
      <c r="LGX160" s="20"/>
      <c r="LGY160" s="20"/>
      <c r="LGZ160" s="20"/>
      <c r="LHA160" s="20"/>
      <c r="LHB160" s="20"/>
      <c r="LHC160" s="20"/>
      <c r="LHD160" s="20"/>
      <c r="LHE160" s="20"/>
      <c r="LHF160" s="20"/>
      <c r="LHG160" s="20"/>
      <c r="LHH160" s="20"/>
      <c r="LHI160" s="20"/>
      <c r="LHJ160" s="20"/>
      <c r="LHK160" s="20"/>
      <c r="LHL160" s="20"/>
      <c r="LHM160" s="20"/>
      <c r="LHN160" s="20"/>
      <c r="LHO160" s="20"/>
      <c r="LHP160" s="20"/>
      <c r="LHQ160" s="20"/>
      <c r="LHR160" s="20"/>
      <c r="LHS160" s="20"/>
      <c r="LHT160" s="20"/>
      <c r="LHU160" s="20"/>
      <c r="LHV160" s="20"/>
      <c r="LHW160" s="20"/>
      <c r="LHX160" s="20"/>
      <c r="LHY160" s="20"/>
      <c r="LHZ160" s="20"/>
      <c r="LIA160" s="20"/>
      <c r="LIB160" s="20"/>
      <c r="LIC160" s="20"/>
      <c r="LID160" s="20"/>
      <c r="LIE160" s="20"/>
      <c r="LIF160" s="20"/>
      <c r="LIG160" s="20"/>
      <c r="LIH160" s="20"/>
      <c r="LII160" s="20"/>
      <c r="LIJ160" s="20"/>
      <c r="LIK160" s="20"/>
      <c r="LIL160" s="20"/>
      <c r="LIM160" s="20"/>
      <c r="LIN160" s="20"/>
      <c r="LIO160" s="20"/>
      <c r="LIP160" s="20"/>
      <c r="LIQ160" s="20"/>
      <c r="LIR160" s="20"/>
      <c r="LIS160" s="20"/>
      <c r="LIT160" s="20"/>
      <c r="LIU160" s="20"/>
      <c r="LIV160" s="20"/>
      <c r="LIW160" s="20"/>
      <c r="LIX160" s="20"/>
      <c r="LIY160" s="20"/>
      <c r="LIZ160" s="20"/>
      <c r="LJA160" s="20"/>
      <c r="LJB160" s="20"/>
      <c r="LJC160" s="20"/>
      <c r="LJD160" s="20"/>
      <c r="LJE160" s="20"/>
      <c r="LJF160" s="20"/>
      <c r="LJG160" s="20"/>
      <c r="LJH160" s="20"/>
      <c r="LJI160" s="20"/>
      <c r="LJJ160" s="20"/>
      <c r="LJK160" s="20"/>
      <c r="LJL160" s="20"/>
      <c r="LJM160" s="20"/>
      <c r="LJN160" s="20"/>
      <c r="LJO160" s="20"/>
      <c r="LJP160" s="20"/>
      <c r="LJQ160" s="20"/>
      <c r="LJR160" s="20"/>
      <c r="LJS160" s="20"/>
      <c r="LJT160" s="20"/>
      <c r="LJU160" s="20"/>
      <c r="LJV160" s="20"/>
      <c r="LJW160" s="20"/>
      <c r="LJX160" s="20"/>
      <c r="LJY160" s="20"/>
      <c r="LJZ160" s="20"/>
      <c r="LKA160" s="20"/>
      <c r="LKB160" s="20"/>
      <c r="LKC160" s="20"/>
      <c r="LKD160" s="20"/>
      <c r="LKE160" s="20"/>
      <c r="LKF160" s="20"/>
      <c r="LKG160" s="20"/>
      <c r="LKH160" s="20"/>
      <c r="LKI160" s="20"/>
      <c r="LKJ160" s="20"/>
      <c r="LKK160" s="20"/>
      <c r="LKL160" s="20"/>
      <c r="LKM160" s="20"/>
      <c r="LKN160" s="20"/>
      <c r="LKO160" s="20"/>
      <c r="LKP160" s="20"/>
      <c r="LKQ160" s="20"/>
      <c r="LKR160" s="20"/>
      <c r="LKS160" s="20"/>
      <c r="LKT160" s="20"/>
      <c r="LKU160" s="20"/>
      <c r="LKV160" s="20"/>
      <c r="LKW160" s="20"/>
      <c r="LKX160" s="20"/>
      <c r="LKY160" s="20"/>
      <c r="LKZ160" s="20"/>
      <c r="LLA160" s="20"/>
      <c r="LLB160" s="20"/>
      <c r="LLC160" s="20"/>
      <c r="LLD160" s="20"/>
      <c r="LLE160" s="20"/>
      <c r="LLF160" s="20"/>
      <c r="LLG160" s="20"/>
      <c r="LLH160" s="20"/>
      <c r="LLI160" s="20"/>
      <c r="LLJ160" s="20"/>
      <c r="LLK160" s="20"/>
      <c r="LLL160" s="20"/>
      <c r="LLM160" s="20"/>
      <c r="LLN160" s="20"/>
      <c r="LLO160" s="20"/>
      <c r="LLP160" s="20"/>
      <c r="LLQ160" s="20"/>
      <c r="LLR160" s="20"/>
      <c r="LLS160" s="20"/>
      <c r="LLT160" s="20"/>
      <c r="LLU160" s="20"/>
      <c r="LLV160" s="20"/>
      <c r="LLW160" s="20"/>
      <c r="LLX160" s="20"/>
      <c r="LLY160" s="20"/>
      <c r="LLZ160" s="20"/>
      <c r="LMA160" s="20"/>
      <c r="LMB160" s="20"/>
      <c r="LMC160" s="20"/>
      <c r="LMD160" s="20"/>
      <c r="LME160" s="20"/>
      <c r="LMF160" s="20"/>
      <c r="LMG160" s="20"/>
      <c r="LMH160" s="20"/>
      <c r="LMI160" s="20"/>
      <c r="LMJ160" s="20"/>
      <c r="LMK160" s="20"/>
      <c r="LML160" s="20"/>
      <c r="LMM160" s="20"/>
      <c r="LMN160" s="20"/>
      <c r="LMO160" s="20"/>
      <c r="LMP160" s="20"/>
      <c r="LMQ160" s="20"/>
      <c r="LMR160" s="20"/>
      <c r="LMS160" s="20"/>
      <c r="LMT160" s="20"/>
      <c r="LMU160" s="20"/>
      <c r="LMV160" s="20"/>
      <c r="LMW160" s="20"/>
      <c r="LMX160" s="20"/>
      <c r="LMY160" s="20"/>
      <c r="LMZ160" s="20"/>
      <c r="LNA160" s="20"/>
      <c r="LNB160" s="20"/>
      <c r="LNC160" s="20"/>
      <c r="LND160" s="20"/>
      <c r="LNE160" s="20"/>
      <c r="LNF160" s="20"/>
      <c r="LNG160" s="20"/>
      <c r="LNH160" s="20"/>
      <c r="LNI160" s="20"/>
      <c r="LNJ160" s="20"/>
      <c r="LNK160" s="20"/>
      <c r="LNL160" s="20"/>
      <c r="LNM160" s="20"/>
      <c r="LNN160" s="20"/>
      <c r="LNO160" s="20"/>
      <c r="LNP160" s="20"/>
      <c r="LNQ160" s="20"/>
      <c r="LNR160" s="20"/>
      <c r="LNS160" s="20"/>
      <c r="LNT160" s="20"/>
      <c r="LNU160" s="20"/>
      <c r="LNV160" s="20"/>
      <c r="LNW160" s="20"/>
      <c r="LNX160" s="20"/>
      <c r="LNY160" s="20"/>
      <c r="LNZ160" s="20"/>
      <c r="LOA160" s="20"/>
      <c r="LOB160" s="20"/>
      <c r="LOC160" s="20"/>
      <c r="LOD160" s="20"/>
      <c r="LOE160" s="20"/>
      <c r="LOF160" s="20"/>
      <c r="LOG160" s="20"/>
      <c r="LOH160" s="20"/>
      <c r="LOI160" s="20"/>
      <c r="LOJ160" s="20"/>
      <c r="LOK160" s="20"/>
      <c r="LOL160" s="20"/>
      <c r="LOM160" s="20"/>
      <c r="LON160" s="20"/>
      <c r="LOO160" s="20"/>
      <c r="LOP160" s="20"/>
      <c r="LOQ160" s="20"/>
      <c r="LOR160" s="20"/>
      <c r="LOS160" s="20"/>
      <c r="LOT160" s="20"/>
      <c r="LOU160" s="20"/>
      <c r="LOV160" s="20"/>
      <c r="LOW160" s="20"/>
      <c r="LOX160" s="20"/>
      <c r="LOY160" s="20"/>
      <c r="LOZ160" s="20"/>
      <c r="LPA160" s="20"/>
      <c r="LPB160" s="20"/>
      <c r="LPC160" s="20"/>
      <c r="LPD160" s="20"/>
      <c r="LPE160" s="20"/>
      <c r="LPF160" s="20"/>
      <c r="LPG160" s="20"/>
      <c r="LPH160" s="20"/>
      <c r="LPI160" s="20"/>
      <c r="LPJ160" s="20"/>
      <c r="LPK160" s="20"/>
      <c r="LPL160" s="20"/>
      <c r="LPM160" s="20"/>
      <c r="LPN160" s="20"/>
      <c r="LPO160" s="20"/>
      <c r="LPP160" s="20"/>
      <c r="LPQ160" s="20"/>
      <c r="LPR160" s="20"/>
      <c r="LPS160" s="20"/>
      <c r="LPT160" s="20"/>
      <c r="LPU160" s="20"/>
      <c r="LPV160" s="20"/>
      <c r="LPW160" s="20"/>
      <c r="LPX160" s="20"/>
      <c r="LPY160" s="20"/>
      <c r="LPZ160" s="20"/>
      <c r="LQA160" s="20"/>
      <c r="LQB160" s="20"/>
      <c r="LQC160" s="20"/>
      <c r="LQD160" s="20"/>
      <c r="LQE160" s="20"/>
      <c r="LQF160" s="20"/>
      <c r="LQG160" s="20"/>
      <c r="LQH160" s="20"/>
      <c r="LQI160" s="20"/>
      <c r="LQJ160" s="20"/>
      <c r="LQK160" s="20"/>
      <c r="LQL160" s="20"/>
      <c r="LQM160" s="20"/>
      <c r="LQN160" s="20"/>
      <c r="LQO160" s="20"/>
      <c r="LQP160" s="20"/>
      <c r="LQQ160" s="20"/>
      <c r="LQR160" s="20"/>
      <c r="LQS160" s="20"/>
      <c r="LQT160" s="20"/>
      <c r="LQU160" s="20"/>
      <c r="LQV160" s="20"/>
      <c r="LQW160" s="20"/>
      <c r="LQX160" s="20"/>
      <c r="LQY160" s="20"/>
      <c r="LQZ160" s="20"/>
      <c r="LRA160" s="20"/>
      <c r="LRB160" s="20"/>
      <c r="LRC160" s="20"/>
      <c r="LRD160" s="20"/>
      <c r="LRE160" s="20"/>
      <c r="LRF160" s="20"/>
      <c r="LRG160" s="20"/>
      <c r="LRH160" s="20"/>
      <c r="LRI160" s="20"/>
      <c r="LRJ160" s="20"/>
      <c r="LRK160" s="20"/>
      <c r="LRL160" s="20"/>
      <c r="LRM160" s="20"/>
      <c r="LRN160" s="20"/>
      <c r="LRO160" s="20"/>
      <c r="LRP160" s="20"/>
      <c r="LRQ160" s="20"/>
      <c r="LRR160" s="20"/>
      <c r="LRS160" s="20"/>
      <c r="LRT160" s="20"/>
      <c r="LRU160" s="20"/>
      <c r="LRV160" s="20"/>
      <c r="LRW160" s="20"/>
      <c r="LRX160" s="20"/>
      <c r="LRY160" s="20"/>
      <c r="LRZ160" s="20"/>
      <c r="LSA160" s="20"/>
      <c r="LSB160" s="20"/>
      <c r="LSC160" s="20"/>
      <c r="LSD160" s="20"/>
      <c r="LSE160" s="20"/>
      <c r="LSF160" s="20"/>
      <c r="LSG160" s="20"/>
      <c r="LSH160" s="20"/>
      <c r="LSI160" s="20"/>
      <c r="LSJ160" s="20"/>
      <c r="LSK160" s="20"/>
      <c r="LSL160" s="20"/>
      <c r="LSM160" s="20"/>
      <c r="LSN160" s="20"/>
      <c r="LSO160" s="20"/>
      <c r="LSP160" s="20"/>
      <c r="LSQ160" s="20"/>
      <c r="LSR160" s="20"/>
      <c r="LSS160" s="20"/>
      <c r="LST160" s="20"/>
      <c r="LSU160" s="20"/>
      <c r="LSV160" s="20"/>
      <c r="LSW160" s="20"/>
      <c r="LSX160" s="20"/>
      <c r="LSY160" s="20"/>
      <c r="LSZ160" s="20"/>
      <c r="LTA160" s="20"/>
      <c r="LTB160" s="20"/>
      <c r="LTC160" s="20"/>
      <c r="LTD160" s="20"/>
      <c r="LTE160" s="20"/>
      <c r="LTF160" s="20"/>
      <c r="LTG160" s="20"/>
      <c r="LTH160" s="20"/>
      <c r="LTI160" s="20"/>
      <c r="LTJ160" s="20"/>
      <c r="LTK160" s="20"/>
      <c r="LTL160" s="20"/>
      <c r="LTM160" s="20"/>
      <c r="LTN160" s="20"/>
      <c r="LTO160" s="20"/>
      <c r="LTP160" s="20"/>
      <c r="LTQ160" s="20"/>
      <c r="LTR160" s="20"/>
      <c r="LTS160" s="20"/>
      <c r="LTT160" s="20"/>
      <c r="LTU160" s="20"/>
      <c r="LTV160" s="20"/>
      <c r="LTW160" s="20"/>
      <c r="LTX160" s="20"/>
      <c r="LTY160" s="20"/>
      <c r="LTZ160" s="20"/>
      <c r="LUA160" s="20"/>
      <c r="LUB160" s="20"/>
      <c r="LUC160" s="20"/>
      <c r="LUD160" s="20"/>
      <c r="LUE160" s="20"/>
      <c r="LUF160" s="20"/>
      <c r="LUG160" s="20"/>
      <c r="LUH160" s="20"/>
      <c r="LUI160" s="20"/>
      <c r="LUJ160" s="20"/>
      <c r="LUK160" s="20"/>
      <c r="LUL160" s="20"/>
      <c r="LUM160" s="20"/>
      <c r="LUN160" s="20"/>
      <c r="LUO160" s="20"/>
      <c r="LUP160" s="20"/>
      <c r="LUQ160" s="20"/>
      <c r="LUR160" s="20"/>
      <c r="LUS160" s="20"/>
      <c r="LUT160" s="20"/>
      <c r="LUU160" s="20"/>
      <c r="LUV160" s="20"/>
      <c r="LUW160" s="20"/>
      <c r="LUX160" s="20"/>
      <c r="LUY160" s="20"/>
      <c r="LUZ160" s="20"/>
      <c r="LVA160" s="20"/>
      <c r="LVB160" s="20"/>
      <c r="LVC160" s="20"/>
      <c r="LVD160" s="20"/>
      <c r="LVE160" s="20"/>
      <c r="LVF160" s="20"/>
      <c r="LVG160" s="20"/>
      <c r="LVH160" s="20"/>
      <c r="LVI160" s="20"/>
      <c r="LVJ160" s="20"/>
      <c r="LVK160" s="20"/>
      <c r="LVL160" s="20"/>
      <c r="LVM160" s="20"/>
      <c r="LVN160" s="20"/>
      <c r="LVO160" s="20"/>
      <c r="LVP160" s="20"/>
      <c r="LVQ160" s="20"/>
      <c r="LVR160" s="20"/>
      <c r="LVS160" s="20"/>
      <c r="LVT160" s="20"/>
      <c r="LVU160" s="20"/>
      <c r="LVV160" s="20"/>
      <c r="LVW160" s="20"/>
      <c r="LVX160" s="20"/>
      <c r="LVY160" s="20"/>
      <c r="LVZ160" s="20"/>
      <c r="LWA160" s="20"/>
      <c r="LWB160" s="20"/>
      <c r="LWC160" s="20"/>
      <c r="LWD160" s="20"/>
      <c r="LWE160" s="20"/>
      <c r="LWF160" s="20"/>
      <c r="LWG160" s="20"/>
      <c r="LWH160" s="20"/>
      <c r="LWI160" s="20"/>
      <c r="LWJ160" s="20"/>
      <c r="LWK160" s="20"/>
      <c r="LWL160" s="20"/>
      <c r="LWM160" s="20"/>
      <c r="LWN160" s="20"/>
      <c r="LWO160" s="20"/>
      <c r="LWP160" s="20"/>
      <c r="LWQ160" s="20"/>
      <c r="LWR160" s="20"/>
      <c r="LWS160" s="20"/>
      <c r="LWT160" s="20"/>
      <c r="LWU160" s="20"/>
      <c r="LWV160" s="20"/>
      <c r="LWW160" s="20"/>
      <c r="LWX160" s="20"/>
      <c r="LWY160" s="20"/>
      <c r="LWZ160" s="20"/>
      <c r="LXA160" s="20"/>
      <c r="LXB160" s="20"/>
      <c r="LXC160" s="20"/>
      <c r="LXD160" s="20"/>
      <c r="LXE160" s="20"/>
      <c r="LXF160" s="20"/>
      <c r="LXG160" s="20"/>
      <c r="LXH160" s="20"/>
      <c r="LXI160" s="20"/>
      <c r="LXJ160" s="20"/>
      <c r="LXK160" s="20"/>
      <c r="LXL160" s="20"/>
      <c r="LXM160" s="20"/>
      <c r="LXN160" s="20"/>
      <c r="LXO160" s="20"/>
      <c r="LXP160" s="20"/>
      <c r="LXQ160" s="20"/>
      <c r="LXR160" s="20"/>
      <c r="LXS160" s="20"/>
      <c r="LXT160" s="20"/>
      <c r="LXU160" s="20"/>
      <c r="LXV160" s="20"/>
      <c r="LXW160" s="20"/>
      <c r="LXX160" s="20"/>
      <c r="LXY160" s="20"/>
      <c r="LXZ160" s="20"/>
      <c r="LYA160" s="20"/>
      <c r="LYB160" s="20"/>
      <c r="LYC160" s="20"/>
      <c r="LYD160" s="20"/>
      <c r="LYE160" s="20"/>
      <c r="LYF160" s="20"/>
      <c r="LYG160" s="20"/>
      <c r="LYH160" s="20"/>
      <c r="LYI160" s="20"/>
      <c r="LYJ160" s="20"/>
      <c r="LYK160" s="20"/>
      <c r="LYL160" s="20"/>
      <c r="LYM160" s="20"/>
      <c r="LYN160" s="20"/>
      <c r="LYO160" s="20"/>
      <c r="LYP160" s="20"/>
      <c r="LYQ160" s="20"/>
      <c r="LYR160" s="20"/>
      <c r="LYS160" s="20"/>
      <c r="LYT160" s="20"/>
      <c r="LYU160" s="20"/>
      <c r="LYV160" s="20"/>
      <c r="LYW160" s="20"/>
      <c r="LYX160" s="20"/>
      <c r="LYY160" s="20"/>
      <c r="LYZ160" s="20"/>
      <c r="LZA160" s="20"/>
      <c r="LZB160" s="20"/>
      <c r="LZC160" s="20"/>
      <c r="LZD160" s="20"/>
      <c r="LZE160" s="20"/>
      <c r="LZF160" s="20"/>
      <c r="LZG160" s="20"/>
      <c r="LZH160" s="20"/>
      <c r="LZI160" s="20"/>
      <c r="LZJ160" s="20"/>
      <c r="LZK160" s="20"/>
      <c r="LZL160" s="20"/>
      <c r="LZM160" s="20"/>
      <c r="LZN160" s="20"/>
      <c r="LZO160" s="20"/>
      <c r="LZP160" s="20"/>
      <c r="LZQ160" s="20"/>
      <c r="LZR160" s="20"/>
      <c r="LZS160" s="20"/>
      <c r="LZT160" s="20"/>
      <c r="LZU160" s="20"/>
      <c r="LZV160" s="20"/>
      <c r="LZW160" s="20"/>
      <c r="LZX160" s="20"/>
      <c r="LZY160" s="20"/>
      <c r="LZZ160" s="20"/>
      <c r="MAA160" s="20"/>
      <c r="MAB160" s="20"/>
      <c r="MAC160" s="20"/>
      <c r="MAD160" s="20"/>
      <c r="MAE160" s="20"/>
      <c r="MAF160" s="20"/>
      <c r="MAG160" s="20"/>
      <c r="MAH160" s="20"/>
      <c r="MAI160" s="20"/>
      <c r="MAJ160" s="20"/>
      <c r="MAK160" s="20"/>
      <c r="MAL160" s="20"/>
      <c r="MAM160" s="20"/>
      <c r="MAN160" s="20"/>
      <c r="MAO160" s="20"/>
      <c r="MAP160" s="20"/>
      <c r="MAQ160" s="20"/>
      <c r="MAR160" s="20"/>
      <c r="MAS160" s="20"/>
      <c r="MAT160" s="20"/>
      <c r="MAU160" s="20"/>
      <c r="MAV160" s="20"/>
      <c r="MAW160" s="20"/>
      <c r="MAX160" s="20"/>
      <c r="MAY160" s="20"/>
      <c r="MAZ160" s="20"/>
      <c r="MBA160" s="20"/>
      <c r="MBB160" s="20"/>
      <c r="MBC160" s="20"/>
      <c r="MBD160" s="20"/>
      <c r="MBE160" s="20"/>
      <c r="MBF160" s="20"/>
      <c r="MBG160" s="20"/>
      <c r="MBH160" s="20"/>
      <c r="MBI160" s="20"/>
      <c r="MBJ160" s="20"/>
      <c r="MBK160" s="20"/>
      <c r="MBL160" s="20"/>
      <c r="MBM160" s="20"/>
      <c r="MBN160" s="20"/>
      <c r="MBO160" s="20"/>
      <c r="MBP160" s="20"/>
      <c r="MBQ160" s="20"/>
      <c r="MBR160" s="20"/>
      <c r="MBS160" s="20"/>
      <c r="MBT160" s="20"/>
      <c r="MBU160" s="20"/>
      <c r="MBV160" s="20"/>
      <c r="MBW160" s="20"/>
      <c r="MBX160" s="20"/>
      <c r="MBY160" s="20"/>
      <c r="MBZ160" s="20"/>
      <c r="MCA160" s="20"/>
      <c r="MCB160" s="20"/>
      <c r="MCC160" s="20"/>
      <c r="MCD160" s="20"/>
      <c r="MCE160" s="20"/>
      <c r="MCF160" s="20"/>
      <c r="MCG160" s="20"/>
      <c r="MCH160" s="20"/>
      <c r="MCI160" s="20"/>
      <c r="MCJ160" s="20"/>
      <c r="MCK160" s="20"/>
      <c r="MCL160" s="20"/>
      <c r="MCM160" s="20"/>
      <c r="MCN160" s="20"/>
      <c r="MCO160" s="20"/>
      <c r="MCP160" s="20"/>
      <c r="MCQ160" s="20"/>
      <c r="MCR160" s="20"/>
      <c r="MCS160" s="20"/>
      <c r="MCT160" s="20"/>
      <c r="MCU160" s="20"/>
      <c r="MCV160" s="20"/>
      <c r="MCW160" s="20"/>
      <c r="MCX160" s="20"/>
      <c r="MCY160" s="20"/>
      <c r="MCZ160" s="20"/>
      <c r="MDA160" s="20"/>
      <c r="MDB160" s="20"/>
      <c r="MDC160" s="20"/>
      <c r="MDD160" s="20"/>
      <c r="MDE160" s="20"/>
      <c r="MDF160" s="20"/>
      <c r="MDG160" s="20"/>
      <c r="MDH160" s="20"/>
      <c r="MDI160" s="20"/>
      <c r="MDJ160" s="20"/>
      <c r="MDK160" s="20"/>
      <c r="MDL160" s="20"/>
      <c r="MDM160" s="20"/>
      <c r="MDN160" s="20"/>
      <c r="MDO160" s="20"/>
      <c r="MDP160" s="20"/>
      <c r="MDQ160" s="20"/>
      <c r="MDR160" s="20"/>
      <c r="MDS160" s="20"/>
      <c r="MDT160" s="20"/>
      <c r="MDU160" s="20"/>
      <c r="MDV160" s="20"/>
      <c r="MDW160" s="20"/>
      <c r="MDX160" s="20"/>
      <c r="MDY160" s="20"/>
      <c r="MDZ160" s="20"/>
      <c r="MEA160" s="20"/>
      <c r="MEB160" s="20"/>
      <c r="MEC160" s="20"/>
      <c r="MED160" s="20"/>
      <c r="MEE160" s="20"/>
      <c r="MEF160" s="20"/>
      <c r="MEG160" s="20"/>
      <c r="MEH160" s="20"/>
      <c r="MEI160" s="20"/>
      <c r="MEJ160" s="20"/>
      <c r="MEK160" s="20"/>
      <c r="MEL160" s="20"/>
      <c r="MEM160" s="20"/>
      <c r="MEN160" s="20"/>
      <c r="MEO160" s="20"/>
      <c r="MEP160" s="20"/>
      <c r="MEQ160" s="20"/>
      <c r="MER160" s="20"/>
      <c r="MES160" s="20"/>
      <c r="MET160" s="20"/>
      <c r="MEU160" s="20"/>
      <c r="MEV160" s="20"/>
      <c r="MEW160" s="20"/>
      <c r="MEX160" s="20"/>
      <c r="MEY160" s="20"/>
      <c r="MEZ160" s="20"/>
      <c r="MFA160" s="20"/>
      <c r="MFB160" s="20"/>
      <c r="MFC160" s="20"/>
      <c r="MFD160" s="20"/>
      <c r="MFE160" s="20"/>
      <c r="MFF160" s="20"/>
      <c r="MFG160" s="20"/>
      <c r="MFH160" s="20"/>
      <c r="MFI160" s="20"/>
      <c r="MFJ160" s="20"/>
      <c r="MFK160" s="20"/>
      <c r="MFL160" s="20"/>
      <c r="MFM160" s="20"/>
      <c r="MFN160" s="20"/>
      <c r="MFO160" s="20"/>
      <c r="MFP160" s="20"/>
      <c r="MFQ160" s="20"/>
      <c r="MFR160" s="20"/>
      <c r="MFS160" s="20"/>
      <c r="MFT160" s="20"/>
      <c r="MFU160" s="20"/>
      <c r="MFV160" s="20"/>
      <c r="MFW160" s="20"/>
      <c r="MFX160" s="20"/>
      <c r="MFY160" s="20"/>
      <c r="MFZ160" s="20"/>
      <c r="MGA160" s="20"/>
      <c r="MGB160" s="20"/>
      <c r="MGC160" s="20"/>
      <c r="MGD160" s="20"/>
      <c r="MGE160" s="20"/>
      <c r="MGF160" s="20"/>
      <c r="MGG160" s="20"/>
      <c r="MGH160" s="20"/>
      <c r="MGI160" s="20"/>
      <c r="MGJ160" s="20"/>
      <c r="MGK160" s="20"/>
      <c r="MGL160" s="20"/>
      <c r="MGM160" s="20"/>
      <c r="MGN160" s="20"/>
      <c r="MGO160" s="20"/>
      <c r="MGP160" s="20"/>
      <c r="MGQ160" s="20"/>
      <c r="MGR160" s="20"/>
      <c r="MGS160" s="20"/>
      <c r="MGT160" s="20"/>
      <c r="MGU160" s="20"/>
      <c r="MGV160" s="20"/>
      <c r="MGW160" s="20"/>
      <c r="MGX160" s="20"/>
      <c r="MGY160" s="20"/>
      <c r="MGZ160" s="20"/>
      <c r="MHA160" s="20"/>
      <c r="MHB160" s="20"/>
      <c r="MHC160" s="20"/>
      <c r="MHD160" s="20"/>
      <c r="MHE160" s="20"/>
      <c r="MHF160" s="20"/>
      <c r="MHG160" s="20"/>
      <c r="MHH160" s="20"/>
      <c r="MHI160" s="20"/>
      <c r="MHJ160" s="20"/>
      <c r="MHK160" s="20"/>
      <c r="MHL160" s="20"/>
      <c r="MHM160" s="20"/>
      <c r="MHN160" s="20"/>
      <c r="MHO160" s="20"/>
      <c r="MHP160" s="20"/>
      <c r="MHQ160" s="20"/>
      <c r="MHR160" s="20"/>
      <c r="MHS160" s="20"/>
      <c r="MHT160" s="20"/>
      <c r="MHU160" s="20"/>
      <c r="MHV160" s="20"/>
      <c r="MHW160" s="20"/>
      <c r="MHX160" s="20"/>
      <c r="MHY160" s="20"/>
      <c r="MHZ160" s="20"/>
      <c r="MIA160" s="20"/>
      <c r="MIB160" s="20"/>
      <c r="MIC160" s="20"/>
      <c r="MID160" s="20"/>
      <c r="MIE160" s="20"/>
      <c r="MIF160" s="20"/>
      <c r="MIG160" s="20"/>
      <c r="MIH160" s="20"/>
      <c r="MII160" s="20"/>
      <c r="MIJ160" s="20"/>
      <c r="MIK160" s="20"/>
      <c r="MIL160" s="20"/>
      <c r="MIM160" s="20"/>
      <c r="MIN160" s="20"/>
      <c r="MIO160" s="20"/>
      <c r="MIP160" s="20"/>
      <c r="MIQ160" s="20"/>
      <c r="MIR160" s="20"/>
      <c r="MIS160" s="20"/>
      <c r="MIT160" s="20"/>
      <c r="MIU160" s="20"/>
      <c r="MIV160" s="20"/>
      <c r="MIW160" s="20"/>
      <c r="MIX160" s="20"/>
      <c r="MIY160" s="20"/>
      <c r="MIZ160" s="20"/>
      <c r="MJA160" s="20"/>
      <c r="MJB160" s="20"/>
      <c r="MJC160" s="20"/>
      <c r="MJD160" s="20"/>
      <c r="MJE160" s="20"/>
      <c r="MJF160" s="20"/>
      <c r="MJG160" s="20"/>
      <c r="MJH160" s="20"/>
      <c r="MJI160" s="20"/>
      <c r="MJJ160" s="20"/>
      <c r="MJK160" s="20"/>
      <c r="MJL160" s="20"/>
      <c r="MJM160" s="20"/>
      <c r="MJN160" s="20"/>
      <c r="MJO160" s="20"/>
      <c r="MJP160" s="20"/>
      <c r="MJQ160" s="20"/>
      <c r="MJR160" s="20"/>
      <c r="MJS160" s="20"/>
      <c r="MJT160" s="20"/>
      <c r="MJU160" s="20"/>
      <c r="MJV160" s="20"/>
      <c r="MJW160" s="20"/>
      <c r="MJX160" s="20"/>
      <c r="MJY160" s="20"/>
      <c r="MJZ160" s="20"/>
      <c r="MKA160" s="20"/>
      <c r="MKB160" s="20"/>
      <c r="MKC160" s="20"/>
      <c r="MKD160" s="20"/>
      <c r="MKE160" s="20"/>
      <c r="MKF160" s="20"/>
      <c r="MKG160" s="20"/>
      <c r="MKH160" s="20"/>
      <c r="MKI160" s="20"/>
      <c r="MKJ160" s="20"/>
      <c r="MKK160" s="20"/>
      <c r="MKL160" s="20"/>
      <c r="MKM160" s="20"/>
      <c r="MKN160" s="20"/>
      <c r="MKO160" s="20"/>
      <c r="MKP160" s="20"/>
      <c r="MKQ160" s="20"/>
      <c r="MKR160" s="20"/>
      <c r="MKS160" s="20"/>
      <c r="MKT160" s="20"/>
      <c r="MKU160" s="20"/>
      <c r="MKV160" s="20"/>
      <c r="MKW160" s="20"/>
      <c r="MKX160" s="20"/>
      <c r="MKY160" s="20"/>
      <c r="MKZ160" s="20"/>
      <c r="MLA160" s="20"/>
      <c r="MLB160" s="20"/>
      <c r="MLC160" s="20"/>
      <c r="MLD160" s="20"/>
      <c r="MLE160" s="20"/>
      <c r="MLF160" s="20"/>
      <c r="MLG160" s="20"/>
      <c r="MLH160" s="20"/>
      <c r="MLI160" s="20"/>
      <c r="MLJ160" s="20"/>
      <c r="MLK160" s="20"/>
      <c r="MLL160" s="20"/>
      <c r="MLM160" s="20"/>
      <c r="MLN160" s="20"/>
      <c r="MLO160" s="20"/>
      <c r="MLP160" s="20"/>
      <c r="MLQ160" s="20"/>
      <c r="MLR160" s="20"/>
      <c r="MLS160" s="20"/>
      <c r="MLT160" s="20"/>
      <c r="MLU160" s="20"/>
      <c r="MLV160" s="20"/>
      <c r="MLW160" s="20"/>
      <c r="MLX160" s="20"/>
      <c r="MLY160" s="20"/>
      <c r="MLZ160" s="20"/>
      <c r="MMA160" s="20"/>
      <c r="MMB160" s="20"/>
      <c r="MMC160" s="20"/>
      <c r="MMD160" s="20"/>
      <c r="MME160" s="20"/>
      <c r="MMF160" s="20"/>
      <c r="MMG160" s="20"/>
      <c r="MMH160" s="20"/>
      <c r="MMI160" s="20"/>
      <c r="MMJ160" s="20"/>
      <c r="MMK160" s="20"/>
      <c r="MML160" s="20"/>
      <c r="MMM160" s="20"/>
      <c r="MMN160" s="20"/>
      <c r="MMO160" s="20"/>
      <c r="MMP160" s="20"/>
      <c r="MMQ160" s="20"/>
      <c r="MMR160" s="20"/>
      <c r="MMS160" s="20"/>
      <c r="MMT160" s="20"/>
      <c r="MMU160" s="20"/>
      <c r="MMV160" s="20"/>
      <c r="MMW160" s="20"/>
      <c r="MMX160" s="20"/>
      <c r="MMY160" s="20"/>
      <c r="MMZ160" s="20"/>
      <c r="MNA160" s="20"/>
      <c r="MNB160" s="20"/>
      <c r="MNC160" s="20"/>
      <c r="MND160" s="20"/>
      <c r="MNE160" s="20"/>
      <c r="MNF160" s="20"/>
      <c r="MNG160" s="20"/>
      <c r="MNH160" s="20"/>
      <c r="MNI160" s="20"/>
      <c r="MNJ160" s="20"/>
      <c r="MNK160" s="20"/>
      <c r="MNL160" s="20"/>
      <c r="MNM160" s="20"/>
      <c r="MNN160" s="20"/>
      <c r="MNO160" s="20"/>
      <c r="MNP160" s="20"/>
      <c r="MNQ160" s="20"/>
      <c r="MNR160" s="20"/>
      <c r="MNS160" s="20"/>
      <c r="MNT160" s="20"/>
      <c r="MNU160" s="20"/>
      <c r="MNV160" s="20"/>
      <c r="MNW160" s="20"/>
      <c r="MNX160" s="20"/>
      <c r="MNY160" s="20"/>
      <c r="MNZ160" s="20"/>
      <c r="MOA160" s="20"/>
      <c r="MOB160" s="20"/>
      <c r="MOC160" s="20"/>
      <c r="MOD160" s="20"/>
      <c r="MOE160" s="20"/>
      <c r="MOF160" s="20"/>
      <c r="MOG160" s="20"/>
      <c r="MOH160" s="20"/>
      <c r="MOI160" s="20"/>
      <c r="MOJ160" s="20"/>
      <c r="MOK160" s="20"/>
      <c r="MOL160" s="20"/>
      <c r="MOM160" s="20"/>
      <c r="MON160" s="20"/>
      <c r="MOO160" s="20"/>
      <c r="MOP160" s="20"/>
      <c r="MOQ160" s="20"/>
      <c r="MOR160" s="20"/>
      <c r="MOS160" s="20"/>
      <c r="MOT160" s="20"/>
      <c r="MOU160" s="20"/>
      <c r="MOV160" s="20"/>
      <c r="MOW160" s="20"/>
      <c r="MOX160" s="20"/>
      <c r="MOY160" s="20"/>
      <c r="MOZ160" s="20"/>
      <c r="MPA160" s="20"/>
      <c r="MPB160" s="20"/>
      <c r="MPC160" s="20"/>
      <c r="MPD160" s="20"/>
      <c r="MPE160" s="20"/>
      <c r="MPF160" s="20"/>
      <c r="MPG160" s="20"/>
      <c r="MPH160" s="20"/>
      <c r="MPI160" s="20"/>
      <c r="MPJ160" s="20"/>
      <c r="MPK160" s="20"/>
      <c r="MPL160" s="20"/>
      <c r="MPM160" s="20"/>
      <c r="MPN160" s="20"/>
      <c r="MPO160" s="20"/>
      <c r="MPP160" s="20"/>
      <c r="MPQ160" s="20"/>
      <c r="MPR160" s="20"/>
      <c r="MPS160" s="20"/>
      <c r="MPT160" s="20"/>
      <c r="MPU160" s="20"/>
      <c r="MPV160" s="20"/>
      <c r="MPW160" s="20"/>
      <c r="MPX160" s="20"/>
      <c r="MPY160" s="20"/>
      <c r="MPZ160" s="20"/>
      <c r="MQA160" s="20"/>
      <c r="MQB160" s="20"/>
      <c r="MQC160" s="20"/>
      <c r="MQD160" s="20"/>
      <c r="MQE160" s="20"/>
      <c r="MQF160" s="20"/>
      <c r="MQG160" s="20"/>
      <c r="MQH160" s="20"/>
      <c r="MQI160" s="20"/>
      <c r="MQJ160" s="20"/>
      <c r="MQK160" s="20"/>
      <c r="MQL160" s="20"/>
      <c r="MQM160" s="20"/>
      <c r="MQN160" s="20"/>
      <c r="MQO160" s="20"/>
      <c r="MQP160" s="20"/>
      <c r="MQQ160" s="20"/>
      <c r="MQR160" s="20"/>
      <c r="MQS160" s="20"/>
      <c r="MQT160" s="20"/>
      <c r="MQU160" s="20"/>
      <c r="MQV160" s="20"/>
      <c r="MQW160" s="20"/>
      <c r="MQX160" s="20"/>
      <c r="MQY160" s="20"/>
      <c r="MQZ160" s="20"/>
      <c r="MRA160" s="20"/>
      <c r="MRB160" s="20"/>
      <c r="MRC160" s="20"/>
      <c r="MRD160" s="20"/>
      <c r="MRE160" s="20"/>
      <c r="MRF160" s="20"/>
      <c r="MRG160" s="20"/>
      <c r="MRH160" s="20"/>
      <c r="MRI160" s="20"/>
      <c r="MRJ160" s="20"/>
      <c r="MRK160" s="20"/>
      <c r="MRL160" s="20"/>
      <c r="MRM160" s="20"/>
      <c r="MRN160" s="20"/>
      <c r="MRO160" s="20"/>
      <c r="MRP160" s="20"/>
      <c r="MRQ160" s="20"/>
      <c r="MRR160" s="20"/>
      <c r="MRS160" s="20"/>
      <c r="MRT160" s="20"/>
      <c r="MRU160" s="20"/>
      <c r="MRV160" s="20"/>
      <c r="MRW160" s="20"/>
      <c r="MRX160" s="20"/>
      <c r="MRY160" s="20"/>
      <c r="MRZ160" s="20"/>
      <c r="MSA160" s="20"/>
      <c r="MSB160" s="20"/>
      <c r="MSC160" s="20"/>
      <c r="MSD160" s="20"/>
      <c r="MSE160" s="20"/>
      <c r="MSF160" s="20"/>
      <c r="MSG160" s="20"/>
      <c r="MSH160" s="20"/>
      <c r="MSI160" s="20"/>
      <c r="MSJ160" s="20"/>
      <c r="MSK160" s="20"/>
      <c r="MSL160" s="20"/>
      <c r="MSM160" s="20"/>
      <c r="MSN160" s="20"/>
      <c r="MSO160" s="20"/>
      <c r="MSP160" s="20"/>
      <c r="MSQ160" s="20"/>
      <c r="MSR160" s="20"/>
      <c r="MSS160" s="20"/>
      <c r="MST160" s="20"/>
      <c r="MSU160" s="20"/>
      <c r="MSV160" s="20"/>
      <c r="MSW160" s="20"/>
      <c r="MSX160" s="20"/>
      <c r="MSY160" s="20"/>
      <c r="MSZ160" s="20"/>
      <c r="MTA160" s="20"/>
      <c r="MTB160" s="20"/>
      <c r="MTC160" s="20"/>
      <c r="MTD160" s="20"/>
      <c r="MTE160" s="20"/>
      <c r="MTF160" s="20"/>
      <c r="MTG160" s="20"/>
      <c r="MTH160" s="20"/>
      <c r="MTI160" s="20"/>
      <c r="MTJ160" s="20"/>
      <c r="MTK160" s="20"/>
      <c r="MTL160" s="20"/>
      <c r="MTM160" s="20"/>
      <c r="MTN160" s="20"/>
      <c r="MTO160" s="20"/>
      <c r="MTP160" s="20"/>
      <c r="MTQ160" s="20"/>
      <c r="MTR160" s="20"/>
      <c r="MTS160" s="20"/>
      <c r="MTT160" s="20"/>
      <c r="MTU160" s="20"/>
      <c r="MTV160" s="20"/>
      <c r="MTW160" s="20"/>
      <c r="MTX160" s="20"/>
      <c r="MTY160" s="20"/>
      <c r="MTZ160" s="20"/>
      <c r="MUA160" s="20"/>
      <c r="MUB160" s="20"/>
      <c r="MUC160" s="20"/>
      <c r="MUD160" s="20"/>
      <c r="MUE160" s="20"/>
      <c r="MUF160" s="20"/>
      <c r="MUG160" s="20"/>
      <c r="MUH160" s="20"/>
      <c r="MUI160" s="20"/>
      <c r="MUJ160" s="20"/>
      <c r="MUK160" s="20"/>
      <c r="MUL160" s="20"/>
      <c r="MUM160" s="20"/>
      <c r="MUN160" s="20"/>
      <c r="MUO160" s="20"/>
      <c r="MUP160" s="20"/>
      <c r="MUQ160" s="20"/>
      <c r="MUR160" s="20"/>
      <c r="MUS160" s="20"/>
      <c r="MUT160" s="20"/>
      <c r="MUU160" s="20"/>
      <c r="MUV160" s="20"/>
      <c r="MUW160" s="20"/>
      <c r="MUX160" s="20"/>
      <c r="MUY160" s="20"/>
      <c r="MUZ160" s="20"/>
      <c r="MVA160" s="20"/>
      <c r="MVB160" s="20"/>
      <c r="MVC160" s="20"/>
      <c r="MVD160" s="20"/>
      <c r="MVE160" s="20"/>
      <c r="MVF160" s="20"/>
      <c r="MVG160" s="20"/>
      <c r="MVH160" s="20"/>
      <c r="MVI160" s="20"/>
      <c r="MVJ160" s="20"/>
      <c r="MVK160" s="20"/>
      <c r="MVL160" s="20"/>
      <c r="MVM160" s="20"/>
      <c r="MVN160" s="20"/>
      <c r="MVO160" s="20"/>
      <c r="MVP160" s="20"/>
      <c r="MVQ160" s="20"/>
      <c r="MVR160" s="20"/>
      <c r="MVS160" s="20"/>
      <c r="MVT160" s="20"/>
      <c r="MVU160" s="20"/>
      <c r="MVV160" s="20"/>
      <c r="MVW160" s="20"/>
      <c r="MVX160" s="20"/>
      <c r="MVY160" s="20"/>
      <c r="MVZ160" s="20"/>
      <c r="MWA160" s="20"/>
      <c r="MWB160" s="20"/>
      <c r="MWC160" s="20"/>
      <c r="MWD160" s="20"/>
      <c r="MWE160" s="20"/>
      <c r="MWF160" s="20"/>
      <c r="MWG160" s="20"/>
      <c r="MWH160" s="20"/>
      <c r="MWI160" s="20"/>
      <c r="MWJ160" s="20"/>
      <c r="MWK160" s="20"/>
      <c r="MWL160" s="20"/>
      <c r="MWM160" s="20"/>
      <c r="MWN160" s="20"/>
      <c r="MWO160" s="20"/>
      <c r="MWP160" s="20"/>
      <c r="MWQ160" s="20"/>
      <c r="MWR160" s="20"/>
      <c r="MWS160" s="20"/>
      <c r="MWT160" s="20"/>
      <c r="MWU160" s="20"/>
      <c r="MWV160" s="20"/>
      <c r="MWW160" s="20"/>
      <c r="MWX160" s="20"/>
      <c r="MWY160" s="20"/>
      <c r="MWZ160" s="20"/>
      <c r="MXA160" s="20"/>
      <c r="MXB160" s="20"/>
      <c r="MXC160" s="20"/>
      <c r="MXD160" s="20"/>
      <c r="MXE160" s="20"/>
      <c r="MXF160" s="20"/>
      <c r="MXG160" s="20"/>
      <c r="MXH160" s="20"/>
      <c r="MXI160" s="20"/>
      <c r="MXJ160" s="20"/>
      <c r="MXK160" s="20"/>
      <c r="MXL160" s="20"/>
      <c r="MXM160" s="20"/>
      <c r="MXN160" s="20"/>
      <c r="MXO160" s="20"/>
      <c r="MXP160" s="20"/>
      <c r="MXQ160" s="20"/>
      <c r="MXR160" s="20"/>
      <c r="MXS160" s="20"/>
      <c r="MXT160" s="20"/>
      <c r="MXU160" s="20"/>
      <c r="MXV160" s="20"/>
      <c r="MXW160" s="20"/>
      <c r="MXX160" s="20"/>
      <c r="MXY160" s="20"/>
      <c r="MXZ160" s="20"/>
      <c r="MYA160" s="20"/>
      <c r="MYB160" s="20"/>
      <c r="MYC160" s="20"/>
      <c r="MYD160" s="20"/>
      <c r="MYE160" s="20"/>
      <c r="MYF160" s="20"/>
      <c r="MYG160" s="20"/>
      <c r="MYH160" s="20"/>
      <c r="MYI160" s="20"/>
      <c r="MYJ160" s="20"/>
      <c r="MYK160" s="20"/>
      <c r="MYL160" s="20"/>
      <c r="MYM160" s="20"/>
      <c r="MYN160" s="20"/>
      <c r="MYO160" s="20"/>
      <c r="MYP160" s="20"/>
      <c r="MYQ160" s="20"/>
      <c r="MYR160" s="20"/>
      <c r="MYS160" s="20"/>
      <c r="MYT160" s="20"/>
      <c r="MYU160" s="20"/>
      <c r="MYV160" s="20"/>
      <c r="MYW160" s="20"/>
      <c r="MYX160" s="20"/>
      <c r="MYY160" s="20"/>
      <c r="MYZ160" s="20"/>
      <c r="MZA160" s="20"/>
      <c r="MZB160" s="20"/>
      <c r="MZC160" s="20"/>
      <c r="MZD160" s="20"/>
      <c r="MZE160" s="20"/>
      <c r="MZF160" s="20"/>
      <c r="MZG160" s="20"/>
      <c r="MZH160" s="20"/>
      <c r="MZI160" s="20"/>
      <c r="MZJ160" s="20"/>
      <c r="MZK160" s="20"/>
      <c r="MZL160" s="20"/>
      <c r="MZM160" s="20"/>
      <c r="MZN160" s="20"/>
      <c r="MZO160" s="20"/>
      <c r="MZP160" s="20"/>
      <c r="MZQ160" s="20"/>
      <c r="MZR160" s="20"/>
      <c r="MZS160" s="20"/>
      <c r="MZT160" s="20"/>
      <c r="MZU160" s="20"/>
      <c r="MZV160" s="20"/>
      <c r="MZW160" s="20"/>
      <c r="MZX160" s="20"/>
      <c r="MZY160" s="20"/>
      <c r="MZZ160" s="20"/>
      <c r="NAA160" s="20"/>
      <c r="NAB160" s="20"/>
      <c r="NAC160" s="20"/>
      <c r="NAD160" s="20"/>
      <c r="NAE160" s="20"/>
      <c r="NAF160" s="20"/>
      <c r="NAG160" s="20"/>
      <c r="NAH160" s="20"/>
      <c r="NAI160" s="20"/>
      <c r="NAJ160" s="20"/>
      <c r="NAK160" s="20"/>
      <c r="NAL160" s="20"/>
      <c r="NAM160" s="20"/>
      <c r="NAN160" s="20"/>
      <c r="NAO160" s="20"/>
      <c r="NAP160" s="20"/>
      <c r="NAQ160" s="20"/>
      <c r="NAR160" s="20"/>
      <c r="NAS160" s="20"/>
      <c r="NAT160" s="20"/>
      <c r="NAU160" s="20"/>
      <c r="NAV160" s="20"/>
      <c r="NAW160" s="20"/>
      <c r="NAX160" s="20"/>
      <c r="NAY160" s="20"/>
      <c r="NAZ160" s="20"/>
      <c r="NBA160" s="20"/>
      <c r="NBB160" s="20"/>
      <c r="NBC160" s="20"/>
      <c r="NBD160" s="20"/>
      <c r="NBE160" s="20"/>
      <c r="NBF160" s="20"/>
      <c r="NBG160" s="20"/>
      <c r="NBH160" s="20"/>
      <c r="NBI160" s="20"/>
      <c r="NBJ160" s="20"/>
      <c r="NBK160" s="20"/>
      <c r="NBL160" s="20"/>
      <c r="NBM160" s="20"/>
      <c r="NBN160" s="20"/>
      <c r="NBO160" s="20"/>
      <c r="NBP160" s="20"/>
      <c r="NBQ160" s="20"/>
      <c r="NBR160" s="20"/>
      <c r="NBS160" s="20"/>
      <c r="NBT160" s="20"/>
      <c r="NBU160" s="20"/>
      <c r="NBV160" s="20"/>
      <c r="NBW160" s="20"/>
      <c r="NBX160" s="20"/>
      <c r="NBY160" s="20"/>
      <c r="NBZ160" s="20"/>
      <c r="NCA160" s="20"/>
      <c r="NCB160" s="20"/>
      <c r="NCC160" s="20"/>
      <c r="NCD160" s="20"/>
      <c r="NCE160" s="20"/>
      <c r="NCF160" s="20"/>
      <c r="NCG160" s="20"/>
      <c r="NCH160" s="20"/>
      <c r="NCI160" s="20"/>
      <c r="NCJ160" s="20"/>
      <c r="NCK160" s="20"/>
      <c r="NCL160" s="20"/>
      <c r="NCM160" s="20"/>
      <c r="NCN160" s="20"/>
      <c r="NCO160" s="20"/>
      <c r="NCP160" s="20"/>
      <c r="NCQ160" s="20"/>
      <c r="NCR160" s="20"/>
      <c r="NCS160" s="20"/>
      <c r="NCT160" s="20"/>
      <c r="NCU160" s="20"/>
      <c r="NCV160" s="20"/>
      <c r="NCW160" s="20"/>
      <c r="NCX160" s="20"/>
      <c r="NCY160" s="20"/>
      <c r="NCZ160" s="20"/>
      <c r="NDA160" s="20"/>
      <c r="NDB160" s="20"/>
      <c r="NDC160" s="20"/>
      <c r="NDD160" s="20"/>
      <c r="NDE160" s="20"/>
      <c r="NDF160" s="20"/>
      <c r="NDG160" s="20"/>
      <c r="NDH160" s="20"/>
      <c r="NDI160" s="20"/>
      <c r="NDJ160" s="20"/>
      <c r="NDK160" s="20"/>
      <c r="NDL160" s="20"/>
      <c r="NDM160" s="20"/>
      <c r="NDN160" s="20"/>
      <c r="NDO160" s="20"/>
      <c r="NDP160" s="20"/>
      <c r="NDQ160" s="20"/>
      <c r="NDR160" s="20"/>
      <c r="NDS160" s="20"/>
      <c r="NDT160" s="20"/>
      <c r="NDU160" s="20"/>
      <c r="NDV160" s="20"/>
      <c r="NDW160" s="20"/>
      <c r="NDX160" s="20"/>
      <c r="NDY160" s="20"/>
      <c r="NDZ160" s="20"/>
      <c r="NEA160" s="20"/>
      <c r="NEB160" s="20"/>
      <c r="NEC160" s="20"/>
      <c r="NED160" s="20"/>
      <c r="NEE160" s="20"/>
      <c r="NEF160" s="20"/>
      <c r="NEG160" s="20"/>
      <c r="NEH160" s="20"/>
      <c r="NEI160" s="20"/>
      <c r="NEJ160" s="20"/>
      <c r="NEK160" s="20"/>
      <c r="NEL160" s="20"/>
      <c r="NEM160" s="20"/>
      <c r="NEN160" s="20"/>
      <c r="NEO160" s="20"/>
      <c r="NEP160" s="20"/>
      <c r="NEQ160" s="20"/>
      <c r="NER160" s="20"/>
      <c r="NES160" s="20"/>
      <c r="NET160" s="20"/>
      <c r="NEU160" s="20"/>
      <c r="NEV160" s="20"/>
      <c r="NEW160" s="20"/>
      <c r="NEX160" s="20"/>
      <c r="NEY160" s="20"/>
      <c r="NEZ160" s="20"/>
      <c r="NFA160" s="20"/>
      <c r="NFB160" s="20"/>
      <c r="NFC160" s="20"/>
      <c r="NFD160" s="20"/>
      <c r="NFE160" s="20"/>
      <c r="NFF160" s="20"/>
      <c r="NFG160" s="20"/>
      <c r="NFH160" s="20"/>
      <c r="NFI160" s="20"/>
      <c r="NFJ160" s="20"/>
      <c r="NFK160" s="20"/>
      <c r="NFL160" s="20"/>
      <c r="NFM160" s="20"/>
      <c r="NFN160" s="20"/>
      <c r="NFO160" s="20"/>
      <c r="NFP160" s="20"/>
      <c r="NFQ160" s="20"/>
      <c r="NFR160" s="20"/>
      <c r="NFS160" s="20"/>
      <c r="NFT160" s="20"/>
      <c r="NFU160" s="20"/>
      <c r="NFV160" s="20"/>
      <c r="NFW160" s="20"/>
      <c r="NFX160" s="20"/>
      <c r="NFY160" s="20"/>
      <c r="NFZ160" s="20"/>
      <c r="NGA160" s="20"/>
      <c r="NGB160" s="20"/>
      <c r="NGC160" s="20"/>
      <c r="NGD160" s="20"/>
      <c r="NGE160" s="20"/>
      <c r="NGF160" s="20"/>
      <c r="NGG160" s="20"/>
      <c r="NGH160" s="20"/>
      <c r="NGI160" s="20"/>
      <c r="NGJ160" s="20"/>
      <c r="NGK160" s="20"/>
      <c r="NGL160" s="20"/>
      <c r="NGM160" s="20"/>
      <c r="NGN160" s="20"/>
      <c r="NGO160" s="20"/>
      <c r="NGP160" s="20"/>
      <c r="NGQ160" s="20"/>
      <c r="NGR160" s="20"/>
      <c r="NGS160" s="20"/>
      <c r="NGT160" s="20"/>
      <c r="NGU160" s="20"/>
      <c r="NGV160" s="20"/>
      <c r="NGW160" s="20"/>
      <c r="NGX160" s="20"/>
      <c r="NGY160" s="20"/>
      <c r="NGZ160" s="20"/>
      <c r="NHA160" s="20"/>
      <c r="NHB160" s="20"/>
      <c r="NHC160" s="20"/>
      <c r="NHD160" s="20"/>
      <c r="NHE160" s="20"/>
      <c r="NHF160" s="20"/>
      <c r="NHG160" s="20"/>
      <c r="NHH160" s="20"/>
      <c r="NHI160" s="20"/>
      <c r="NHJ160" s="20"/>
      <c r="NHK160" s="20"/>
      <c r="NHL160" s="20"/>
      <c r="NHM160" s="20"/>
      <c r="NHN160" s="20"/>
      <c r="NHO160" s="20"/>
      <c r="NHP160" s="20"/>
      <c r="NHQ160" s="20"/>
      <c r="NHR160" s="20"/>
      <c r="NHS160" s="20"/>
      <c r="NHT160" s="20"/>
      <c r="NHU160" s="20"/>
      <c r="NHV160" s="20"/>
      <c r="NHW160" s="20"/>
      <c r="NHX160" s="20"/>
      <c r="NHY160" s="20"/>
      <c r="NHZ160" s="20"/>
      <c r="NIA160" s="20"/>
      <c r="NIB160" s="20"/>
      <c r="NIC160" s="20"/>
      <c r="NID160" s="20"/>
      <c r="NIE160" s="20"/>
      <c r="NIF160" s="20"/>
      <c r="NIG160" s="20"/>
      <c r="NIH160" s="20"/>
      <c r="NII160" s="20"/>
      <c r="NIJ160" s="20"/>
      <c r="NIK160" s="20"/>
      <c r="NIL160" s="20"/>
      <c r="NIM160" s="20"/>
      <c r="NIN160" s="20"/>
      <c r="NIO160" s="20"/>
      <c r="NIP160" s="20"/>
      <c r="NIQ160" s="20"/>
      <c r="NIR160" s="20"/>
      <c r="NIS160" s="20"/>
      <c r="NIT160" s="20"/>
      <c r="NIU160" s="20"/>
      <c r="NIV160" s="20"/>
      <c r="NIW160" s="20"/>
      <c r="NIX160" s="20"/>
      <c r="NIY160" s="20"/>
      <c r="NIZ160" s="20"/>
      <c r="NJA160" s="20"/>
      <c r="NJB160" s="20"/>
      <c r="NJC160" s="20"/>
      <c r="NJD160" s="20"/>
      <c r="NJE160" s="20"/>
      <c r="NJF160" s="20"/>
      <c r="NJG160" s="20"/>
      <c r="NJH160" s="20"/>
      <c r="NJI160" s="20"/>
      <c r="NJJ160" s="20"/>
      <c r="NJK160" s="20"/>
      <c r="NJL160" s="20"/>
      <c r="NJM160" s="20"/>
      <c r="NJN160" s="20"/>
      <c r="NJO160" s="20"/>
      <c r="NJP160" s="20"/>
      <c r="NJQ160" s="20"/>
      <c r="NJR160" s="20"/>
      <c r="NJS160" s="20"/>
      <c r="NJT160" s="20"/>
      <c r="NJU160" s="20"/>
      <c r="NJV160" s="20"/>
      <c r="NJW160" s="20"/>
      <c r="NJX160" s="20"/>
      <c r="NJY160" s="20"/>
      <c r="NJZ160" s="20"/>
      <c r="NKA160" s="20"/>
      <c r="NKB160" s="20"/>
      <c r="NKC160" s="20"/>
      <c r="NKD160" s="20"/>
      <c r="NKE160" s="20"/>
      <c r="NKF160" s="20"/>
      <c r="NKG160" s="20"/>
      <c r="NKH160" s="20"/>
      <c r="NKI160" s="20"/>
      <c r="NKJ160" s="20"/>
      <c r="NKK160" s="20"/>
      <c r="NKL160" s="20"/>
      <c r="NKM160" s="20"/>
      <c r="NKN160" s="20"/>
      <c r="NKO160" s="20"/>
      <c r="NKP160" s="20"/>
      <c r="NKQ160" s="20"/>
      <c r="NKR160" s="20"/>
      <c r="NKS160" s="20"/>
      <c r="NKT160" s="20"/>
      <c r="NKU160" s="20"/>
      <c r="NKV160" s="20"/>
      <c r="NKW160" s="20"/>
      <c r="NKX160" s="20"/>
      <c r="NKY160" s="20"/>
      <c r="NKZ160" s="20"/>
      <c r="NLA160" s="20"/>
      <c r="NLB160" s="20"/>
      <c r="NLC160" s="20"/>
      <c r="NLD160" s="20"/>
      <c r="NLE160" s="20"/>
      <c r="NLF160" s="20"/>
      <c r="NLG160" s="20"/>
      <c r="NLH160" s="20"/>
      <c r="NLI160" s="20"/>
      <c r="NLJ160" s="20"/>
      <c r="NLK160" s="20"/>
      <c r="NLL160" s="20"/>
      <c r="NLM160" s="20"/>
      <c r="NLN160" s="20"/>
      <c r="NLO160" s="20"/>
      <c r="NLP160" s="20"/>
      <c r="NLQ160" s="20"/>
      <c r="NLR160" s="20"/>
      <c r="NLS160" s="20"/>
      <c r="NLT160" s="20"/>
      <c r="NLU160" s="20"/>
      <c r="NLV160" s="20"/>
      <c r="NLW160" s="20"/>
      <c r="NLX160" s="20"/>
      <c r="NLY160" s="20"/>
      <c r="NLZ160" s="20"/>
      <c r="NMA160" s="20"/>
      <c r="NMB160" s="20"/>
      <c r="NMC160" s="20"/>
      <c r="NMD160" s="20"/>
      <c r="NME160" s="20"/>
      <c r="NMF160" s="20"/>
      <c r="NMG160" s="20"/>
      <c r="NMH160" s="20"/>
      <c r="NMI160" s="20"/>
      <c r="NMJ160" s="20"/>
      <c r="NMK160" s="20"/>
      <c r="NML160" s="20"/>
      <c r="NMM160" s="20"/>
      <c r="NMN160" s="20"/>
      <c r="NMO160" s="20"/>
      <c r="NMP160" s="20"/>
      <c r="NMQ160" s="20"/>
      <c r="NMR160" s="20"/>
      <c r="NMS160" s="20"/>
      <c r="NMT160" s="20"/>
      <c r="NMU160" s="20"/>
      <c r="NMV160" s="20"/>
      <c r="NMW160" s="20"/>
      <c r="NMX160" s="20"/>
      <c r="NMY160" s="20"/>
      <c r="NMZ160" s="20"/>
      <c r="NNA160" s="20"/>
      <c r="NNB160" s="20"/>
      <c r="NNC160" s="20"/>
      <c r="NND160" s="20"/>
      <c r="NNE160" s="20"/>
      <c r="NNF160" s="20"/>
      <c r="NNG160" s="20"/>
      <c r="NNH160" s="20"/>
      <c r="NNI160" s="20"/>
      <c r="NNJ160" s="20"/>
      <c r="NNK160" s="20"/>
      <c r="NNL160" s="20"/>
      <c r="NNM160" s="20"/>
      <c r="NNN160" s="20"/>
      <c r="NNO160" s="20"/>
      <c r="NNP160" s="20"/>
      <c r="NNQ160" s="20"/>
      <c r="NNR160" s="20"/>
      <c r="NNS160" s="20"/>
      <c r="NNT160" s="20"/>
      <c r="NNU160" s="20"/>
      <c r="NNV160" s="20"/>
      <c r="NNW160" s="20"/>
      <c r="NNX160" s="20"/>
      <c r="NNY160" s="20"/>
      <c r="NNZ160" s="20"/>
      <c r="NOA160" s="20"/>
      <c r="NOB160" s="20"/>
      <c r="NOC160" s="20"/>
      <c r="NOD160" s="20"/>
      <c r="NOE160" s="20"/>
      <c r="NOF160" s="20"/>
      <c r="NOG160" s="20"/>
      <c r="NOH160" s="20"/>
      <c r="NOI160" s="20"/>
      <c r="NOJ160" s="20"/>
      <c r="NOK160" s="20"/>
      <c r="NOL160" s="20"/>
      <c r="NOM160" s="20"/>
      <c r="NON160" s="20"/>
      <c r="NOO160" s="20"/>
      <c r="NOP160" s="20"/>
      <c r="NOQ160" s="20"/>
      <c r="NOR160" s="20"/>
      <c r="NOS160" s="20"/>
      <c r="NOT160" s="20"/>
      <c r="NOU160" s="20"/>
      <c r="NOV160" s="20"/>
      <c r="NOW160" s="20"/>
      <c r="NOX160" s="20"/>
      <c r="NOY160" s="20"/>
      <c r="NOZ160" s="20"/>
      <c r="NPA160" s="20"/>
      <c r="NPB160" s="20"/>
      <c r="NPC160" s="20"/>
      <c r="NPD160" s="20"/>
      <c r="NPE160" s="20"/>
      <c r="NPF160" s="20"/>
      <c r="NPG160" s="20"/>
      <c r="NPH160" s="20"/>
      <c r="NPI160" s="20"/>
      <c r="NPJ160" s="20"/>
      <c r="NPK160" s="20"/>
      <c r="NPL160" s="20"/>
      <c r="NPM160" s="20"/>
      <c r="NPN160" s="20"/>
      <c r="NPO160" s="20"/>
      <c r="NPP160" s="20"/>
      <c r="NPQ160" s="20"/>
      <c r="NPR160" s="20"/>
      <c r="NPS160" s="20"/>
      <c r="NPT160" s="20"/>
      <c r="NPU160" s="20"/>
      <c r="NPV160" s="20"/>
      <c r="NPW160" s="20"/>
      <c r="NPX160" s="20"/>
      <c r="NPY160" s="20"/>
      <c r="NPZ160" s="20"/>
      <c r="NQA160" s="20"/>
      <c r="NQB160" s="20"/>
      <c r="NQC160" s="20"/>
      <c r="NQD160" s="20"/>
      <c r="NQE160" s="20"/>
      <c r="NQF160" s="20"/>
      <c r="NQG160" s="20"/>
      <c r="NQH160" s="20"/>
      <c r="NQI160" s="20"/>
      <c r="NQJ160" s="20"/>
      <c r="NQK160" s="20"/>
      <c r="NQL160" s="20"/>
      <c r="NQM160" s="20"/>
      <c r="NQN160" s="20"/>
      <c r="NQO160" s="20"/>
      <c r="NQP160" s="20"/>
      <c r="NQQ160" s="20"/>
      <c r="NQR160" s="20"/>
      <c r="NQS160" s="20"/>
      <c r="NQT160" s="20"/>
      <c r="NQU160" s="20"/>
      <c r="NQV160" s="20"/>
      <c r="NQW160" s="20"/>
      <c r="NQX160" s="20"/>
      <c r="NQY160" s="20"/>
      <c r="NQZ160" s="20"/>
      <c r="NRA160" s="20"/>
      <c r="NRB160" s="20"/>
      <c r="NRC160" s="20"/>
      <c r="NRD160" s="20"/>
      <c r="NRE160" s="20"/>
      <c r="NRF160" s="20"/>
      <c r="NRG160" s="20"/>
      <c r="NRH160" s="20"/>
      <c r="NRI160" s="20"/>
      <c r="NRJ160" s="20"/>
      <c r="NRK160" s="20"/>
      <c r="NRL160" s="20"/>
      <c r="NRM160" s="20"/>
      <c r="NRN160" s="20"/>
      <c r="NRO160" s="20"/>
      <c r="NRP160" s="20"/>
      <c r="NRQ160" s="20"/>
      <c r="NRR160" s="20"/>
      <c r="NRS160" s="20"/>
      <c r="NRT160" s="20"/>
      <c r="NRU160" s="20"/>
      <c r="NRV160" s="20"/>
      <c r="NRW160" s="20"/>
      <c r="NRX160" s="20"/>
      <c r="NRY160" s="20"/>
      <c r="NRZ160" s="20"/>
      <c r="NSA160" s="20"/>
      <c r="NSB160" s="20"/>
      <c r="NSC160" s="20"/>
      <c r="NSD160" s="20"/>
      <c r="NSE160" s="20"/>
      <c r="NSF160" s="20"/>
      <c r="NSG160" s="20"/>
      <c r="NSH160" s="20"/>
      <c r="NSI160" s="20"/>
      <c r="NSJ160" s="20"/>
      <c r="NSK160" s="20"/>
      <c r="NSL160" s="20"/>
      <c r="NSM160" s="20"/>
      <c r="NSN160" s="20"/>
      <c r="NSO160" s="20"/>
      <c r="NSP160" s="20"/>
      <c r="NSQ160" s="20"/>
      <c r="NSR160" s="20"/>
      <c r="NSS160" s="20"/>
      <c r="NST160" s="20"/>
      <c r="NSU160" s="20"/>
      <c r="NSV160" s="20"/>
      <c r="NSW160" s="20"/>
      <c r="NSX160" s="20"/>
      <c r="NSY160" s="20"/>
      <c r="NSZ160" s="20"/>
      <c r="NTA160" s="20"/>
      <c r="NTB160" s="20"/>
      <c r="NTC160" s="20"/>
      <c r="NTD160" s="20"/>
      <c r="NTE160" s="20"/>
      <c r="NTF160" s="20"/>
      <c r="NTG160" s="20"/>
      <c r="NTH160" s="20"/>
      <c r="NTI160" s="20"/>
      <c r="NTJ160" s="20"/>
      <c r="NTK160" s="20"/>
      <c r="NTL160" s="20"/>
      <c r="NTM160" s="20"/>
      <c r="NTN160" s="20"/>
      <c r="NTO160" s="20"/>
      <c r="NTP160" s="20"/>
      <c r="NTQ160" s="20"/>
      <c r="NTR160" s="20"/>
      <c r="NTS160" s="20"/>
      <c r="NTT160" s="20"/>
      <c r="NTU160" s="20"/>
      <c r="NTV160" s="20"/>
      <c r="NTW160" s="20"/>
      <c r="NTX160" s="20"/>
      <c r="NTY160" s="20"/>
      <c r="NTZ160" s="20"/>
      <c r="NUA160" s="20"/>
      <c r="NUB160" s="20"/>
      <c r="NUC160" s="20"/>
      <c r="NUD160" s="20"/>
      <c r="NUE160" s="20"/>
      <c r="NUF160" s="20"/>
      <c r="NUG160" s="20"/>
      <c r="NUH160" s="20"/>
      <c r="NUI160" s="20"/>
      <c r="NUJ160" s="20"/>
      <c r="NUK160" s="20"/>
      <c r="NUL160" s="20"/>
      <c r="NUM160" s="20"/>
      <c r="NUN160" s="20"/>
      <c r="NUO160" s="20"/>
      <c r="NUP160" s="20"/>
      <c r="NUQ160" s="20"/>
      <c r="NUR160" s="20"/>
      <c r="NUS160" s="20"/>
      <c r="NUT160" s="20"/>
      <c r="NUU160" s="20"/>
      <c r="NUV160" s="20"/>
      <c r="NUW160" s="20"/>
      <c r="NUX160" s="20"/>
      <c r="NUY160" s="20"/>
      <c r="NUZ160" s="20"/>
      <c r="NVA160" s="20"/>
      <c r="NVB160" s="20"/>
      <c r="NVC160" s="20"/>
      <c r="NVD160" s="20"/>
      <c r="NVE160" s="20"/>
      <c r="NVF160" s="20"/>
      <c r="NVG160" s="20"/>
      <c r="NVH160" s="20"/>
      <c r="NVI160" s="20"/>
      <c r="NVJ160" s="20"/>
      <c r="NVK160" s="20"/>
      <c r="NVL160" s="20"/>
      <c r="NVM160" s="20"/>
      <c r="NVN160" s="20"/>
      <c r="NVO160" s="20"/>
      <c r="NVP160" s="20"/>
      <c r="NVQ160" s="20"/>
      <c r="NVR160" s="20"/>
      <c r="NVS160" s="20"/>
      <c r="NVT160" s="20"/>
      <c r="NVU160" s="20"/>
      <c r="NVV160" s="20"/>
      <c r="NVW160" s="20"/>
      <c r="NVX160" s="20"/>
      <c r="NVY160" s="20"/>
      <c r="NVZ160" s="20"/>
      <c r="NWA160" s="20"/>
      <c r="NWB160" s="20"/>
      <c r="NWC160" s="20"/>
      <c r="NWD160" s="20"/>
      <c r="NWE160" s="20"/>
      <c r="NWF160" s="20"/>
      <c r="NWG160" s="20"/>
      <c r="NWH160" s="20"/>
      <c r="NWI160" s="20"/>
      <c r="NWJ160" s="20"/>
      <c r="NWK160" s="20"/>
      <c r="NWL160" s="20"/>
      <c r="NWM160" s="20"/>
      <c r="NWN160" s="20"/>
      <c r="NWO160" s="20"/>
      <c r="NWP160" s="20"/>
      <c r="NWQ160" s="20"/>
      <c r="NWR160" s="20"/>
      <c r="NWS160" s="20"/>
      <c r="NWT160" s="20"/>
      <c r="NWU160" s="20"/>
      <c r="NWV160" s="20"/>
      <c r="NWW160" s="20"/>
      <c r="NWX160" s="20"/>
      <c r="NWY160" s="20"/>
      <c r="NWZ160" s="20"/>
      <c r="NXA160" s="20"/>
      <c r="NXB160" s="20"/>
      <c r="NXC160" s="20"/>
      <c r="NXD160" s="20"/>
      <c r="NXE160" s="20"/>
      <c r="NXF160" s="20"/>
      <c r="NXG160" s="20"/>
      <c r="NXH160" s="20"/>
      <c r="NXI160" s="20"/>
      <c r="NXJ160" s="20"/>
      <c r="NXK160" s="20"/>
      <c r="NXL160" s="20"/>
      <c r="NXM160" s="20"/>
      <c r="NXN160" s="20"/>
      <c r="NXO160" s="20"/>
      <c r="NXP160" s="20"/>
      <c r="NXQ160" s="20"/>
      <c r="NXR160" s="20"/>
      <c r="NXS160" s="20"/>
      <c r="NXT160" s="20"/>
      <c r="NXU160" s="20"/>
      <c r="NXV160" s="20"/>
      <c r="NXW160" s="20"/>
      <c r="NXX160" s="20"/>
      <c r="NXY160" s="20"/>
      <c r="NXZ160" s="20"/>
      <c r="NYA160" s="20"/>
      <c r="NYB160" s="20"/>
      <c r="NYC160" s="20"/>
      <c r="NYD160" s="20"/>
      <c r="NYE160" s="20"/>
      <c r="NYF160" s="20"/>
      <c r="NYG160" s="20"/>
      <c r="NYH160" s="20"/>
      <c r="NYI160" s="20"/>
      <c r="NYJ160" s="20"/>
      <c r="NYK160" s="20"/>
      <c r="NYL160" s="20"/>
      <c r="NYM160" s="20"/>
      <c r="NYN160" s="20"/>
      <c r="NYO160" s="20"/>
      <c r="NYP160" s="20"/>
      <c r="NYQ160" s="20"/>
      <c r="NYR160" s="20"/>
      <c r="NYS160" s="20"/>
      <c r="NYT160" s="20"/>
      <c r="NYU160" s="20"/>
      <c r="NYV160" s="20"/>
      <c r="NYW160" s="20"/>
      <c r="NYX160" s="20"/>
      <c r="NYY160" s="20"/>
      <c r="NYZ160" s="20"/>
      <c r="NZA160" s="20"/>
      <c r="NZB160" s="20"/>
      <c r="NZC160" s="20"/>
      <c r="NZD160" s="20"/>
      <c r="NZE160" s="20"/>
      <c r="NZF160" s="20"/>
      <c r="NZG160" s="20"/>
      <c r="NZH160" s="20"/>
      <c r="NZI160" s="20"/>
      <c r="NZJ160" s="20"/>
      <c r="NZK160" s="20"/>
      <c r="NZL160" s="20"/>
      <c r="NZM160" s="20"/>
      <c r="NZN160" s="20"/>
      <c r="NZO160" s="20"/>
      <c r="NZP160" s="20"/>
      <c r="NZQ160" s="20"/>
      <c r="NZR160" s="20"/>
      <c r="NZS160" s="20"/>
      <c r="NZT160" s="20"/>
      <c r="NZU160" s="20"/>
      <c r="NZV160" s="20"/>
      <c r="NZW160" s="20"/>
      <c r="NZX160" s="20"/>
      <c r="NZY160" s="20"/>
      <c r="NZZ160" s="20"/>
      <c r="OAA160" s="20"/>
      <c r="OAB160" s="20"/>
      <c r="OAC160" s="20"/>
      <c r="OAD160" s="20"/>
      <c r="OAE160" s="20"/>
      <c r="OAF160" s="20"/>
      <c r="OAG160" s="20"/>
      <c r="OAH160" s="20"/>
      <c r="OAI160" s="20"/>
      <c r="OAJ160" s="20"/>
      <c r="OAK160" s="20"/>
      <c r="OAL160" s="20"/>
      <c r="OAM160" s="20"/>
      <c r="OAN160" s="20"/>
      <c r="OAO160" s="20"/>
      <c r="OAP160" s="20"/>
      <c r="OAQ160" s="20"/>
      <c r="OAR160" s="20"/>
      <c r="OAS160" s="20"/>
      <c r="OAT160" s="20"/>
      <c r="OAU160" s="20"/>
      <c r="OAV160" s="20"/>
      <c r="OAW160" s="20"/>
      <c r="OAX160" s="20"/>
      <c r="OAY160" s="20"/>
      <c r="OAZ160" s="20"/>
      <c r="OBA160" s="20"/>
      <c r="OBB160" s="20"/>
      <c r="OBC160" s="20"/>
      <c r="OBD160" s="20"/>
      <c r="OBE160" s="20"/>
      <c r="OBF160" s="20"/>
      <c r="OBG160" s="20"/>
      <c r="OBH160" s="20"/>
      <c r="OBI160" s="20"/>
      <c r="OBJ160" s="20"/>
      <c r="OBK160" s="20"/>
      <c r="OBL160" s="20"/>
      <c r="OBM160" s="20"/>
      <c r="OBN160" s="20"/>
      <c r="OBO160" s="20"/>
      <c r="OBP160" s="20"/>
      <c r="OBQ160" s="20"/>
      <c r="OBR160" s="20"/>
      <c r="OBS160" s="20"/>
      <c r="OBT160" s="20"/>
      <c r="OBU160" s="20"/>
      <c r="OBV160" s="20"/>
      <c r="OBW160" s="20"/>
      <c r="OBX160" s="20"/>
      <c r="OBY160" s="20"/>
      <c r="OBZ160" s="20"/>
      <c r="OCA160" s="20"/>
      <c r="OCB160" s="20"/>
      <c r="OCC160" s="20"/>
      <c r="OCD160" s="20"/>
      <c r="OCE160" s="20"/>
      <c r="OCF160" s="20"/>
      <c r="OCG160" s="20"/>
      <c r="OCH160" s="20"/>
      <c r="OCI160" s="20"/>
      <c r="OCJ160" s="20"/>
      <c r="OCK160" s="20"/>
      <c r="OCL160" s="20"/>
      <c r="OCM160" s="20"/>
      <c r="OCN160" s="20"/>
      <c r="OCO160" s="20"/>
      <c r="OCP160" s="20"/>
      <c r="OCQ160" s="20"/>
      <c r="OCR160" s="20"/>
      <c r="OCS160" s="20"/>
      <c r="OCT160" s="20"/>
      <c r="OCU160" s="20"/>
      <c r="OCV160" s="20"/>
      <c r="OCW160" s="20"/>
      <c r="OCX160" s="20"/>
      <c r="OCY160" s="20"/>
      <c r="OCZ160" s="20"/>
      <c r="ODA160" s="20"/>
      <c r="ODB160" s="20"/>
      <c r="ODC160" s="20"/>
      <c r="ODD160" s="20"/>
      <c r="ODE160" s="20"/>
      <c r="ODF160" s="20"/>
      <c r="ODG160" s="20"/>
      <c r="ODH160" s="20"/>
      <c r="ODI160" s="20"/>
      <c r="ODJ160" s="20"/>
      <c r="ODK160" s="20"/>
      <c r="ODL160" s="20"/>
      <c r="ODM160" s="20"/>
      <c r="ODN160" s="20"/>
      <c r="ODO160" s="20"/>
      <c r="ODP160" s="20"/>
      <c r="ODQ160" s="20"/>
      <c r="ODR160" s="20"/>
      <c r="ODS160" s="20"/>
      <c r="ODT160" s="20"/>
      <c r="ODU160" s="20"/>
      <c r="ODV160" s="20"/>
      <c r="ODW160" s="20"/>
      <c r="ODX160" s="20"/>
      <c r="ODY160" s="20"/>
      <c r="ODZ160" s="20"/>
      <c r="OEA160" s="20"/>
      <c r="OEB160" s="20"/>
      <c r="OEC160" s="20"/>
      <c r="OED160" s="20"/>
      <c r="OEE160" s="20"/>
      <c r="OEF160" s="20"/>
      <c r="OEG160" s="20"/>
      <c r="OEH160" s="20"/>
      <c r="OEI160" s="20"/>
      <c r="OEJ160" s="20"/>
      <c r="OEK160" s="20"/>
      <c r="OEL160" s="20"/>
      <c r="OEM160" s="20"/>
      <c r="OEN160" s="20"/>
      <c r="OEO160" s="20"/>
      <c r="OEP160" s="20"/>
      <c r="OEQ160" s="20"/>
      <c r="OER160" s="20"/>
      <c r="OES160" s="20"/>
      <c r="OET160" s="20"/>
      <c r="OEU160" s="20"/>
      <c r="OEV160" s="20"/>
      <c r="OEW160" s="20"/>
      <c r="OEX160" s="20"/>
      <c r="OEY160" s="20"/>
      <c r="OEZ160" s="20"/>
      <c r="OFA160" s="20"/>
      <c r="OFB160" s="20"/>
      <c r="OFC160" s="20"/>
      <c r="OFD160" s="20"/>
      <c r="OFE160" s="20"/>
      <c r="OFF160" s="20"/>
      <c r="OFG160" s="20"/>
      <c r="OFH160" s="20"/>
      <c r="OFI160" s="20"/>
      <c r="OFJ160" s="20"/>
      <c r="OFK160" s="20"/>
      <c r="OFL160" s="20"/>
      <c r="OFM160" s="20"/>
      <c r="OFN160" s="20"/>
      <c r="OFO160" s="20"/>
      <c r="OFP160" s="20"/>
      <c r="OFQ160" s="20"/>
      <c r="OFR160" s="20"/>
      <c r="OFS160" s="20"/>
      <c r="OFT160" s="20"/>
      <c r="OFU160" s="20"/>
      <c r="OFV160" s="20"/>
      <c r="OFW160" s="20"/>
      <c r="OFX160" s="20"/>
      <c r="OFY160" s="20"/>
      <c r="OFZ160" s="20"/>
      <c r="OGA160" s="20"/>
      <c r="OGB160" s="20"/>
      <c r="OGC160" s="20"/>
      <c r="OGD160" s="20"/>
      <c r="OGE160" s="20"/>
      <c r="OGF160" s="20"/>
      <c r="OGG160" s="20"/>
      <c r="OGH160" s="20"/>
      <c r="OGI160" s="20"/>
      <c r="OGJ160" s="20"/>
      <c r="OGK160" s="20"/>
      <c r="OGL160" s="20"/>
      <c r="OGM160" s="20"/>
      <c r="OGN160" s="20"/>
      <c r="OGO160" s="20"/>
      <c r="OGP160" s="20"/>
      <c r="OGQ160" s="20"/>
      <c r="OGR160" s="20"/>
      <c r="OGS160" s="20"/>
      <c r="OGT160" s="20"/>
      <c r="OGU160" s="20"/>
      <c r="OGV160" s="20"/>
      <c r="OGW160" s="20"/>
      <c r="OGX160" s="20"/>
      <c r="OGY160" s="20"/>
      <c r="OGZ160" s="20"/>
      <c r="OHA160" s="20"/>
      <c r="OHB160" s="20"/>
      <c r="OHC160" s="20"/>
      <c r="OHD160" s="20"/>
      <c r="OHE160" s="20"/>
      <c r="OHF160" s="20"/>
      <c r="OHG160" s="20"/>
      <c r="OHH160" s="20"/>
      <c r="OHI160" s="20"/>
      <c r="OHJ160" s="20"/>
      <c r="OHK160" s="20"/>
      <c r="OHL160" s="20"/>
      <c r="OHM160" s="20"/>
      <c r="OHN160" s="20"/>
      <c r="OHO160" s="20"/>
      <c r="OHP160" s="20"/>
      <c r="OHQ160" s="20"/>
      <c r="OHR160" s="20"/>
      <c r="OHS160" s="20"/>
      <c r="OHT160" s="20"/>
      <c r="OHU160" s="20"/>
      <c r="OHV160" s="20"/>
      <c r="OHW160" s="20"/>
      <c r="OHX160" s="20"/>
      <c r="OHY160" s="20"/>
      <c r="OHZ160" s="20"/>
      <c r="OIA160" s="20"/>
      <c r="OIB160" s="20"/>
      <c r="OIC160" s="20"/>
      <c r="OID160" s="20"/>
      <c r="OIE160" s="20"/>
      <c r="OIF160" s="20"/>
      <c r="OIG160" s="20"/>
      <c r="OIH160" s="20"/>
      <c r="OII160" s="20"/>
      <c r="OIJ160" s="20"/>
      <c r="OIK160" s="20"/>
      <c r="OIL160" s="20"/>
      <c r="OIM160" s="20"/>
      <c r="OIN160" s="20"/>
      <c r="OIO160" s="20"/>
      <c r="OIP160" s="20"/>
      <c r="OIQ160" s="20"/>
      <c r="OIR160" s="20"/>
      <c r="OIS160" s="20"/>
      <c r="OIT160" s="20"/>
      <c r="OIU160" s="20"/>
      <c r="OIV160" s="20"/>
      <c r="OIW160" s="20"/>
      <c r="OIX160" s="20"/>
      <c r="OIY160" s="20"/>
      <c r="OIZ160" s="20"/>
      <c r="OJA160" s="20"/>
      <c r="OJB160" s="20"/>
      <c r="OJC160" s="20"/>
      <c r="OJD160" s="20"/>
      <c r="OJE160" s="20"/>
      <c r="OJF160" s="20"/>
      <c r="OJG160" s="20"/>
      <c r="OJH160" s="20"/>
      <c r="OJI160" s="20"/>
      <c r="OJJ160" s="20"/>
      <c r="OJK160" s="20"/>
      <c r="OJL160" s="20"/>
      <c r="OJM160" s="20"/>
      <c r="OJN160" s="20"/>
      <c r="OJO160" s="20"/>
      <c r="OJP160" s="20"/>
      <c r="OJQ160" s="20"/>
      <c r="OJR160" s="20"/>
      <c r="OJS160" s="20"/>
      <c r="OJT160" s="20"/>
      <c r="OJU160" s="20"/>
      <c r="OJV160" s="20"/>
      <c r="OJW160" s="20"/>
      <c r="OJX160" s="20"/>
      <c r="OJY160" s="20"/>
      <c r="OJZ160" s="20"/>
      <c r="OKA160" s="20"/>
      <c r="OKB160" s="20"/>
      <c r="OKC160" s="20"/>
      <c r="OKD160" s="20"/>
      <c r="OKE160" s="20"/>
      <c r="OKF160" s="20"/>
      <c r="OKG160" s="20"/>
      <c r="OKH160" s="20"/>
      <c r="OKI160" s="20"/>
      <c r="OKJ160" s="20"/>
      <c r="OKK160" s="20"/>
      <c r="OKL160" s="20"/>
      <c r="OKM160" s="20"/>
      <c r="OKN160" s="20"/>
      <c r="OKO160" s="20"/>
      <c r="OKP160" s="20"/>
      <c r="OKQ160" s="20"/>
      <c r="OKR160" s="20"/>
      <c r="OKS160" s="20"/>
      <c r="OKT160" s="20"/>
      <c r="OKU160" s="20"/>
      <c r="OKV160" s="20"/>
      <c r="OKW160" s="20"/>
      <c r="OKX160" s="20"/>
      <c r="OKY160" s="20"/>
      <c r="OKZ160" s="20"/>
      <c r="OLA160" s="20"/>
      <c r="OLB160" s="20"/>
      <c r="OLC160" s="20"/>
      <c r="OLD160" s="20"/>
      <c r="OLE160" s="20"/>
      <c r="OLF160" s="20"/>
      <c r="OLG160" s="20"/>
      <c r="OLH160" s="20"/>
      <c r="OLI160" s="20"/>
      <c r="OLJ160" s="20"/>
      <c r="OLK160" s="20"/>
      <c r="OLL160" s="20"/>
      <c r="OLM160" s="20"/>
      <c r="OLN160" s="20"/>
      <c r="OLO160" s="20"/>
      <c r="OLP160" s="20"/>
      <c r="OLQ160" s="20"/>
      <c r="OLR160" s="20"/>
      <c r="OLS160" s="20"/>
      <c r="OLT160" s="20"/>
      <c r="OLU160" s="20"/>
      <c r="OLV160" s="20"/>
      <c r="OLW160" s="20"/>
      <c r="OLX160" s="20"/>
      <c r="OLY160" s="20"/>
      <c r="OLZ160" s="20"/>
      <c r="OMA160" s="20"/>
      <c r="OMB160" s="20"/>
      <c r="OMC160" s="20"/>
      <c r="OMD160" s="20"/>
      <c r="OME160" s="20"/>
      <c r="OMF160" s="20"/>
      <c r="OMG160" s="20"/>
      <c r="OMH160" s="20"/>
      <c r="OMI160" s="20"/>
      <c r="OMJ160" s="20"/>
      <c r="OMK160" s="20"/>
      <c r="OML160" s="20"/>
      <c r="OMM160" s="20"/>
      <c r="OMN160" s="20"/>
      <c r="OMO160" s="20"/>
      <c r="OMP160" s="20"/>
      <c r="OMQ160" s="20"/>
      <c r="OMR160" s="20"/>
      <c r="OMS160" s="20"/>
      <c r="OMT160" s="20"/>
      <c r="OMU160" s="20"/>
      <c r="OMV160" s="20"/>
      <c r="OMW160" s="20"/>
      <c r="OMX160" s="20"/>
      <c r="OMY160" s="20"/>
      <c r="OMZ160" s="20"/>
      <c r="ONA160" s="20"/>
      <c r="ONB160" s="20"/>
      <c r="ONC160" s="20"/>
      <c r="OND160" s="20"/>
      <c r="ONE160" s="20"/>
      <c r="ONF160" s="20"/>
      <c r="ONG160" s="20"/>
      <c r="ONH160" s="20"/>
      <c r="ONI160" s="20"/>
      <c r="ONJ160" s="20"/>
      <c r="ONK160" s="20"/>
      <c r="ONL160" s="20"/>
      <c r="ONM160" s="20"/>
      <c r="ONN160" s="20"/>
      <c r="ONO160" s="20"/>
      <c r="ONP160" s="20"/>
      <c r="ONQ160" s="20"/>
      <c r="ONR160" s="20"/>
      <c r="ONS160" s="20"/>
      <c r="ONT160" s="20"/>
      <c r="ONU160" s="20"/>
      <c r="ONV160" s="20"/>
      <c r="ONW160" s="20"/>
      <c r="ONX160" s="20"/>
      <c r="ONY160" s="20"/>
      <c r="ONZ160" s="20"/>
      <c r="OOA160" s="20"/>
      <c r="OOB160" s="20"/>
      <c r="OOC160" s="20"/>
      <c r="OOD160" s="20"/>
      <c r="OOE160" s="20"/>
      <c r="OOF160" s="20"/>
      <c r="OOG160" s="20"/>
      <c r="OOH160" s="20"/>
      <c r="OOI160" s="20"/>
      <c r="OOJ160" s="20"/>
      <c r="OOK160" s="20"/>
      <c r="OOL160" s="20"/>
      <c r="OOM160" s="20"/>
      <c r="OON160" s="20"/>
      <c r="OOO160" s="20"/>
      <c r="OOP160" s="20"/>
      <c r="OOQ160" s="20"/>
      <c r="OOR160" s="20"/>
      <c r="OOS160" s="20"/>
      <c r="OOT160" s="20"/>
      <c r="OOU160" s="20"/>
      <c r="OOV160" s="20"/>
      <c r="OOW160" s="20"/>
      <c r="OOX160" s="20"/>
      <c r="OOY160" s="20"/>
      <c r="OOZ160" s="20"/>
      <c r="OPA160" s="20"/>
      <c r="OPB160" s="20"/>
      <c r="OPC160" s="20"/>
      <c r="OPD160" s="20"/>
      <c r="OPE160" s="20"/>
      <c r="OPF160" s="20"/>
      <c r="OPG160" s="20"/>
      <c r="OPH160" s="20"/>
      <c r="OPI160" s="20"/>
      <c r="OPJ160" s="20"/>
      <c r="OPK160" s="20"/>
      <c r="OPL160" s="20"/>
      <c r="OPM160" s="20"/>
      <c r="OPN160" s="20"/>
      <c r="OPO160" s="20"/>
      <c r="OPP160" s="20"/>
      <c r="OPQ160" s="20"/>
      <c r="OPR160" s="20"/>
      <c r="OPS160" s="20"/>
      <c r="OPT160" s="20"/>
      <c r="OPU160" s="20"/>
      <c r="OPV160" s="20"/>
      <c r="OPW160" s="20"/>
      <c r="OPX160" s="20"/>
      <c r="OPY160" s="20"/>
      <c r="OPZ160" s="20"/>
      <c r="OQA160" s="20"/>
      <c r="OQB160" s="20"/>
      <c r="OQC160" s="20"/>
      <c r="OQD160" s="20"/>
      <c r="OQE160" s="20"/>
      <c r="OQF160" s="20"/>
      <c r="OQG160" s="20"/>
      <c r="OQH160" s="20"/>
      <c r="OQI160" s="20"/>
      <c r="OQJ160" s="20"/>
      <c r="OQK160" s="20"/>
      <c r="OQL160" s="20"/>
      <c r="OQM160" s="20"/>
      <c r="OQN160" s="20"/>
      <c r="OQO160" s="20"/>
      <c r="OQP160" s="20"/>
      <c r="OQQ160" s="20"/>
      <c r="OQR160" s="20"/>
      <c r="OQS160" s="20"/>
      <c r="OQT160" s="20"/>
      <c r="OQU160" s="20"/>
      <c r="OQV160" s="20"/>
      <c r="OQW160" s="20"/>
      <c r="OQX160" s="20"/>
      <c r="OQY160" s="20"/>
      <c r="OQZ160" s="20"/>
      <c r="ORA160" s="20"/>
      <c r="ORB160" s="20"/>
      <c r="ORC160" s="20"/>
      <c r="ORD160" s="20"/>
      <c r="ORE160" s="20"/>
      <c r="ORF160" s="20"/>
      <c r="ORG160" s="20"/>
      <c r="ORH160" s="20"/>
      <c r="ORI160" s="20"/>
      <c r="ORJ160" s="20"/>
      <c r="ORK160" s="20"/>
      <c r="ORL160" s="20"/>
      <c r="ORM160" s="20"/>
      <c r="ORN160" s="20"/>
      <c r="ORO160" s="20"/>
      <c r="ORP160" s="20"/>
      <c r="ORQ160" s="20"/>
      <c r="ORR160" s="20"/>
      <c r="ORS160" s="20"/>
      <c r="ORT160" s="20"/>
      <c r="ORU160" s="20"/>
      <c r="ORV160" s="20"/>
      <c r="ORW160" s="20"/>
      <c r="ORX160" s="20"/>
      <c r="ORY160" s="20"/>
      <c r="ORZ160" s="20"/>
      <c r="OSA160" s="20"/>
      <c r="OSB160" s="20"/>
      <c r="OSC160" s="20"/>
      <c r="OSD160" s="20"/>
      <c r="OSE160" s="20"/>
      <c r="OSF160" s="20"/>
      <c r="OSG160" s="20"/>
      <c r="OSH160" s="20"/>
      <c r="OSI160" s="20"/>
      <c r="OSJ160" s="20"/>
      <c r="OSK160" s="20"/>
      <c r="OSL160" s="20"/>
      <c r="OSM160" s="20"/>
      <c r="OSN160" s="20"/>
      <c r="OSO160" s="20"/>
      <c r="OSP160" s="20"/>
      <c r="OSQ160" s="20"/>
      <c r="OSR160" s="20"/>
      <c r="OSS160" s="20"/>
      <c r="OST160" s="20"/>
      <c r="OSU160" s="20"/>
      <c r="OSV160" s="20"/>
      <c r="OSW160" s="20"/>
      <c r="OSX160" s="20"/>
      <c r="OSY160" s="20"/>
      <c r="OSZ160" s="20"/>
      <c r="OTA160" s="20"/>
      <c r="OTB160" s="20"/>
      <c r="OTC160" s="20"/>
      <c r="OTD160" s="20"/>
      <c r="OTE160" s="20"/>
      <c r="OTF160" s="20"/>
      <c r="OTG160" s="20"/>
      <c r="OTH160" s="20"/>
      <c r="OTI160" s="20"/>
      <c r="OTJ160" s="20"/>
      <c r="OTK160" s="20"/>
      <c r="OTL160" s="20"/>
      <c r="OTM160" s="20"/>
      <c r="OTN160" s="20"/>
      <c r="OTO160" s="20"/>
      <c r="OTP160" s="20"/>
      <c r="OTQ160" s="20"/>
      <c r="OTR160" s="20"/>
      <c r="OTS160" s="20"/>
      <c r="OTT160" s="20"/>
      <c r="OTU160" s="20"/>
      <c r="OTV160" s="20"/>
      <c r="OTW160" s="20"/>
      <c r="OTX160" s="20"/>
      <c r="OTY160" s="20"/>
      <c r="OTZ160" s="20"/>
      <c r="OUA160" s="20"/>
      <c r="OUB160" s="20"/>
      <c r="OUC160" s="20"/>
      <c r="OUD160" s="20"/>
      <c r="OUE160" s="20"/>
      <c r="OUF160" s="20"/>
      <c r="OUG160" s="20"/>
      <c r="OUH160" s="20"/>
      <c r="OUI160" s="20"/>
      <c r="OUJ160" s="20"/>
      <c r="OUK160" s="20"/>
      <c r="OUL160" s="20"/>
      <c r="OUM160" s="20"/>
      <c r="OUN160" s="20"/>
      <c r="OUO160" s="20"/>
      <c r="OUP160" s="20"/>
      <c r="OUQ160" s="20"/>
      <c r="OUR160" s="20"/>
      <c r="OUS160" s="20"/>
      <c r="OUT160" s="20"/>
      <c r="OUU160" s="20"/>
      <c r="OUV160" s="20"/>
      <c r="OUW160" s="20"/>
      <c r="OUX160" s="20"/>
      <c r="OUY160" s="20"/>
      <c r="OUZ160" s="20"/>
      <c r="OVA160" s="20"/>
      <c r="OVB160" s="20"/>
      <c r="OVC160" s="20"/>
      <c r="OVD160" s="20"/>
      <c r="OVE160" s="20"/>
      <c r="OVF160" s="20"/>
      <c r="OVG160" s="20"/>
      <c r="OVH160" s="20"/>
      <c r="OVI160" s="20"/>
      <c r="OVJ160" s="20"/>
      <c r="OVK160" s="20"/>
      <c r="OVL160" s="20"/>
      <c r="OVM160" s="20"/>
      <c r="OVN160" s="20"/>
      <c r="OVO160" s="20"/>
      <c r="OVP160" s="20"/>
      <c r="OVQ160" s="20"/>
      <c r="OVR160" s="20"/>
      <c r="OVS160" s="20"/>
      <c r="OVT160" s="20"/>
      <c r="OVU160" s="20"/>
      <c r="OVV160" s="20"/>
      <c r="OVW160" s="20"/>
      <c r="OVX160" s="20"/>
      <c r="OVY160" s="20"/>
      <c r="OVZ160" s="20"/>
      <c r="OWA160" s="20"/>
      <c r="OWB160" s="20"/>
      <c r="OWC160" s="20"/>
      <c r="OWD160" s="20"/>
      <c r="OWE160" s="20"/>
      <c r="OWF160" s="20"/>
      <c r="OWG160" s="20"/>
      <c r="OWH160" s="20"/>
      <c r="OWI160" s="20"/>
      <c r="OWJ160" s="20"/>
      <c r="OWK160" s="20"/>
      <c r="OWL160" s="20"/>
      <c r="OWM160" s="20"/>
      <c r="OWN160" s="20"/>
      <c r="OWO160" s="20"/>
      <c r="OWP160" s="20"/>
      <c r="OWQ160" s="20"/>
      <c r="OWR160" s="20"/>
      <c r="OWS160" s="20"/>
      <c r="OWT160" s="20"/>
      <c r="OWU160" s="20"/>
      <c r="OWV160" s="20"/>
      <c r="OWW160" s="20"/>
      <c r="OWX160" s="20"/>
      <c r="OWY160" s="20"/>
      <c r="OWZ160" s="20"/>
      <c r="OXA160" s="20"/>
      <c r="OXB160" s="20"/>
      <c r="OXC160" s="20"/>
      <c r="OXD160" s="20"/>
      <c r="OXE160" s="20"/>
      <c r="OXF160" s="20"/>
      <c r="OXG160" s="20"/>
      <c r="OXH160" s="20"/>
      <c r="OXI160" s="20"/>
      <c r="OXJ160" s="20"/>
      <c r="OXK160" s="20"/>
      <c r="OXL160" s="20"/>
      <c r="OXM160" s="20"/>
      <c r="OXN160" s="20"/>
      <c r="OXO160" s="20"/>
      <c r="OXP160" s="20"/>
      <c r="OXQ160" s="20"/>
      <c r="OXR160" s="20"/>
      <c r="OXS160" s="20"/>
      <c r="OXT160" s="20"/>
      <c r="OXU160" s="20"/>
      <c r="OXV160" s="20"/>
      <c r="OXW160" s="20"/>
      <c r="OXX160" s="20"/>
      <c r="OXY160" s="20"/>
      <c r="OXZ160" s="20"/>
      <c r="OYA160" s="20"/>
      <c r="OYB160" s="20"/>
      <c r="OYC160" s="20"/>
      <c r="OYD160" s="20"/>
      <c r="OYE160" s="20"/>
      <c r="OYF160" s="20"/>
      <c r="OYG160" s="20"/>
      <c r="OYH160" s="20"/>
      <c r="OYI160" s="20"/>
      <c r="OYJ160" s="20"/>
      <c r="OYK160" s="20"/>
      <c r="OYL160" s="20"/>
      <c r="OYM160" s="20"/>
      <c r="OYN160" s="20"/>
      <c r="OYO160" s="20"/>
      <c r="OYP160" s="20"/>
      <c r="OYQ160" s="20"/>
      <c r="OYR160" s="20"/>
      <c r="OYS160" s="20"/>
      <c r="OYT160" s="20"/>
      <c r="OYU160" s="20"/>
      <c r="OYV160" s="20"/>
      <c r="OYW160" s="20"/>
      <c r="OYX160" s="20"/>
      <c r="OYY160" s="20"/>
      <c r="OYZ160" s="20"/>
      <c r="OZA160" s="20"/>
      <c r="OZB160" s="20"/>
      <c r="OZC160" s="20"/>
      <c r="OZD160" s="20"/>
      <c r="OZE160" s="20"/>
      <c r="OZF160" s="20"/>
      <c r="OZG160" s="20"/>
      <c r="OZH160" s="20"/>
      <c r="OZI160" s="20"/>
      <c r="OZJ160" s="20"/>
      <c r="OZK160" s="20"/>
      <c r="OZL160" s="20"/>
      <c r="OZM160" s="20"/>
      <c r="OZN160" s="20"/>
      <c r="OZO160" s="20"/>
      <c r="OZP160" s="20"/>
      <c r="OZQ160" s="20"/>
      <c r="OZR160" s="20"/>
      <c r="OZS160" s="20"/>
      <c r="OZT160" s="20"/>
      <c r="OZU160" s="20"/>
      <c r="OZV160" s="20"/>
      <c r="OZW160" s="20"/>
      <c r="OZX160" s="20"/>
      <c r="OZY160" s="20"/>
      <c r="OZZ160" s="20"/>
      <c r="PAA160" s="20"/>
      <c r="PAB160" s="20"/>
      <c r="PAC160" s="20"/>
      <c r="PAD160" s="20"/>
      <c r="PAE160" s="20"/>
      <c r="PAF160" s="20"/>
      <c r="PAG160" s="20"/>
      <c r="PAH160" s="20"/>
      <c r="PAI160" s="20"/>
      <c r="PAJ160" s="20"/>
      <c r="PAK160" s="20"/>
      <c r="PAL160" s="20"/>
      <c r="PAM160" s="20"/>
      <c r="PAN160" s="20"/>
      <c r="PAO160" s="20"/>
      <c r="PAP160" s="20"/>
      <c r="PAQ160" s="20"/>
      <c r="PAR160" s="20"/>
      <c r="PAS160" s="20"/>
      <c r="PAT160" s="20"/>
      <c r="PAU160" s="20"/>
      <c r="PAV160" s="20"/>
      <c r="PAW160" s="20"/>
      <c r="PAX160" s="20"/>
      <c r="PAY160" s="20"/>
      <c r="PAZ160" s="20"/>
      <c r="PBA160" s="20"/>
      <c r="PBB160" s="20"/>
      <c r="PBC160" s="20"/>
      <c r="PBD160" s="20"/>
      <c r="PBE160" s="20"/>
      <c r="PBF160" s="20"/>
      <c r="PBG160" s="20"/>
      <c r="PBH160" s="20"/>
      <c r="PBI160" s="20"/>
      <c r="PBJ160" s="20"/>
      <c r="PBK160" s="20"/>
      <c r="PBL160" s="20"/>
      <c r="PBM160" s="20"/>
      <c r="PBN160" s="20"/>
      <c r="PBO160" s="20"/>
      <c r="PBP160" s="20"/>
      <c r="PBQ160" s="20"/>
      <c r="PBR160" s="20"/>
      <c r="PBS160" s="20"/>
      <c r="PBT160" s="20"/>
      <c r="PBU160" s="20"/>
      <c r="PBV160" s="20"/>
      <c r="PBW160" s="20"/>
      <c r="PBX160" s="20"/>
      <c r="PBY160" s="20"/>
      <c r="PBZ160" s="20"/>
      <c r="PCA160" s="20"/>
      <c r="PCB160" s="20"/>
      <c r="PCC160" s="20"/>
      <c r="PCD160" s="20"/>
      <c r="PCE160" s="20"/>
      <c r="PCF160" s="20"/>
      <c r="PCG160" s="20"/>
      <c r="PCH160" s="20"/>
      <c r="PCI160" s="20"/>
      <c r="PCJ160" s="20"/>
      <c r="PCK160" s="20"/>
      <c r="PCL160" s="20"/>
      <c r="PCM160" s="20"/>
      <c r="PCN160" s="20"/>
      <c r="PCO160" s="20"/>
      <c r="PCP160" s="20"/>
      <c r="PCQ160" s="20"/>
      <c r="PCR160" s="20"/>
      <c r="PCS160" s="20"/>
      <c r="PCT160" s="20"/>
      <c r="PCU160" s="20"/>
      <c r="PCV160" s="20"/>
      <c r="PCW160" s="20"/>
      <c r="PCX160" s="20"/>
      <c r="PCY160" s="20"/>
      <c r="PCZ160" s="20"/>
      <c r="PDA160" s="20"/>
      <c r="PDB160" s="20"/>
      <c r="PDC160" s="20"/>
      <c r="PDD160" s="20"/>
      <c r="PDE160" s="20"/>
      <c r="PDF160" s="20"/>
      <c r="PDG160" s="20"/>
      <c r="PDH160" s="20"/>
      <c r="PDI160" s="20"/>
      <c r="PDJ160" s="20"/>
      <c r="PDK160" s="20"/>
      <c r="PDL160" s="20"/>
      <c r="PDM160" s="20"/>
      <c r="PDN160" s="20"/>
      <c r="PDO160" s="20"/>
      <c r="PDP160" s="20"/>
      <c r="PDQ160" s="20"/>
      <c r="PDR160" s="20"/>
      <c r="PDS160" s="20"/>
      <c r="PDT160" s="20"/>
      <c r="PDU160" s="20"/>
      <c r="PDV160" s="20"/>
      <c r="PDW160" s="20"/>
      <c r="PDX160" s="20"/>
      <c r="PDY160" s="20"/>
      <c r="PDZ160" s="20"/>
      <c r="PEA160" s="20"/>
      <c r="PEB160" s="20"/>
      <c r="PEC160" s="20"/>
      <c r="PED160" s="20"/>
      <c r="PEE160" s="20"/>
      <c r="PEF160" s="20"/>
      <c r="PEG160" s="20"/>
      <c r="PEH160" s="20"/>
      <c r="PEI160" s="20"/>
      <c r="PEJ160" s="20"/>
      <c r="PEK160" s="20"/>
      <c r="PEL160" s="20"/>
      <c r="PEM160" s="20"/>
      <c r="PEN160" s="20"/>
      <c r="PEO160" s="20"/>
      <c r="PEP160" s="20"/>
      <c r="PEQ160" s="20"/>
      <c r="PER160" s="20"/>
      <c r="PES160" s="20"/>
      <c r="PET160" s="20"/>
      <c r="PEU160" s="20"/>
      <c r="PEV160" s="20"/>
      <c r="PEW160" s="20"/>
      <c r="PEX160" s="20"/>
      <c r="PEY160" s="20"/>
      <c r="PEZ160" s="20"/>
      <c r="PFA160" s="20"/>
      <c r="PFB160" s="20"/>
      <c r="PFC160" s="20"/>
      <c r="PFD160" s="20"/>
      <c r="PFE160" s="20"/>
      <c r="PFF160" s="20"/>
      <c r="PFG160" s="20"/>
      <c r="PFH160" s="20"/>
      <c r="PFI160" s="20"/>
      <c r="PFJ160" s="20"/>
      <c r="PFK160" s="20"/>
      <c r="PFL160" s="20"/>
      <c r="PFM160" s="20"/>
      <c r="PFN160" s="20"/>
      <c r="PFO160" s="20"/>
      <c r="PFP160" s="20"/>
      <c r="PFQ160" s="20"/>
      <c r="PFR160" s="20"/>
      <c r="PFS160" s="20"/>
      <c r="PFT160" s="20"/>
      <c r="PFU160" s="20"/>
      <c r="PFV160" s="20"/>
      <c r="PFW160" s="20"/>
      <c r="PFX160" s="20"/>
      <c r="PFY160" s="20"/>
      <c r="PFZ160" s="20"/>
      <c r="PGA160" s="20"/>
      <c r="PGB160" s="20"/>
      <c r="PGC160" s="20"/>
      <c r="PGD160" s="20"/>
      <c r="PGE160" s="20"/>
      <c r="PGF160" s="20"/>
      <c r="PGG160" s="20"/>
      <c r="PGH160" s="20"/>
      <c r="PGI160" s="20"/>
      <c r="PGJ160" s="20"/>
      <c r="PGK160" s="20"/>
      <c r="PGL160" s="20"/>
      <c r="PGM160" s="20"/>
      <c r="PGN160" s="20"/>
      <c r="PGO160" s="20"/>
      <c r="PGP160" s="20"/>
      <c r="PGQ160" s="20"/>
      <c r="PGR160" s="20"/>
      <c r="PGS160" s="20"/>
      <c r="PGT160" s="20"/>
      <c r="PGU160" s="20"/>
      <c r="PGV160" s="20"/>
      <c r="PGW160" s="20"/>
      <c r="PGX160" s="20"/>
      <c r="PGY160" s="20"/>
      <c r="PGZ160" s="20"/>
      <c r="PHA160" s="20"/>
      <c r="PHB160" s="20"/>
      <c r="PHC160" s="20"/>
      <c r="PHD160" s="20"/>
      <c r="PHE160" s="20"/>
      <c r="PHF160" s="20"/>
      <c r="PHG160" s="20"/>
      <c r="PHH160" s="20"/>
      <c r="PHI160" s="20"/>
      <c r="PHJ160" s="20"/>
      <c r="PHK160" s="20"/>
      <c r="PHL160" s="20"/>
      <c r="PHM160" s="20"/>
      <c r="PHN160" s="20"/>
      <c r="PHO160" s="20"/>
      <c r="PHP160" s="20"/>
      <c r="PHQ160" s="20"/>
      <c r="PHR160" s="20"/>
      <c r="PHS160" s="20"/>
      <c r="PHT160" s="20"/>
      <c r="PHU160" s="20"/>
      <c r="PHV160" s="20"/>
      <c r="PHW160" s="20"/>
      <c r="PHX160" s="20"/>
      <c r="PHY160" s="20"/>
      <c r="PHZ160" s="20"/>
      <c r="PIA160" s="20"/>
      <c r="PIB160" s="20"/>
      <c r="PIC160" s="20"/>
      <c r="PID160" s="20"/>
      <c r="PIE160" s="20"/>
      <c r="PIF160" s="20"/>
      <c r="PIG160" s="20"/>
      <c r="PIH160" s="20"/>
      <c r="PII160" s="20"/>
      <c r="PIJ160" s="20"/>
      <c r="PIK160" s="20"/>
      <c r="PIL160" s="20"/>
      <c r="PIM160" s="20"/>
      <c r="PIN160" s="20"/>
      <c r="PIO160" s="20"/>
      <c r="PIP160" s="20"/>
      <c r="PIQ160" s="20"/>
      <c r="PIR160" s="20"/>
      <c r="PIS160" s="20"/>
      <c r="PIT160" s="20"/>
      <c r="PIU160" s="20"/>
      <c r="PIV160" s="20"/>
      <c r="PIW160" s="20"/>
      <c r="PIX160" s="20"/>
      <c r="PIY160" s="20"/>
      <c r="PIZ160" s="20"/>
      <c r="PJA160" s="20"/>
      <c r="PJB160" s="20"/>
      <c r="PJC160" s="20"/>
      <c r="PJD160" s="20"/>
      <c r="PJE160" s="20"/>
      <c r="PJF160" s="20"/>
      <c r="PJG160" s="20"/>
      <c r="PJH160" s="20"/>
      <c r="PJI160" s="20"/>
      <c r="PJJ160" s="20"/>
      <c r="PJK160" s="20"/>
      <c r="PJL160" s="20"/>
      <c r="PJM160" s="20"/>
      <c r="PJN160" s="20"/>
      <c r="PJO160" s="20"/>
      <c r="PJP160" s="20"/>
      <c r="PJQ160" s="20"/>
      <c r="PJR160" s="20"/>
      <c r="PJS160" s="20"/>
      <c r="PJT160" s="20"/>
      <c r="PJU160" s="20"/>
      <c r="PJV160" s="20"/>
      <c r="PJW160" s="20"/>
      <c r="PJX160" s="20"/>
      <c r="PJY160" s="20"/>
      <c r="PJZ160" s="20"/>
      <c r="PKA160" s="20"/>
      <c r="PKB160" s="20"/>
      <c r="PKC160" s="20"/>
      <c r="PKD160" s="20"/>
      <c r="PKE160" s="20"/>
      <c r="PKF160" s="20"/>
      <c r="PKG160" s="20"/>
      <c r="PKH160" s="20"/>
      <c r="PKI160" s="20"/>
      <c r="PKJ160" s="20"/>
      <c r="PKK160" s="20"/>
      <c r="PKL160" s="20"/>
      <c r="PKM160" s="20"/>
      <c r="PKN160" s="20"/>
      <c r="PKO160" s="20"/>
      <c r="PKP160" s="20"/>
      <c r="PKQ160" s="20"/>
      <c r="PKR160" s="20"/>
      <c r="PKS160" s="20"/>
      <c r="PKT160" s="20"/>
      <c r="PKU160" s="20"/>
      <c r="PKV160" s="20"/>
      <c r="PKW160" s="20"/>
      <c r="PKX160" s="20"/>
      <c r="PKY160" s="20"/>
      <c r="PKZ160" s="20"/>
      <c r="PLA160" s="20"/>
      <c r="PLB160" s="20"/>
      <c r="PLC160" s="20"/>
      <c r="PLD160" s="20"/>
      <c r="PLE160" s="20"/>
      <c r="PLF160" s="20"/>
      <c r="PLG160" s="20"/>
      <c r="PLH160" s="20"/>
      <c r="PLI160" s="20"/>
      <c r="PLJ160" s="20"/>
      <c r="PLK160" s="20"/>
      <c r="PLL160" s="20"/>
      <c r="PLM160" s="20"/>
      <c r="PLN160" s="20"/>
      <c r="PLO160" s="20"/>
      <c r="PLP160" s="20"/>
      <c r="PLQ160" s="20"/>
      <c r="PLR160" s="20"/>
      <c r="PLS160" s="20"/>
      <c r="PLT160" s="20"/>
      <c r="PLU160" s="20"/>
      <c r="PLV160" s="20"/>
      <c r="PLW160" s="20"/>
      <c r="PLX160" s="20"/>
      <c r="PLY160" s="20"/>
      <c r="PLZ160" s="20"/>
      <c r="PMA160" s="20"/>
      <c r="PMB160" s="20"/>
      <c r="PMC160" s="20"/>
      <c r="PMD160" s="20"/>
      <c r="PME160" s="20"/>
      <c r="PMF160" s="20"/>
      <c r="PMG160" s="20"/>
      <c r="PMH160" s="20"/>
      <c r="PMI160" s="20"/>
      <c r="PMJ160" s="20"/>
      <c r="PMK160" s="20"/>
      <c r="PML160" s="20"/>
      <c r="PMM160" s="20"/>
      <c r="PMN160" s="20"/>
      <c r="PMO160" s="20"/>
      <c r="PMP160" s="20"/>
      <c r="PMQ160" s="20"/>
      <c r="PMR160" s="20"/>
      <c r="PMS160" s="20"/>
      <c r="PMT160" s="20"/>
      <c r="PMU160" s="20"/>
      <c r="PMV160" s="20"/>
      <c r="PMW160" s="20"/>
      <c r="PMX160" s="20"/>
      <c r="PMY160" s="20"/>
      <c r="PMZ160" s="20"/>
      <c r="PNA160" s="20"/>
      <c r="PNB160" s="20"/>
      <c r="PNC160" s="20"/>
      <c r="PND160" s="20"/>
      <c r="PNE160" s="20"/>
      <c r="PNF160" s="20"/>
      <c r="PNG160" s="20"/>
      <c r="PNH160" s="20"/>
      <c r="PNI160" s="20"/>
      <c r="PNJ160" s="20"/>
      <c r="PNK160" s="20"/>
      <c r="PNL160" s="20"/>
      <c r="PNM160" s="20"/>
      <c r="PNN160" s="20"/>
      <c r="PNO160" s="20"/>
      <c r="PNP160" s="20"/>
      <c r="PNQ160" s="20"/>
      <c r="PNR160" s="20"/>
      <c r="PNS160" s="20"/>
      <c r="PNT160" s="20"/>
      <c r="PNU160" s="20"/>
      <c r="PNV160" s="20"/>
      <c r="PNW160" s="20"/>
      <c r="PNX160" s="20"/>
      <c r="PNY160" s="20"/>
      <c r="PNZ160" s="20"/>
      <c r="POA160" s="20"/>
      <c r="POB160" s="20"/>
      <c r="POC160" s="20"/>
      <c r="POD160" s="20"/>
      <c r="POE160" s="20"/>
      <c r="POF160" s="20"/>
      <c r="POG160" s="20"/>
      <c r="POH160" s="20"/>
      <c r="POI160" s="20"/>
      <c r="POJ160" s="20"/>
      <c r="POK160" s="20"/>
      <c r="POL160" s="20"/>
      <c r="POM160" s="20"/>
      <c r="PON160" s="20"/>
      <c r="POO160" s="20"/>
      <c r="POP160" s="20"/>
      <c r="POQ160" s="20"/>
      <c r="POR160" s="20"/>
      <c r="POS160" s="20"/>
      <c r="POT160" s="20"/>
      <c r="POU160" s="20"/>
      <c r="POV160" s="20"/>
      <c r="POW160" s="20"/>
      <c r="POX160" s="20"/>
      <c r="POY160" s="20"/>
      <c r="POZ160" s="20"/>
      <c r="PPA160" s="20"/>
      <c r="PPB160" s="20"/>
      <c r="PPC160" s="20"/>
      <c r="PPD160" s="20"/>
      <c r="PPE160" s="20"/>
      <c r="PPF160" s="20"/>
      <c r="PPG160" s="20"/>
      <c r="PPH160" s="20"/>
      <c r="PPI160" s="20"/>
      <c r="PPJ160" s="20"/>
      <c r="PPK160" s="20"/>
      <c r="PPL160" s="20"/>
      <c r="PPM160" s="20"/>
      <c r="PPN160" s="20"/>
      <c r="PPO160" s="20"/>
      <c r="PPP160" s="20"/>
      <c r="PPQ160" s="20"/>
      <c r="PPR160" s="20"/>
      <c r="PPS160" s="20"/>
      <c r="PPT160" s="20"/>
      <c r="PPU160" s="20"/>
      <c r="PPV160" s="20"/>
      <c r="PPW160" s="20"/>
      <c r="PPX160" s="20"/>
      <c r="PPY160" s="20"/>
      <c r="PPZ160" s="20"/>
      <c r="PQA160" s="20"/>
      <c r="PQB160" s="20"/>
      <c r="PQC160" s="20"/>
      <c r="PQD160" s="20"/>
      <c r="PQE160" s="20"/>
      <c r="PQF160" s="20"/>
      <c r="PQG160" s="20"/>
      <c r="PQH160" s="20"/>
      <c r="PQI160" s="20"/>
      <c r="PQJ160" s="20"/>
      <c r="PQK160" s="20"/>
      <c r="PQL160" s="20"/>
      <c r="PQM160" s="20"/>
      <c r="PQN160" s="20"/>
      <c r="PQO160" s="20"/>
      <c r="PQP160" s="20"/>
      <c r="PQQ160" s="20"/>
      <c r="PQR160" s="20"/>
      <c r="PQS160" s="20"/>
      <c r="PQT160" s="20"/>
      <c r="PQU160" s="20"/>
      <c r="PQV160" s="20"/>
      <c r="PQW160" s="20"/>
      <c r="PQX160" s="20"/>
      <c r="PQY160" s="20"/>
      <c r="PQZ160" s="20"/>
      <c r="PRA160" s="20"/>
      <c r="PRB160" s="20"/>
      <c r="PRC160" s="20"/>
      <c r="PRD160" s="20"/>
      <c r="PRE160" s="20"/>
      <c r="PRF160" s="20"/>
      <c r="PRG160" s="20"/>
      <c r="PRH160" s="20"/>
      <c r="PRI160" s="20"/>
      <c r="PRJ160" s="20"/>
      <c r="PRK160" s="20"/>
      <c r="PRL160" s="20"/>
      <c r="PRM160" s="20"/>
      <c r="PRN160" s="20"/>
      <c r="PRO160" s="20"/>
      <c r="PRP160" s="20"/>
      <c r="PRQ160" s="20"/>
      <c r="PRR160" s="20"/>
      <c r="PRS160" s="20"/>
      <c r="PRT160" s="20"/>
      <c r="PRU160" s="20"/>
      <c r="PRV160" s="20"/>
      <c r="PRW160" s="20"/>
      <c r="PRX160" s="20"/>
      <c r="PRY160" s="20"/>
      <c r="PRZ160" s="20"/>
      <c r="PSA160" s="20"/>
      <c r="PSB160" s="20"/>
      <c r="PSC160" s="20"/>
      <c r="PSD160" s="20"/>
      <c r="PSE160" s="20"/>
      <c r="PSF160" s="20"/>
      <c r="PSG160" s="20"/>
      <c r="PSH160" s="20"/>
      <c r="PSI160" s="20"/>
      <c r="PSJ160" s="20"/>
      <c r="PSK160" s="20"/>
      <c r="PSL160" s="20"/>
      <c r="PSM160" s="20"/>
      <c r="PSN160" s="20"/>
      <c r="PSO160" s="20"/>
      <c r="PSP160" s="20"/>
      <c r="PSQ160" s="20"/>
      <c r="PSR160" s="20"/>
      <c r="PSS160" s="20"/>
      <c r="PST160" s="20"/>
      <c r="PSU160" s="20"/>
      <c r="PSV160" s="20"/>
      <c r="PSW160" s="20"/>
      <c r="PSX160" s="20"/>
      <c r="PSY160" s="20"/>
      <c r="PSZ160" s="20"/>
      <c r="PTA160" s="20"/>
      <c r="PTB160" s="20"/>
      <c r="PTC160" s="20"/>
      <c r="PTD160" s="20"/>
      <c r="PTE160" s="20"/>
      <c r="PTF160" s="20"/>
      <c r="PTG160" s="20"/>
      <c r="PTH160" s="20"/>
      <c r="PTI160" s="20"/>
      <c r="PTJ160" s="20"/>
      <c r="PTK160" s="20"/>
      <c r="PTL160" s="20"/>
      <c r="PTM160" s="20"/>
      <c r="PTN160" s="20"/>
      <c r="PTO160" s="20"/>
      <c r="PTP160" s="20"/>
      <c r="PTQ160" s="20"/>
      <c r="PTR160" s="20"/>
      <c r="PTS160" s="20"/>
      <c r="PTT160" s="20"/>
      <c r="PTU160" s="20"/>
      <c r="PTV160" s="20"/>
      <c r="PTW160" s="20"/>
      <c r="PTX160" s="20"/>
      <c r="PTY160" s="20"/>
      <c r="PTZ160" s="20"/>
      <c r="PUA160" s="20"/>
      <c r="PUB160" s="20"/>
      <c r="PUC160" s="20"/>
      <c r="PUD160" s="20"/>
      <c r="PUE160" s="20"/>
      <c r="PUF160" s="20"/>
      <c r="PUG160" s="20"/>
      <c r="PUH160" s="20"/>
      <c r="PUI160" s="20"/>
      <c r="PUJ160" s="20"/>
      <c r="PUK160" s="20"/>
      <c r="PUL160" s="20"/>
      <c r="PUM160" s="20"/>
      <c r="PUN160" s="20"/>
      <c r="PUO160" s="20"/>
      <c r="PUP160" s="20"/>
      <c r="PUQ160" s="20"/>
      <c r="PUR160" s="20"/>
      <c r="PUS160" s="20"/>
      <c r="PUT160" s="20"/>
      <c r="PUU160" s="20"/>
      <c r="PUV160" s="20"/>
      <c r="PUW160" s="20"/>
      <c r="PUX160" s="20"/>
      <c r="PUY160" s="20"/>
      <c r="PUZ160" s="20"/>
      <c r="PVA160" s="20"/>
      <c r="PVB160" s="20"/>
      <c r="PVC160" s="20"/>
      <c r="PVD160" s="20"/>
      <c r="PVE160" s="20"/>
      <c r="PVF160" s="20"/>
      <c r="PVG160" s="20"/>
      <c r="PVH160" s="20"/>
      <c r="PVI160" s="20"/>
      <c r="PVJ160" s="20"/>
      <c r="PVK160" s="20"/>
      <c r="PVL160" s="20"/>
      <c r="PVM160" s="20"/>
      <c r="PVN160" s="20"/>
      <c r="PVO160" s="20"/>
      <c r="PVP160" s="20"/>
      <c r="PVQ160" s="20"/>
      <c r="PVR160" s="20"/>
      <c r="PVS160" s="20"/>
      <c r="PVT160" s="20"/>
      <c r="PVU160" s="20"/>
      <c r="PVV160" s="20"/>
      <c r="PVW160" s="20"/>
      <c r="PVX160" s="20"/>
      <c r="PVY160" s="20"/>
      <c r="PVZ160" s="20"/>
      <c r="PWA160" s="20"/>
      <c r="PWB160" s="20"/>
      <c r="PWC160" s="20"/>
      <c r="PWD160" s="20"/>
      <c r="PWE160" s="20"/>
      <c r="PWF160" s="20"/>
      <c r="PWG160" s="20"/>
      <c r="PWH160" s="20"/>
      <c r="PWI160" s="20"/>
      <c r="PWJ160" s="20"/>
      <c r="PWK160" s="20"/>
      <c r="PWL160" s="20"/>
      <c r="PWM160" s="20"/>
      <c r="PWN160" s="20"/>
      <c r="PWO160" s="20"/>
      <c r="PWP160" s="20"/>
      <c r="PWQ160" s="20"/>
      <c r="PWR160" s="20"/>
      <c r="PWS160" s="20"/>
      <c r="PWT160" s="20"/>
      <c r="PWU160" s="20"/>
      <c r="PWV160" s="20"/>
      <c r="PWW160" s="20"/>
      <c r="PWX160" s="20"/>
      <c r="PWY160" s="20"/>
      <c r="PWZ160" s="20"/>
      <c r="PXA160" s="20"/>
      <c r="PXB160" s="20"/>
      <c r="PXC160" s="20"/>
      <c r="PXD160" s="20"/>
      <c r="PXE160" s="20"/>
      <c r="PXF160" s="20"/>
      <c r="PXG160" s="20"/>
      <c r="PXH160" s="20"/>
      <c r="PXI160" s="20"/>
      <c r="PXJ160" s="20"/>
      <c r="PXK160" s="20"/>
      <c r="PXL160" s="20"/>
      <c r="PXM160" s="20"/>
      <c r="PXN160" s="20"/>
      <c r="PXO160" s="20"/>
      <c r="PXP160" s="20"/>
      <c r="PXQ160" s="20"/>
      <c r="PXR160" s="20"/>
      <c r="PXS160" s="20"/>
      <c r="PXT160" s="20"/>
      <c r="PXU160" s="20"/>
      <c r="PXV160" s="20"/>
      <c r="PXW160" s="20"/>
      <c r="PXX160" s="20"/>
      <c r="PXY160" s="20"/>
      <c r="PXZ160" s="20"/>
      <c r="PYA160" s="20"/>
      <c r="PYB160" s="20"/>
      <c r="PYC160" s="20"/>
      <c r="PYD160" s="20"/>
      <c r="PYE160" s="20"/>
      <c r="PYF160" s="20"/>
      <c r="PYG160" s="20"/>
      <c r="PYH160" s="20"/>
      <c r="PYI160" s="20"/>
      <c r="PYJ160" s="20"/>
      <c r="PYK160" s="20"/>
      <c r="PYL160" s="20"/>
      <c r="PYM160" s="20"/>
      <c r="PYN160" s="20"/>
      <c r="PYO160" s="20"/>
      <c r="PYP160" s="20"/>
      <c r="PYQ160" s="20"/>
      <c r="PYR160" s="20"/>
      <c r="PYS160" s="20"/>
      <c r="PYT160" s="20"/>
      <c r="PYU160" s="20"/>
      <c r="PYV160" s="20"/>
      <c r="PYW160" s="20"/>
      <c r="PYX160" s="20"/>
      <c r="PYY160" s="20"/>
      <c r="PYZ160" s="20"/>
      <c r="PZA160" s="20"/>
      <c r="PZB160" s="20"/>
      <c r="PZC160" s="20"/>
      <c r="PZD160" s="20"/>
      <c r="PZE160" s="20"/>
      <c r="PZF160" s="20"/>
      <c r="PZG160" s="20"/>
      <c r="PZH160" s="20"/>
      <c r="PZI160" s="20"/>
      <c r="PZJ160" s="20"/>
      <c r="PZK160" s="20"/>
      <c r="PZL160" s="20"/>
      <c r="PZM160" s="20"/>
      <c r="PZN160" s="20"/>
      <c r="PZO160" s="20"/>
      <c r="PZP160" s="20"/>
      <c r="PZQ160" s="20"/>
      <c r="PZR160" s="20"/>
      <c r="PZS160" s="20"/>
      <c r="PZT160" s="20"/>
      <c r="PZU160" s="20"/>
      <c r="PZV160" s="20"/>
      <c r="PZW160" s="20"/>
      <c r="PZX160" s="20"/>
      <c r="PZY160" s="20"/>
      <c r="PZZ160" s="20"/>
      <c r="QAA160" s="20"/>
      <c r="QAB160" s="20"/>
      <c r="QAC160" s="20"/>
      <c r="QAD160" s="20"/>
      <c r="QAE160" s="20"/>
      <c r="QAF160" s="20"/>
      <c r="QAG160" s="20"/>
      <c r="QAH160" s="20"/>
      <c r="QAI160" s="20"/>
      <c r="QAJ160" s="20"/>
      <c r="QAK160" s="20"/>
      <c r="QAL160" s="20"/>
      <c r="QAM160" s="20"/>
      <c r="QAN160" s="20"/>
      <c r="QAO160" s="20"/>
      <c r="QAP160" s="20"/>
      <c r="QAQ160" s="20"/>
      <c r="QAR160" s="20"/>
      <c r="QAS160" s="20"/>
      <c r="QAT160" s="20"/>
      <c r="QAU160" s="20"/>
      <c r="QAV160" s="20"/>
      <c r="QAW160" s="20"/>
      <c r="QAX160" s="20"/>
      <c r="QAY160" s="20"/>
      <c r="QAZ160" s="20"/>
      <c r="QBA160" s="20"/>
      <c r="QBB160" s="20"/>
      <c r="QBC160" s="20"/>
      <c r="QBD160" s="20"/>
      <c r="QBE160" s="20"/>
      <c r="QBF160" s="20"/>
      <c r="QBG160" s="20"/>
      <c r="QBH160" s="20"/>
      <c r="QBI160" s="20"/>
      <c r="QBJ160" s="20"/>
      <c r="QBK160" s="20"/>
      <c r="QBL160" s="20"/>
      <c r="QBM160" s="20"/>
      <c r="QBN160" s="20"/>
      <c r="QBO160" s="20"/>
      <c r="QBP160" s="20"/>
      <c r="QBQ160" s="20"/>
      <c r="QBR160" s="20"/>
      <c r="QBS160" s="20"/>
      <c r="QBT160" s="20"/>
      <c r="QBU160" s="20"/>
      <c r="QBV160" s="20"/>
      <c r="QBW160" s="20"/>
      <c r="QBX160" s="20"/>
      <c r="QBY160" s="20"/>
      <c r="QBZ160" s="20"/>
      <c r="QCA160" s="20"/>
      <c r="QCB160" s="20"/>
      <c r="QCC160" s="20"/>
      <c r="QCD160" s="20"/>
      <c r="QCE160" s="20"/>
      <c r="QCF160" s="20"/>
      <c r="QCG160" s="20"/>
      <c r="QCH160" s="20"/>
      <c r="QCI160" s="20"/>
      <c r="QCJ160" s="20"/>
      <c r="QCK160" s="20"/>
      <c r="QCL160" s="20"/>
      <c r="QCM160" s="20"/>
      <c r="QCN160" s="20"/>
      <c r="QCO160" s="20"/>
      <c r="QCP160" s="20"/>
      <c r="QCQ160" s="20"/>
      <c r="QCR160" s="20"/>
      <c r="QCS160" s="20"/>
      <c r="QCT160" s="20"/>
      <c r="QCU160" s="20"/>
      <c r="QCV160" s="20"/>
      <c r="QCW160" s="20"/>
      <c r="QCX160" s="20"/>
      <c r="QCY160" s="20"/>
      <c r="QCZ160" s="20"/>
      <c r="QDA160" s="20"/>
      <c r="QDB160" s="20"/>
      <c r="QDC160" s="20"/>
      <c r="QDD160" s="20"/>
      <c r="QDE160" s="20"/>
      <c r="QDF160" s="20"/>
      <c r="QDG160" s="20"/>
      <c r="QDH160" s="20"/>
      <c r="QDI160" s="20"/>
      <c r="QDJ160" s="20"/>
      <c r="QDK160" s="20"/>
      <c r="QDL160" s="20"/>
      <c r="QDM160" s="20"/>
      <c r="QDN160" s="20"/>
      <c r="QDO160" s="20"/>
      <c r="QDP160" s="20"/>
      <c r="QDQ160" s="20"/>
      <c r="QDR160" s="20"/>
      <c r="QDS160" s="20"/>
      <c r="QDT160" s="20"/>
      <c r="QDU160" s="20"/>
      <c r="QDV160" s="20"/>
      <c r="QDW160" s="20"/>
      <c r="QDX160" s="20"/>
      <c r="QDY160" s="20"/>
      <c r="QDZ160" s="20"/>
      <c r="QEA160" s="20"/>
      <c r="QEB160" s="20"/>
      <c r="QEC160" s="20"/>
      <c r="QED160" s="20"/>
      <c r="QEE160" s="20"/>
      <c r="QEF160" s="20"/>
      <c r="QEG160" s="20"/>
      <c r="QEH160" s="20"/>
      <c r="QEI160" s="20"/>
      <c r="QEJ160" s="20"/>
      <c r="QEK160" s="20"/>
      <c r="QEL160" s="20"/>
      <c r="QEM160" s="20"/>
      <c r="QEN160" s="20"/>
      <c r="QEO160" s="20"/>
      <c r="QEP160" s="20"/>
      <c r="QEQ160" s="20"/>
      <c r="QER160" s="20"/>
      <c r="QES160" s="20"/>
      <c r="QET160" s="20"/>
      <c r="QEU160" s="20"/>
      <c r="QEV160" s="20"/>
      <c r="QEW160" s="20"/>
      <c r="QEX160" s="20"/>
      <c r="QEY160" s="20"/>
      <c r="QEZ160" s="20"/>
      <c r="QFA160" s="20"/>
      <c r="QFB160" s="20"/>
      <c r="QFC160" s="20"/>
      <c r="QFD160" s="20"/>
      <c r="QFE160" s="20"/>
      <c r="QFF160" s="20"/>
      <c r="QFG160" s="20"/>
      <c r="QFH160" s="20"/>
      <c r="QFI160" s="20"/>
      <c r="QFJ160" s="20"/>
      <c r="QFK160" s="20"/>
      <c r="QFL160" s="20"/>
      <c r="QFM160" s="20"/>
      <c r="QFN160" s="20"/>
      <c r="QFO160" s="20"/>
      <c r="QFP160" s="20"/>
      <c r="QFQ160" s="20"/>
      <c r="QFR160" s="20"/>
      <c r="QFS160" s="20"/>
      <c r="QFT160" s="20"/>
      <c r="QFU160" s="20"/>
      <c r="QFV160" s="20"/>
      <c r="QFW160" s="20"/>
      <c r="QFX160" s="20"/>
      <c r="QFY160" s="20"/>
      <c r="QFZ160" s="20"/>
      <c r="QGA160" s="20"/>
      <c r="QGB160" s="20"/>
      <c r="QGC160" s="20"/>
      <c r="QGD160" s="20"/>
      <c r="QGE160" s="20"/>
      <c r="QGF160" s="20"/>
      <c r="QGG160" s="20"/>
      <c r="QGH160" s="20"/>
      <c r="QGI160" s="20"/>
      <c r="QGJ160" s="20"/>
      <c r="QGK160" s="20"/>
      <c r="QGL160" s="20"/>
      <c r="QGM160" s="20"/>
      <c r="QGN160" s="20"/>
      <c r="QGO160" s="20"/>
      <c r="QGP160" s="20"/>
      <c r="QGQ160" s="20"/>
      <c r="QGR160" s="20"/>
      <c r="QGS160" s="20"/>
      <c r="QGT160" s="20"/>
      <c r="QGU160" s="20"/>
      <c r="QGV160" s="20"/>
      <c r="QGW160" s="20"/>
      <c r="QGX160" s="20"/>
      <c r="QGY160" s="20"/>
      <c r="QGZ160" s="20"/>
      <c r="QHA160" s="20"/>
      <c r="QHB160" s="20"/>
      <c r="QHC160" s="20"/>
      <c r="QHD160" s="20"/>
      <c r="QHE160" s="20"/>
      <c r="QHF160" s="20"/>
      <c r="QHG160" s="20"/>
      <c r="QHH160" s="20"/>
      <c r="QHI160" s="20"/>
      <c r="QHJ160" s="20"/>
      <c r="QHK160" s="20"/>
      <c r="QHL160" s="20"/>
      <c r="QHM160" s="20"/>
      <c r="QHN160" s="20"/>
      <c r="QHO160" s="20"/>
      <c r="QHP160" s="20"/>
      <c r="QHQ160" s="20"/>
      <c r="QHR160" s="20"/>
      <c r="QHS160" s="20"/>
      <c r="QHT160" s="20"/>
      <c r="QHU160" s="20"/>
      <c r="QHV160" s="20"/>
      <c r="QHW160" s="20"/>
      <c r="QHX160" s="20"/>
      <c r="QHY160" s="20"/>
      <c r="QHZ160" s="20"/>
      <c r="QIA160" s="20"/>
      <c r="QIB160" s="20"/>
      <c r="QIC160" s="20"/>
      <c r="QID160" s="20"/>
      <c r="QIE160" s="20"/>
      <c r="QIF160" s="20"/>
      <c r="QIG160" s="20"/>
      <c r="QIH160" s="20"/>
      <c r="QII160" s="20"/>
      <c r="QIJ160" s="20"/>
      <c r="QIK160" s="20"/>
      <c r="QIL160" s="20"/>
      <c r="QIM160" s="20"/>
      <c r="QIN160" s="20"/>
      <c r="QIO160" s="20"/>
      <c r="QIP160" s="20"/>
      <c r="QIQ160" s="20"/>
      <c r="QIR160" s="20"/>
      <c r="QIS160" s="20"/>
      <c r="QIT160" s="20"/>
      <c r="QIU160" s="20"/>
      <c r="QIV160" s="20"/>
      <c r="QIW160" s="20"/>
      <c r="QIX160" s="20"/>
      <c r="QIY160" s="20"/>
      <c r="QIZ160" s="20"/>
      <c r="QJA160" s="20"/>
      <c r="QJB160" s="20"/>
      <c r="QJC160" s="20"/>
      <c r="QJD160" s="20"/>
      <c r="QJE160" s="20"/>
      <c r="QJF160" s="20"/>
      <c r="QJG160" s="20"/>
      <c r="QJH160" s="20"/>
      <c r="QJI160" s="20"/>
      <c r="QJJ160" s="20"/>
      <c r="QJK160" s="20"/>
      <c r="QJL160" s="20"/>
      <c r="QJM160" s="20"/>
      <c r="QJN160" s="20"/>
      <c r="QJO160" s="20"/>
      <c r="QJP160" s="20"/>
      <c r="QJQ160" s="20"/>
      <c r="QJR160" s="20"/>
      <c r="QJS160" s="20"/>
      <c r="QJT160" s="20"/>
      <c r="QJU160" s="20"/>
      <c r="QJV160" s="20"/>
      <c r="QJW160" s="20"/>
      <c r="QJX160" s="20"/>
      <c r="QJY160" s="20"/>
      <c r="QJZ160" s="20"/>
      <c r="QKA160" s="20"/>
      <c r="QKB160" s="20"/>
      <c r="QKC160" s="20"/>
      <c r="QKD160" s="20"/>
      <c r="QKE160" s="20"/>
      <c r="QKF160" s="20"/>
      <c r="QKG160" s="20"/>
      <c r="QKH160" s="20"/>
      <c r="QKI160" s="20"/>
      <c r="QKJ160" s="20"/>
      <c r="QKK160" s="20"/>
      <c r="QKL160" s="20"/>
      <c r="QKM160" s="20"/>
      <c r="QKN160" s="20"/>
      <c r="QKO160" s="20"/>
      <c r="QKP160" s="20"/>
      <c r="QKQ160" s="20"/>
      <c r="QKR160" s="20"/>
      <c r="QKS160" s="20"/>
      <c r="QKT160" s="20"/>
      <c r="QKU160" s="20"/>
      <c r="QKV160" s="20"/>
      <c r="QKW160" s="20"/>
      <c r="QKX160" s="20"/>
      <c r="QKY160" s="20"/>
      <c r="QKZ160" s="20"/>
      <c r="QLA160" s="20"/>
      <c r="QLB160" s="20"/>
      <c r="QLC160" s="20"/>
      <c r="QLD160" s="20"/>
      <c r="QLE160" s="20"/>
      <c r="QLF160" s="20"/>
      <c r="QLG160" s="20"/>
      <c r="QLH160" s="20"/>
      <c r="QLI160" s="20"/>
      <c r="QLJ160" s="20"/>
      <c r="QLK160" s="20"/>
      <c r="QLL160" s="20"/>
      <c r="QLM160" s="20"/>
      <c r="QLN160" s="20"/>
      <c r="QLO160" s="20"/>
      <c r="QLP160" s="20"/>
      <c r="QLQ160" s="20"/>
      <c r="QLR160" s="20"/>
      <c r="QLS160" s="20"/>
      <c r="QLT160" s="20"/>
      <c r="QLU160" s="20"/>
      <c r="QLV160" s="20"/>
      <c r="QLW160" s="20"/>
      <c r="QLX160" s="20"/>
      <c r="QLY160" s="20"/>
      <c r="QLZ160" s="20"/>
      <c r="QMA160" s="20"/>
      <c r="QMB160" s="20"/>
      <c r="QMC160" s="20"/>
      <c r="QMD160" s="20"/>
      <c r="QME160" s="20"/>
      <c r="QMF160" s="20"/>
      <c r="QMG160" s="20"/>
      <c r="QMH160" s="20"/>
      <c r="QMI160" s="20"/>
      <c r="QMJ160" s="20"/>
      <c r="QMK160" s="20"/>
      <c r="QML160" s="20"/>
      <c r="QMM160" s="20"/>
      <c r="QMN160" s="20"/>
      <c r="QMO160" s="20"/>
      <c r="QMP160" s="20"/>
      <c r="QMQ160" s="20"/>
      <c r="QMR160" s="20"/>
      <c r="QMS160" s="20"/>
      <c r="QMT160" s="20"/>
      <c r="QMU160" s="20"/>
      <c r="QMV160" s="20"/>
      <c r="QMW160" s="20"/>
      <c r="QMX160" s="20"/>
      <c r="QMY160" s="20"/>
      <c r="QMZ160" s="20"/>
      <c r="QNA160" s="20"/>
      <c r="QNB160" s="20"/>
      <c r="QNC160" s="20"/>
      <c r="QND160" s="20"/>
      <c r="QNE160" s="20"/>
      <c r="QNF160" s="20"/>
      <c r="QNG160" s="20"/>
      <c r="QNH160" s="20"/>
      <c r="QNI160" s="20"/>
      <c r="QNJ160" s="20"/>
      <c r="QNK160" s="20"/>
      <c r="QNL160" s="20"/>
      <c r="QNM160" s="20"/>
      <c r="QNN160" s="20"/>
      <c r="QNO160" s="20"/>
      <c r="QNP160" s="20"/>
      <c r="QNQ160" s="20"/>
      <c r="QNR160" s="20"/>
      <c r="QNS160" s="20"/>
      <c r="QNT160" s="20"/>
      <c r="QNU160" s="20"/>
      <c r="QNV160" s="20"/>
      <c r="QNW160" s="20"/>
      <c r="QNX160" s="20"/>
      <c r="QNY160" s="20"/>
      <c r="QNZ160" s="20"/>
      <c r="QOA160" s="20"/>
      <c r="QOB160" s="20"/>
      <c r="QOC160" s="20"/>
      <c r="QOD160" s="20"/>
      <c r="QOE160" s="20"/>
      <c r="QOF160" s="20"/>
      <c r="QOG160" s="20"/>
      <c r="QOH160" s="20"/>
      <c r="QOI160" s="20"/>
      <c r="QOJ160" s="20"/>
      <c r="QOK160" s="20"/>
      <c r="QOL160" s="20"/>
      <c r="QOM160" s="20"/>
      <c r="QON160" s="20"/>
      <c r="QOO160" s="20"/>
      <c r="QOP160" s="20"/>
      <c r="QOQ160" s="20"/>
      <c r="QOR160" s="20"/>
      <c r="QOS160" s="20"/>
      <c r="QOT160" s="20"/>
      <c r="QOU160" s="20"/>
      <c r="QOV160" s="20"/>
      <c r="QOW160" s="20"/>
      <c r="QOX160" s="20"/>
      <c r="QOY160" s="20"/>
      <c r="QOZ160" s="20"/>
      <c r="QPA160" s="20"/>
      <c r="QPB160" s="20"/>
      <c r="QPC160" s="20"/>
      <c r="QPD160" s="20"/>
      <c r="QPE160" s="20"/>
      <c r="QPF160" s="20"/>
      <c r="QPG160" s="20"/>
      <c r="QPH160" s="20"/>
      <c r="QPI160" s="20"/>
      <c r="QPJ160" s="20"/>
      <c r="QPK160" s="20"/>
      <c r="QPL160" s="20"/>
      <c r="QPM160" s="20"/>
      <c r="QPN160" s="20"/>
      <c r="QPO160" s="20"/>
      <c r="QPP160" s="20"/>
      <c r="QPQ160" s="20"/>
      <c r="QPR160" s="20"/>
      <c r="QPS160" s="20"/>
      <c r="QPT160" s="20"/>
      <c r="QPU160" s="20"/>
      <c r="QPV160" s="20"/>
      <c r="QPW160" s="20"/>
      <c r="QPX160" s="20"/>
      <c r="QPY160" s="20"/>
      <c r="QPZ160" s="20"/>
      <c r="QQA160" s="20"/>
      <c r="QQB160" s="20"/>
      <c r="QQC160" s="20"/>
      <c r="QQD160" s="20"/>
      <c r="QQE160" s="20"/>
      <c r="QQF160" s="20"/>
      <c r="QQG160" s="20"/>
      <c r="QQH160" s="20"/>
      <c r="QQI160" s="20"/>
      <c r="QQJ160" s="20"/>
      <c r="QQK160" s="20"/>
      <c r="QQL160" s="20"/>
      <c r="QQM160" s="20"/>
      <c r="QQN160" s="20"/>
      <c r="QQO160" s="20"/>
      <c r="QQP160" s="20"/>
      <c r="QQQ160" s="20"/>
      <c r="QQR160" s="20"/>
      <c r="QQS160" s="20"/>
      <c r="QQT160" s="20"/>
      <c r="QQU160" s="20"/>
      <c r="QQV160" s="20"/>
      <c r="QQW160" s="20"/>
      <c r="QQX160" s="20"/>
      <c r="QQY160" s="20"/>
      <c r="QQZ160" s="20"/>
      <c r="QRA160" s="20"/>
      <c r="QRB160" s="20"/>
      <c r="QRC160" s="20"/>
      <c r="QRD160" s="20"/>
      <c r="QRE160" s="20"/>
      <c r="QRF160" s="20"/>
      <c r="QRG160" s="20"/>
      <c r="QRH160" s="20"/>
      <c r="QRI160" s="20"/>
      <c r="QRJ160" s="20"/>
      <c r="QRK160" s="20"/>
      <c r="QRL160" s="20"/>
      <c r="QRM160" s="20"/>
      <c r="QRN160" s="20"/>
      <c r="QRO160" s="20"/>
      <c r="QRP160" s="20"/>
      <c r="QRQ160" s="20"/>
      <c r="QRR160" s="20"/>
      <c r="QRS160" s="20"/>
      <c r="QRT160" s="20"/>
      <c r="QRU160" s="20"/>
      <c r="QRV160" s="20"/>
      <c r="QRW160" s="20"/>
      <c r="QRX160" s="20"/>
      <c r="QRY160" s="20"/>
      <c r="QRZ160" s="20"/>
      <c r="QSA160" s="20"/>
      <c r="QSB160" s="20"/>
      <c r="QSC160" s="20"/>
      <c r="QSD160" s="20"/>
      <c r="QSE160" s="20"/>
      <c r="QSF160" s="20"/>
      <c r="QSG160" s="20"/>
      <c r="QSH160" s="20"/>
      <c r="QSI160" s="20"/>
      <c r="QSJ160" s="20"/>
      <c r="QSK160" s="20"/>
      <c r="QSL160" s="20"/>
      <c r="QSM160" s="20"/>
      <c r="QSN160" s="20"/>
      <c r="QSO160" s="20"/>
      <c r="QSP160" s="20"/>
      <c r="QSQ160" s="20"/>
      <c r="QSR160" s="20"/>
      <c r="QSS160" s="20"/>
      <c r="QST160" s="20"/>
      <c r="QSU160" s="20"/>
      <c r="QSV160" s="20"/>
      <c r="QSW160" s="20"/>
      <c r="QSX160" s="20"/>
      <c r="QSY160" s="20"/>
      <c r="QSZ160" s="20"/>
      <c r="QTA160" s="20"/>
      <c r="QTB160" s="20"/>
      <c r="QTC160" s="20"/>
      <c r="QTD160" s="20"/>
      <c r="QTE160" s="20"/>
      <c r="QTF160" s="20"/>
      <c r="QTG160" s="20"/>
      <c r="QTH160" s="20"/>
      <c r="QTI160" s="20"/>
      <c r="QTJ160" s="20"/>
      <c r="QTK160" s="20"/>
      <c r="QTL160" s="20"/>
      <c r="QTM160" s="20"/>
      <c r="QTN160" s="20"/>
      <c r="QTO160" s="20"/>
      <c r="QTP160" s="20"/>
      <c r="QTQ160" s="20"/>
      <c r="QTR160" s="20"/>
      <c r="QTS160" s="20"/>
      <c r="QTT160" s="20"/>
      <c r="QTU160" s="20"/>
      <c r="QTV160" s="20"/>
      <c r="QTW160" s="20"/>
      <c r="QTX160" s="20"/>
      <c r="QTY160" s="20"/>
      <c r="QTZ160" s="20"/>
      <c r="QUA160" s="20"/>
      <c r="QUB160" s="20"/>
      <c r="QUC160" s="20"/>
      <c r="QUD160" s="20"/>
      <c r="QUE160" s="20"/>
      <c r="QUF160" s="20"/>
      <c r="QUG160" s="20"/>
      <c r="QUH160" s="20"/>
      <c r="QUI160" s="20"/>
      <c r="QUJ160" s="20"/>
      <c r="QUK160" s="20"/>
      <c r="QUL160" s="20"/>
      <c r="QUM160" s="20"/>
      <c r="QUN160" s="20"/>
      <c r="QUO160" s="20"/>
      <c r="QUP160" s="20"/>
      <c r="QUQ160" s="20"/>
      <c r="QUR160" s="20"/>
      <c r="QUS160" s="20"/>
      <c r="QUT160" s="20"/>
      <c r="QUU160" s="20"/>
      <c r="QUV160" s="20"/>
      <c r="QUW160" s="20"/>
      <c r="QUX160" s="20"/>
      <c r="QUY160" s="20"/>
      <c r="QUZ160" s="20"/>
      <c r="QVA160" s="20"/>
      <c r="QVB160" s="20"/>
      <c r="QVC160" s="20"/>
      <c r="QVD160" s="20"/>
      <c r="QVE160" s="20"/>
      <c r="QVF160" s="20"/>
      <c r="QVG160" s="20"/>
      <c r="QVH160" s="20"/>
      <c r="QVI160" s="20"/>
      <c r="QVJ160" s="20"/>
      <c r="QVK160" s="20"/>
      <c r="QVL160" s="20"/>
      <c r="QVM160" s="20"/>
      <c r="QVN160" s="20"/>
      <c r="QVO160" s="20"/>
      <c r="QVP160" s="20"/>
      <c r="QVQ160" s="20"/>
      <c r="QVR160" s="20"/>
      <c r="QVS160" s="20"/>
      <c r="QVT160" s="20"/>
      <c r="QVU160" s="20"/>
      <c r="QVV160" s="20"/>
      <c r="QVW160" s="20"/>
      <c r="QVX160" s="20"/>
      <c r="QVY160" s="20"/>
      <c r="QVZ160" s="20"/>
      <c r="QWA160" s="20"/>
      <c r="QWB160" s="20"/>
      <c r="QWC160" s="20"/>
      <c r="QWD160" s="20"/>
      <c r="QWE160" s="20"/>
      <c r="QWF160" s="20"/>
      <c r="QWG160" s="20"/>
      <c r="QWH160" s="20"/>
      <c r="QWI160" s="20"/>
      <c r="QWJ160" s="20"/>
      <c r="QWK160" s="20"/>
      <c r="QWL160" s="20"/>
      <c r="QWM160" s="20"/>
      <c r="QWN160" s="20"/>
      <c r="QWO160" s="20"/>
      <c r="QWP160" s="20"/>
      <c r="QWQ160" s="20"/>
      <c r="QWR160" s="20"/>
      <c r="QWS160" s="20"/>
      <c r="QWT160" s="20"/>
      <c r="QWU160" s="20"/>
      <c r="QWV160" s="20"/>
      <c r="QWW160" s="20"/>
      <c r="QWX160" s="20"/>
      <c r="QWY160" s="20"/>
      <c r="QWZ160" s="20"/>
      <c r="QXA160" s="20"/>
      <c r="QXB160" s="20"/>
      <c r="QXC160" s="20"/>
      <c r="QXD160" s="20"/>
      <c r="QXE160" s="20"/>
      <c r="QXF160" s="20"/>
      <c r="QXG160" s="20"/>
      <c r="QXH160" s="20"/>
      <c r="QXI160" s="20"/>
      <c r="QXJ160" s="20"/>
      <c r="QXK160" s="20"/>
      <c r="QXL160" s="20"/>
      <c r="QXM160" s="20"/>
      <c r="QXN160" s="20"/>
      <c r="QXO160" s="20"/>
      <c r="QXP160" s="20"/>
      <c r="QXQ160" s="20"/>
      <c r="QXR160" s="20"/>
      <c r="QXS160" s="20"/>
      <c r="QXT160" s="20"/>
      <c r="QXU160" s="20"/>
      <c r="QXV160" s="20"/>
      <c r="QXW160" s="20"/>
      <c r="QXX160" s="20"/>
      <c r="QXY160" s="20"/>
      <c r="QXZ160" s="20"/>
      <c r="QYA160" s="20"/>
      <c r="QYB160" s="20"/>
      <c r="QYC160" s="20"/>
      <c r="QYD160" s="20"/>
      <c r="QYE160" s="20"/>
      <c r="QYF160" s="20"/>
      <c r="QYG160" s="20"/>
      <c r="QYH160" s="20"/>
      <c r="QYI160" s="20"/>
      <c r="QYJ160" s="20"/>
      <c r="QYK160" s="20"/>
      <c r="QYL160" s="20"/>
      <c r="QYM160" s="20"/>
      <c r="QYN160" s="20"/>
      <c r="QYO160" s="20"/>
      <c r="QYP160" s="20"/>
      <c r="QYQ160" s="20"/>
      <c r="QYR160" s="20"/>
      <c r="QYS160" s="20"/>
      <c r="QYT160" s="20"/>
      <c r="QYU160" s="20"/>
      <c r="QYV160" s="20"/>
      <c r="QYW160" s="20"/>
      <c r="QYX160" s="20"/>
      <c r="QYY160" s="20"/>
      <c r="QYZ160" s="20"/>
      <c r="QZA160" s="20"/>
      <c r="QZB160" s="20"/>
      <c r="QZC160" s="20"/>
      <c r="QZD160" s="20"/>
      <c r="QZE160" s="20"/>
      <c r="QZF160" s="20"/>
      <c r="QZG160" s="20"/>
      <c r="QZH160" s="20"/>
      <c r="QZI160" s="20"/>
      <c r="QZJ160" s="20"/>
      <c r="QZK160" s="20"/>
      <c r="QZL160" s="20"/>
      <c r="QZM160" s="20"/>
      <c r="QZN160" s="20"/>
      <c r="QZO160" s="20"/>
      <c r="QZP160" s="20"/>
      <c r="QZQ160" s="20"/>
      <c r="QZR160" s="20"/>
      <c r="QZS160" s="20"/>
      <c r="QZT160" s="20"/>
      <c r="QZU160" s="20"/>
      <c r="QZV160" s="20"/>
      <c r="QZW160" s="20"/>
      <c r="QZX160" s="20"/>
      <c r="QZY160" s="20"/>
      <c r="QZZ160" s="20"/>
      <c r="RAA160" s="20"/>
      <c r="RAB160" s="20"/>
      <c r="RAC160" s="20"/>
      <c r="RAD160" s="20"/>
      <c r="RAE160" s="20"/>
      <c r="RAF160" s="20"/>
      <c r="RAG160" s="20"/>
      <c r="RAH160" s="20"/>
      <c r="RAI160" s="20"/>
      <c r="RAJ160" s="20"/>
      <c r="RAK160" s="20"/>
      <c r="RAL160" s="20"/>
      <c r="RAM160" s="20"/>
      <c r="RAN160" s="20"/>
      <c r="RAO160" s="20"/>
      <c r="RAP160" s="20"/>
      <c r="RAQ160" s="20"/>
      <c r="RAR160" s="20"/>
      <c r="RAS160" s="20"/>
      <c r="RAT160" s="20"/>
      <c r="RAU160" s="20"/>
      <c r="RAV160" s="20"/>
      <c r="RAW160" s="20"/>
      <c r="RAX160" s="20"/>
      <c r="RAY160" s="20"/>
      <c r="RAZ160" s="20"/>
      <c r="RBA160" s="20"/>
      <c r="RBB160" s="20"/>
      <c r="RBC160" s="20"/>
      <c r="RBD160" s="20"/>
      <c r="RBE160" s="20"/>
      <c r="RBF160" s="20"/>
      <c r="RBG160" s="20"/>
      <c r="RBH160" s="20"/>
      <c r="RBI160" s="20"/>
      <c r="RBJ160" s="20"/>
      <c r="RBK160" s="20"/>
      <c r="RBL160" s="20"/>
      <c r="RBM160" s="20"/>
      <c r="RBN160" s="20"/>
      <c r="RBO160" s="20"/>
      <c r="RBP160" s="20"/>
      <c r="RBQ160" s="20"/>
      <c r="RBR160" s="20"/>
      <c r="RBS160" s="20"/>
      <c r="RBT160" s="20"/>
      <c r="RBU160" s="20"/>
      <c r="RBV160" s="20"/>
      <c r="RBW160" s="20"/>
      <c r="RBX160" s="20"/>
      <c r="RBY160" s="20"/>
      <c r="RBZ160" s="20"/>
      <c r="RCA160" s="20"/>
      <c r="RCB160" s="20"/>
      <c r="RCC160" s="20"/>
      <c r="RCD160" s="20"/>
      <c r="RCE160" s="20"/>
      <c r="RCF160" s="20"/>
      <c r="RCG160" s="20"/>
      <c r="RCH160" s="20"/>
      <c r="RCI160" s="20"/>
      <c r="RCJ160" s="20"/>
      <c r="RCK160" s="20"/>
      <c r="RCL160" s="20"/>
      <c r="RCM160" s="20"/>
      <c r="RCN160" s="20"/>
      <c r="RCO160" s="20"/>
      <c r="RCP160" s="20"/>
      <c r="RCQ160" s="20"/>
      <c r="RCR160" s="20"/>
      <c r="RCS160" s="20"/>
      <c r="RCT160" s="20"/>
      <c r="RCU160" s="20"/>
      <c r="RCV160" s="20"/>
      <c r="RCW160" s="20"/>
      <c r="RCX160" s="20"/>
      <c r="RCY160" s="20"/>
      <c r="RCZ160" s="20"/>
      <c r="RDA160" s="20"/>
      <c r="RDB160" s="20"/>
      <c r="RDC160" s="20"/>
      <c r="RDD160" s="20"/>
      <c r="RDE160" s="20"/>
      <c r="RDF160" s="20"/>
      <c r="RDG160" s="20"/>
      <c r="RDH160" s="20"/>
      <c r="RDI160" s="20"/>
      <c r="RDJ160" s="20"/>
      <c r="RDK160" s="20"/>
      <c r="RDL160" s="20"/>
      <c r="RDM160" s="20"/>
      <c r="RDN160" s="20"/>
      <c r="RDO160" s="20"/>
      <c r="RDP160" s="20"/>
      <c r="RDQ160" s="20"/>
      <c r="RDR160" s="20"/>
      <c r="RDS160" s="20"/>
      <c r="RDT160" s="20"/>
      <c r="RDU160" s="20"/>
      <c r="RDV160" s="20"/>
      <c r="RDW160" s="20"/>
      <c r="RDX160" s="20"/>
      <c r="RDY160" s="20"/>
      <c r="RDZ160" s="20"/>
      <c r="REA160" s="20"/>
      <c r="REB160" s="20"/>
      <c r="REC160" s="20"/>
      <c r="RED160" s="20"/>
      <c r="REE160" s="20"/>
      <c r="REF160" s="20"/>
      <c r="REG160" s="20"/>
      <c r="REH160" s="20"/>
      <c r="REI160" s="20"/>
      <c r="REJ160" s="20"/>
      <c r="REK160" s="20"/>
      <c r="REL160" s="20"/>
      <c r="REM160" s="20"/>
      <c r="REN160" s="20"/>
      <c r="REO160" s="20"/>
      <c r="REP160" s="20"/>
      <c r="REQ160" s="20"/>
      <c r="RER160" s="20"/>
      <c r="RES160" s="20"/>
      <c r="RET160" s="20"/>
      <c r="REU160" s="20"/>
      <c r="REV160" s="20"/>
      <c r="REW160" s="20"/>
      <c r="REX160" s="20"/>
      <c r="REY160" s="20"/>
      <c r="REZ160" s="20"/>
      <c r="RFA160" s="20"/>
      <c r="RFB160" s="20"/>
      <c r="RFC160" s="20"/>
      <c r="RFD160" s="20"/>
      <c r="RFE160" s="20"/>
      <c r="RFF160" s="20"/>
      <c r="RFG160" s="20"/>
      <c r="RFH160" s="20"/>
      <c r="RFI160" s="20"/>
      <c r="RFJ160" s="20"/>
      <c r="RFK160" s="20"/>
      <c r="RFL160" s="20"/>
      <c r="RFM160" s="20"/>
      <c r="RFN160" s="20"/>
      <c r="RFO160" s="20"/>
      <c r="RFP160" s="20"/>
      <c r="RFQ160" s="20"/>
      <c r="RFR160" s="20"/>
      <c r="RFS160" s="20"/>
      <c r="RFT160" s="20"/>
      <c r="RFU160" s="20"/>
      <c r="RFV160" s="20"/>
      <c r="RFW160" s="20"/>
      <c r="RFX160" s="20"/>
      <c r="RFY160" s="20"/>
      <c r="RFZ160" s="20"/>
      <c r="RGA160" s="20"/>
      <c r="RGB160" s="20"/>
      <c r="RGC160" s="20"/>
      <c r="RGD160" s="20"/>
      <c r="RGE160" s="20"/>
      <c r="RGF160" s="20"/>
      <c r="RGG160" s="20"/>
      <c r="RGH160" s="20"/>
      <c r="RGI160" s="20"/>
      <c r="RGJ160" s="20"/>
      <c r="RGK160" s="20"/>
      <c r="RGL160" s="20"/>
      <c r="RGM160" s="20"/>
      <c r="RGN160" s="20"/>
      <c r="RGO160" s="20"/>
      <c r="RGP160" s="20"/>
      <c r="RGQ160" s="20"/>
      <c r="RGR160" s="20"/>
      <c r="RGS160" s="20"/>
      <c r="RGT160" s="20"/>
      <c r="RGU160" s="20"/>
      <c r="RGV160" s="20"/>
      <c r="RGW160" s="20"/>
      <c r="RGX160" s="20"/>
      <c r="RGY160" s="20"/>
      <c r="RGZ160" s="20"/>
      <c r="RHA160" s="20"/>
      <c r="RHB160" s="20"/>
      <c r="RHC160" s="20"/>
      <c r="RHD160" s="20"/>
      <c r="RHE160" s="20"/>
      <c r="RHF160" s="20"/>
      <c r="RHG160" s="20"/>
      <c r="RHH160" s="20"/>
      <c r="RHI160" s="20"/>
      <c r="RHJ160" s="20"/>
      <c r="RHK160" s="20"/>
      <c r="RHL160" s="20"/>
      <c r="RHM160" s="20"/>
      <c r="RHN160" s="20"/>
      <c r="RHO160" s="20"/>
      <c r="RHP160" s="20"/>
      <c r="RHQ160" s="20"/>
      <c r="RHR160" s="20"/>
      <c r="RHS160" s="20"/>
      <c r="RHT160" s="20"/>
      <c r="RHU160" s="20"/>
      <c r="RHV160" s="20"/>
      <c r="RHW160" s="20"/>
      <c r="RHX160" s="20"/>
      <c r="RHY160" s="20"/>
      <c r="RHZ160" s="20"/>
      <c r="RIA160" s="20"/>
      <c r="RIB160" s="20"/>
      <c r="RIC160" s="20"/>
      <c r="RID160" s="20"/>
      <c r="RIE160" s="20"/>
      <c r="RIF160" s="20"/>
      <c r="RIG160" s="20"/>
      <c r="RIH160" s="20"/>
      <c r="RII160" s="20"/>
      <c r="RIJ160" s="20"/>
      <c r="RIK160" s="20"/>
      <c r="RIL160" s="20"/>
      <c r="RIM160" s="20"/>
      <c r="RIN160" s="20"/>
      <c r="RIO160" s="20"/>
      <c r="RIP160" s="20"/>
      <c r="RIQ160" s="20"/>
      <c r="RIR160" s="20"/>
      <c r="RIS160" s="20"/>
      <c r="RIT160" s="20"/>
      <c r="RIU160" s="20"/>
      <c r="RIV160" s="20"/>
      <c r="RIW160" s="20"/>
      <c r="RIX160" s="20"/>
      <c r="RIY160" s="20"/>
      <c r="RIZ160" s="20"/>
      <c r="RJA160" s="20"/>
      <c r="RJB160" s="20"/>
      <c r="RJC160" s="20"/>
      <c r="RJD160" s="20"/>
      <c r="RJE160" s="20"/>
      <c r="RJF160" s="20"/>
      <c r="RJG160" s="20"/>
      <c r="RJH160" s="20"/>
      <c r="RJI160" s="20"/>
      <c r="RJJ160" s="20"/>
      <c r="RJK160" s="20"/>
      <c r="RJL160" s="20"/>
      <c r="RJM160" s="20"/>
      <c r="RJN160" s="20"/>
      <c r="RJO160" s="20"/>
      <c r="RJP160" s="20"/>
      <c r="RJQ160" s="20"/>
      <c r="RJR160" s="20"/>
      <c r="RJS160" s="20"/>
      <c r="RJT160" s="20"/>
      <c r="RJU160" s="20"/>
      <c r="RJV160" s="20"/>
      <c r="RJW160" s="20"/>
      <c r="RJX160" s="20"/>
      <c r="RJY160" s="20"/>
      <c r="RJZ160" s="20"/>
      <c r="RKA160" s="20"/>
      <c r="RKB160" s="20"/>
      <c r="RKC160" s="20"/>
      <c r="RKD160" s="20"/>
      <c r="RKE160" s="20"/>
      <c r="RKF160" s="20"/>
      <c r="RKG160" s="20"/>
      <c r="RKH160" s="20"/>
      <c r="RKI160" s="20"/>
      <c r="RKJ160" s="20"/>
      <c r="RKK160" s="20"/>
      <c r="RKL160" s="20"/>
      <c r="RKM160" s="20"/>
      <c r="RKN160" s="20"/>
      <c r="RKO160" s="20"/>
      <c r="RKP160" s="20"/>
      <c r="RKQ160" s="20"/>
      <c r="RKR160" s="20"/>
      <c r="RKS160" s="20"/>
      <c r="RKT160" s="20"/>
      <c r="RKU160" s="20"/>
      <c r="RKV160" s="20"/>
      <c r="RKW160" s="20"/>
      <c r="RKX160" s="20"/>
      <c r="RKY160" s="20"/>
      <c r="RKZ160" s="20"/>
      <c r="RLA160" s="20"/>
      <c r="RLB160" s="20"/>
      <c r="RLC160" s="20"/>
      <c r="RLD160" s="20"/>
      <c r="RLE160" s="20"/>
      <c r="RLF160" s="20"/>
      <c r="RLG160" s="20"/>
      <c r="RLH160" s="20"/>
      <c r="RLI160" s="20"/>
      <c r="RLJ160" s="20"/>
      <c r="RLK160" s="20"/>
      <c r="RLL160" s="20"/>
      <c r="RLM160" s="20"/>
      <c r="RLN160" s="20"/>
      <c r="RLO160" s="20"/>
      <c r="RLP160" s="20"/>
      <c r="RLQ160" s="20"/>
      <c r="RLR160" s="20"/>
      <c r="RLS160" s="20"/>
      <c r="RLT160" s="20"/>
      <c r="RLU160" s="20"/>
      <c r="RLV160" s="20"/>
      <c r="RLW160" s="20"/>
      <c r="RLX160" s="20"/>
      <c r="RLY160" s="20"/>
      <c r="RLZ160" s="20"/>
      <c r="RMA160" s="20"/>
      <c r="RMB160" s="20"/>
      <c r="RMC160" s="20"/>
      <c r="RMD160" s="20"/>
      <c r="RME160" s="20"/>
      <c r="RMF160" s="20"/>
      <c r="RMG160" s="20"/>
      <c r="RMH160" s="20"/>
      <c r="RMI160" s="20"/>
      <c r="RMJ160" s="20"/>
      <c r="RMK160" s="20"/>
      <c r="RML160" s="20"/>
      <c r="RMM160" s="20"/>
      <c r="RMN160" s="20"/>
      <c r="RMO160" s="20"/>
      <c r="RMP160" s="20"/>
      <c r="RMQ160" s="20"/>
      <c r="RMR160" s="20"/>
      <c r="RMS160" s="20"/>
      <c r="RMT160" s="20"/>
      <c r="RMU160" s="20"/>
      <c r="RMV160" s="20"/>
      <c r="RMW160" s="20"/>
      <c r="RMX160" s="20"/>
      <c r="RMY160" s="20"/>
      <c r="RMZ160" s="20"/>
      <c r="RNA160" s="20"/>
      <c r="RNB160" s="20"/>
      <c r="RNC160" s="20"/>
      <c r="RND160" s="20"/>
      <c r="RNE160" s="20"/>
      <c r="RNF160" s="20"/>
      <c r="RNG160" s="20"/>
      <c r="RNH160" s="20"/>
      <c r="RNI160" s="20"/>
      <c r="RNJ160" s="20"/>
      <c r="RNK160" s="20"/>
      <c r="RNL160" s="20"/>
      <c r="RNM160" s="20"/>
      <c r="RNN160" s="20"/>
      <c r="RNO160" s="20"/>
      <c r="RNP160" s="20"/>
      <c r="RNQ160" s="20"/>
      <c r="RNR160" s="20"/>
      <c r="RNS160" s="20"/>
      <c r="RNT160" s="20"/>
      <c r="RNU160" s="20"/>
      <c r="RNV160" s="20"/>
      <c r="RNW160" s="20"/>
      <c r="RNX160" s="20"/>
      <c r="RNY160" s="20"/>
      <c r="RNZ160" s="20"/>
      <c r="ROA160" s="20"/>
      <c r="ROB160" s="20"/>
      <c r="ROC160" s="20"/>
      <c r="ROD160" s="20"/>
      <c r="ROE160" s="20"/>
      <c r="ROF160" s="20"/>
      <c r="ROG160" s="20"/>
      <c r="ROH160" s="20"/>
      <c r="ROI160" s="20"/>
      <c r="ROJ160" s="20"/>
      <c r="ROK160" s="20"/>
      <c r="ROL160" s="20"/>
      <c r="ROM160" s="20"/>
      <c r="RON160" s="20"/>
      <c r="ROO160" s="20"/>
      <c r="ROP160" s="20"/>
      <c r="ROQ160" s="20"/>
      <c r="ROR160" s="20"/>
      <c r="ROS160" s="20"/>
      <c r="ROT160" s="20"/>
      <c r="ROU160" s="20"/>
      <c r="ROV160" s="20"/>
      <c r="ROW160" s="20"/>
      <c r="ROX160" s="20"/>
      <c r="ROY160" s="20"/>
      <c r="ROZ160" s="20"/>
      <c r="RPA160" s="20"/>
      <c r="RPB160" s="20"/>
      <c r="RPC160" s="20"/>
      <c r="RPD160" s="20"/>
      <c r="RPE160" s="20"/>
      <c r="RPF160" s="20"/>
      <c r="RPG160" s="20"/>
      <c r="RPH160" s="20"/>
      <c r="RPI160" s="20"/>
      <c r="RPJ160" s="20"/>
      <c r="RPK160" s="20"/>
      <c r="RPL160" s="20"/>
      <c r="RPM160" s="20"/>
      <c r="RPN160" s="20"/>
      <c r="RPO160" s="20"/>
      <c r="RPP160" s="20"/>
      <c r="RPQ160" s="20"/>
      <c r="RPR160" s="20"/>
      <c r="RPS160" s="20"/>
      <c r="RPT160" s="20"/>
      <c r="RPU160" s="20"/>
      <c r="RPV160" s="20"/>
      <c r="RPW160" s="20"/>
      <c r="RPX160" s="20"/>
      <c r="RPY160" s="20"/>
      <c r="RPZ160" s="20"/>
      <c r="RQA160" s="20"/>
      <c r="RQB160" s="20"/>
      <c r="RQC160" s="20"/>
      <c r="RQD160" s="20"/>
      <c r="RQE160" s="20"/>
      <c r="RQF160" s="20"/>
      <c r="RQG160" s="20"/>
      <c r="RQH160" s="20"/>
      <c r="RQI160" s="20"/>
      <c r="RQJ160" s="20"/>
      <c r="RQK160" s="20"/>
      <c r="RQL160" s="20"/>
      <c r="RQM160" s="20"/>
      <c r="RQN160" s="20"/>
      <c r="RQO160" s="20"/>
      <c r="RQP160" s="20"/>
      <c r="RQQ160" s="20"/>
      <c r="RQR160" s="20"/>
      <c r="RQS160" s="20"/>
      <c r="RQT160" s="20"/>
      <c r="RQU160" s="20"/>
      <c r="RQV160" s="20"/>
      <c r="RQW160" s="20"/>
      <c r="RQX160" s="20"/>
      <c r="RQY160" s="20"/>
      <c r="RQZ160" s="20"/>
      <c r="RRA160" s="20"/>
      <c r="RRB160" s="20"/>
      <c r="RRC160" s="20"/>
      <c r="RRD160" s="20"/>
      <c r="RRE160" s="20"/>
      <c r="RRF160" s="20"/>
      <c r="RRG160" s="20"/>
      <c r="RRH160" s="20"/>
      <c r="RRI160" s="20"/>
      <c r="RRJ160" s="20"/>
      <c r="RRK160" s="20"/>
      <c r="RRL160" s="20"/>
      <c r="RRM160" s="20"/>
      <c r="RRN160" s="20"/>
      <c r="RRO160" s="20"/>
      <c r="RRP160" s="20"/>
      <c r="RRQ160" s="20"/>
      <c r="RRR160" s="20"/>
      <c r="RRS160" s="20"/>
      <c r="RRT160" s="20"/>
      <c r="RRU160" s="20"/>
      <c r="RRV160" s="20"/>
      <c r="RRW160" s="20"/>
      <c r="RRX160" s="20"/>
      <c r="RRY160" s="20"/>
      <c r="RRZ160" s="20"/>
      <c r="RSA160" s="20"/>
      <c r="RSB160" s="20"/>
      <c r="RSC160" s="20"/>
      <c r="RSD160" s="20"/>
      <c r="RSE160" s="20"/>
      <c r="RSF160" s="20"/>
      <c r="RSG160" s="20"/>
      <c r="RSH160" s="20"/>
      <c r="RSI160" s="20"/>
      <c r="RSJ160" s="20"/>
      <c r="RSK160" s="20"/>
      <c r="RSL160" s="20"/>
      <c r="RSM160" s="20"/>
      <c r="RSN160" s="20"/>
      <c r="RSO160" s="20"/>
      <c r="RSP160" s="20"/>
      <c r="RSQ160" s="20"/>
      <c r="RSR160" s="20"/>
      <c r="RSS160" s="20"/>
      <c r="RST160" s="20"/>
      <c r="RSU160" s="20"/>
      <c r="RSV160" s="20"/>
      <c r="RSW160" s="20"/>
      <c r="RSX160" s="20"/>
      <c r="RSY160" s="20"/>
      <c r="RSZ160" s="20"/>
      <c r="RTA160" s="20"/>
      <c r="RTB160" s="20"/>
      <c r="RTC160" s="20"/>
      <c r="RTD160" s="20"/>
      <c r="RTE160" s="20"/>
      <c r="RTF160" s="20"/>
      <c r="RTG160" s="20"/>
      <c r="RTH160" s="20"/>
      <c r="RTI160" s="20"/>
      <c r="RTJ160" s="20"/>
      <c r="RTK160" s="20"/>
      <c r="RTL160" s="20"/>
      <c r="RTM160" s="20"/>
      <c r="RTN160" s="20"/>
      <c r="RTO160" s="20"/>
      <c r="RTP160" s="20"/>
      <c r="RTQ160" s="20"/>
      <c r="RTR160" s="20"/>
      <c r="RTS160" s="20"/>
      <c r="RTT160" s="20"/>
      <c r="RTU160" s="20"/>
      <c r="RTV160" s="20"/>
      <c r="RTW160" s="20"/>
      <c r="RTX160" s="20"/>
      <c r="RTY160" s="20"/>
      <c r="RTZ160" s="20"/>
      <c r="RUA160" s="20"/>
      <c r="RUB160" s="20"/>
      <c r="RUC160" s="20"/>
      <c r="RUD160" s="20"/>
      <c r="RUE160" s="20"/>
      <c r="RUF160" s="20"/>
      <c r="RUG160" s="20"/>
      <c r="RUH160" s="20"/>
      <c r="RUI160" s="20"/>
      <c r="RUJ160" s="20"/>
      <c r="RUK160" s="20"/>
      <c r="RUL160" s="20"/>
      <c r="RUM160" s="20"/>
      <c r="RUN160" s="20"/>
      <c r="RUO160" s="20"/>
      <c r="RUP160" s="20"/>
      <c r="RUQ160" s="20"/>
      <c r="RUR160" s="20"/>
      <c r="RUS160" s="20"/>
      <c r="RUT160" s="20"/>
      <c r="RUU160" s="20"/>
      <c r="RUV160" s="20"/>
      <c r="RUW160" s="20"/>
      <c r="RUX160" s="20"/>
      <c r="RUY160" s="20"/>
      <c r="RUZ160" s="20"/>
      <c r="RVA160" s="20"/>
      <c r="RVB160" s="20"/>
      <c r="RVC160" s="20"/>
      <c r="RVD160" s="20"/>
      <c r="RVE160" s="20"/>
      <c r="RVF160" s="20"/>
      <c r="RVG160" s="20"/>
      <c r="RVH160" s="20"/>
      <c r="RVI160" s="20"/>
      <c r="RVJ160" s="20"/>
      <c r="RVK160" s="20"/>
      <c r="RVL160" s="20"/>
      <c r="RVM160" s="20"/>
      <c r="RVN160" s="20"/>
      <c r="RVO160" s="20"/>
      <c r="RVP160" s="20"/>
      <c r="RVQ160" s="20"/>
      <c r="RVR160" s="20"/>
      <c r="RVS160" s="20"/>
      <c r="RVT160" s="20"/>
      <c r="RVU160" s="20"/>
      <c r="RVV160" s="20"/>
      <c r="RVW160" s="20"/>
      <c r="RVX160" s="20"/>
      <c r="RVY160" s="20"/>
      <c r="RVZ160" s="20"/>
      <c r="RWA160" s="20"/>
      <c r="RWB160" s="20"/>
      <c r="RWC160" s="20"/>
      <c r="RWD160" s="20"/>
      <c r="RWE160" s="20"/>
      <c r="RWF160" s="20"/>
      <c r="RWG160" s="20"/>
      <c r="RWH160" s="20"/>
      <c r="RWI160" s="20"/>
      <c r="RWJ160" s="20"/>
      <c r="RWK160" s="20"/>
      <c r="RWL160" s="20"/>
      <c r="RWM160" s="20"/>
      <c r="RWN160" s="20"/>
      <c r="RWO160" s="20"/>
      <c r="RWP160" s="20"/>
      <c r="RWQ160" s="20"/>
      <c r="RWR160" s="20"/>
      <c r="RWS160" s="20"/>
      <c r="RWT160" s="20"/>
      <c r="RWU160" s="20"/>
      <c r="RWV160" s="20"/>
      <c r="RWW160" s="20"/>
      <c r="RWX160" s="20"/>
      <c r="RWY160" s="20"/>
      <c r="RWZ160" s="20"/>
      <c r="RXA160" s="20"/>
      <c r="RXB160" s="20"/>
      <c r="RXC160" s="20"/>
      <c r="RXD160" s="20"/>
      <c r="RXE160" s="20"/>
      <c r="RXF160" s="20"/>
      <c r="RXG160" s="20"/>
      <c r="RXH160" s="20"/>
      <c r="RXI160" s="20"/>
      <c r="RXJ160" s="20"/>
      <c r="RXK160" s="20"/>
      <c r="RXL160" s="20"/>
      <c r="RXM160" s="20"/>
      <c r="RXN160" s="20"/>
      <c r="RXO160" s="20"/>
      <c r="RXP160" s="20"/>
      <c r="RXQ160" s="20"/>
      <c r="RXR160" s="20"/>
      <c r="RXS160" s="20"/>
      <c r="RXT160" s="20"/>
      <c r="RXU160" s="20"/>
      <c r="RXV160" s="20"/>
      <c r="RXW160" s="20"/>
      <c r="RXX160" s="20"/>
      <c r="RXY160" s="20"/>
      <c r="RXZ160" s="20"/>
      <c r="RYA160" s="20"/>
      <c r="RYB160" s="20"/>
      <c r="RYC160" s="20"/>
      <c r="RYD160" s="20"/>
      <c r="RYE160" s="20"/>
      <c r="RYF160" s="20"/>
      <c r="RYG160" s="20"/>
      <c r="RYH160" s="20"/>
      <c r="RYI160" s="20"/>
      <c r="RYJ160" s="20"/>
      <c r="RYK160" s="20"/>
      <c r="RYL160" s="20"/>
      <c r="RYM160" s="20"/>
      <c r="RYN160" s="20"/>
      <c r="RYO160" s="20"/>
      <c r="RYP160" s="20"/>
      <c r="RYQ160" s="20"/>
      <c r="RYR160" s="20"/>
      <c r="RYS160" s="20"/>
      <c r="RYT160" s="20"/>
      <c r="RYU160" s="20"/>
      <c r="RYV160" s="20"/>
      <c r="RYW160" s="20"/>
      <c r="RYX160" s="20"/>
      <c r="RYY160" s="20"/>
      <c r="RYZ160" s="20"/>
      <c r="RZA160" s="20"/>
      <c r="RZB160" s="20"/>
      <c r="RZC160" s="20"/>
      <c r="RZD160" s="20"/>
      <c r="RZE160" s="20"/>
      <c r="RZF160" s="20"/>
      <c r="RZG160" s="20"/>
      <c r="RZH160" s="20"/>
      <c r="RZI160" s="20"/>
      <c r="RZJ160" s="20"/>
      <c r="RZK160" s="20"/>
      <c r="RZL160" s="20"/>
      <c r="RZM160" s="20"/>
      <c r="RZN160" s="20"/>
      <c r="RZO160" s="20"/>
      <c r="RZP160" s="20"/>
      <c r="RZQ160" s="20"/>
      <c r="RZR160" s="20"/>
      <c r="RZS160" s="20"/>
      <c r="RZT160" s="20"/>
      <c r="RZU160" s="20"/>
      <c r="RZV160" s="20"/>
      <c r="RZW160" s="20"/>
      <c r="RZX160" s="20"/>
      <c r="RZY160" s="20"/>
      <c r="RZZ160" s="20"/>
      <c r="SAA160" s="20"/>
      <c r="SAB160" s="20"/>
      <c r="SAC160" s="20"/>
      <c r="SAD160" s="20"/>
      <c r="SAE160" s="20"/>
      <c r="SAF160" s="20"/>
      <c r="SAG160" s="20"/>
      <c r="SAH160" s="20"/>
      <c r="SAI160" s="20"/>
      <c r="SAJ160" s="20"/>
      <c r="SAK160" s="20"/>
      <c r="SAL160" s="20"/>
      <c r="SAM160" s="20"/>
      <c r="SAN160" s="20"/>
      <c r="SAO160" s="20"/>
      <c r="SAP160" s="20"/>
      <c r="SAQ160" s="20"/>
      <c r="SAR160" s="20"/>
      <c r="SAS160" s="20"/>
      <c r="SAT160" s="20"/>
      <c r="SAU160" s="20"/>
      <c r="SAV160" s="20"/>
      <c r="SAW160" s="20"/>
      <c r="SAX160" s="20"/>
      <c r="SAY160" s="20"/>
      <c r="SAZ160" s="20"/>
      <c r="SBA160" s="20"/>
      <c r="SBB160" s="20"/>
      <c r="SBC160" s="20"/>
      <c r="SBD160" s="20"/>
      <c r="SBE160" s="20"/>
      <c r="SBF160" s="20"/>
      <c r="SBG160" s="20"/>
      <c r="SBH160" s="20"/>
      <c r="SBI160" s="20"/>
      <c r="SBJ160" s="20"/>
      <c r="SBK160" s="20"/>
      <c r="SBL160" s="20"/>
      <c r="SBM160" s="20"/>
      <c r="SBN160" s="20"/>
      <c r="SBO160" s="20"/>
      <c r="SBP160" s="20"/>
      <c r="SBQ160" s="20"/>
      <c r="SBR160" s="20"/>
      <c r="SBS160" s="20"/>
      <c r="SBT160" s="20"/>
      <c r="SBU160" s="20"/>
      <c r="SBV160" s="20"/>
      <c r="SBW160" s="20"/>
      <c r="SBX160" s="20"/>
      <c r="SBY160" s="20"/>
      <c r="SBZ160" s="20"/>
      <c r="SCA160" s="20"/>
      <c r="SCB160" s="20"/>
      <c r="SCC160" s="20"/>
      <c r="SCD160" s="20"/>
      <c r="SCE160" s="20"/>
      <c r="SCF160" s="20"/>
      <c r="SCG160" s="20"/>
      <c r="SCH160" s="20"/>
      <c r="SCI160" s="20"/>
      <c r="SCJ160" s="20"/>
      <c r="SCK160" s="20"/>
      <c r="SCL160" s="20"/>
      <c r="SCM160" s="20"/>
      <c r="SCN160" s="20"/>
      <c r="SCO160" s="20"/>
      <c r="SCP160" s="20"/>
      <c r="SCQ160" s="20"/>
      <c r="SCR160" s="20"/>
      <c r="SCS160" s="20"/>
      <c r="SCT160" s="20"/>
      <c r="SCU160" s="20"/>
      <c r="SCV160" s="20"/>
      <c r="SCW160" s="20"/>
      <c r="SCX160" s="20"/>
      <c r="SCY160" s="20"/>
      <c r="SCZ160" s="20"/>
      <c r="SDA160" s="20"/>
      <c r="SDB160" s="20"/>
      <c r="SDC160" s="20"/>
      <c r="SDD160" s="20"/>
      <c r="SDE160" s="20"/>
      <c r="SDF160" s="20"/>
      <c r="SDG160" s="20"/>
      <c r="SDH160" s="20"/>
      <c r="SDI160" s="20"/>
      <c r="SDJ160" s="20"/>
      <c r="SDK160" s="20"/>
      <c r="SDL160" s="20"/>
      <c r="SDM160" s="20"/>
      <c r="SDN160" s="20"/>
      <c r="SDO160" s="20"/>
      <c r="SDP160" s="20"/>
      <c r="SDQ160" s="20"/>
      <c r="SDR160" s="20"/>
      <c r="SDS160" s="20"/>
      <c r="SDT160" s="20"/>
      <c r="SDU160" s="20"/>
      <c r="SDV160" s="20"/>
      <c r="SDW160" s="20"/>
      <c r="SDX160" s="20"/>
      <c r="SDY160" s="20"/>
      <c r="SDZ160" s="20"/>
      <c r="SEA160" s="20"/>
      <c r="SEB160" s="20"/>
      <c r="SEC160" s="20"/>
      <c r="SED160" s="20"/>
      <c r="SEE160" s="20"/>
      <c r="SEF160" s="20"/>
      <c r="SEG160" s="20"/>
      <c r="SEH160" s="20"/>
      <c r="SEI160" s="20"/>
      <c r="SEJ160" s="20"/>
      <c r="SEK160" s="20"/>
      <c r="SEL160" s="20"/>
      <c r="SEM160" s="20"/>
      <c r="SEN160" s="20"/>
      <c r="SEO160" s="20"/>
      <c r="SEP160" s="20"/>
      <c r="SEQ160" s="20"/>
      <c r="SER160" s="20"/>
      <c r="SES160" s="20"/>
      <c r="SET160" s="20"/>
      <c r="SEU160" s="20"/>
      <c r="SEV160" s="20"/>
      <c r="SEW160" s="20"/>
      <c r="SEX160" s="20"/>
      <c r="SEY160" s="20"/>
      <c r="SEZ160" s="20"/>
      <c r="SFA160" s="20"/>
      <c r="SFB160" s="20"/>
      <c r="SFC160" s="20"/>
      <c r="SFD160" s="20"/>
      <c r="SFE160" s="20"/>
      <c r="SFF160" s="20"/>
      <c r="SFG160" s="20"/>
      <c r="SFH160" s="20"/>
      <c r="SFI160" s="20"/>
      <c r="SFJ160" s="20"/>
      <c r="SFK160" s="20"/>
      <c r="SFL160" s="20"/>
      <c r="SFM160" s="20"/>
      <c r="SFN160" s="20"/>
      <c r="SFO160" s="20"/>
      <c r="SFP160" s="20"/>
      <c r="SFQ160" s="20"/>
      <c r="SFR160" s="20"/>
      <c r="SFS160" s="20"/>
      <c r="SFT160" s="20"/>
      <c r="SFU160" s="20"/>
      <c r="SFV160" s="20"/>
      <c r="SFW160" s="20"/>
      <c r="SFX160" s="20"/>
      <c r="SFY160" s="20"/>
      <c r="SFZ160" s="20"/>
      <c r="SGA160" s="20"/>
      <c r="SGB160" s="20"/>
      <c r="SGC160" s="20"/>
      <c r="SGD160" s="20"/>
      <c r="SGE160" s="20"/>
      <c r="SGF160" s="20"/>
      <c r="SGG160" s="20"/>
      <c r="SGH160" s="20"/>
      <c r="SGI160" s="20"/>
      <c r="SGJ160" s="20"/>
      <c r="SGK160" s="20"/>
      <c r="SGL160" s="20"/>
      <c r="SGM160" s="20"/>
      <c r="SGN160" s="20"/>
      <c r="SGO160" s="20"/>
      <c r="SGP160" s="20"/>
      <c r="SGQ160" s="20"/>
      <c r="SGR160" s="20"/>
      <c r="SGS160" s="20"/>
      <c r="SGT160" s="20"/>
      <c r="SGU160" s="20"/>
      <c r="SGV160" s="20"/>
      <c r="SGW160" s="20"/>
      <c r="SGX160" s="20"/>
      <c r="SGY160" s="20"/>
      <c r="SGZ160" s="20"/>
      <c r="SHA160" s="20"/>
      <c r="SHB160" s="20"/>
      <c r="SHC160" s="20"/>
      <c r="SHD160" s="20"/>
      <c r="SHE160" s="20"/>
      <c r="SHF160" s="20"/>
      <c r="SHG160" s="20"/>
      <c r="SHH160" s="20"/>
      <c r="SHI160" s="20"/>
      <c r="SHJ160" s="20"/>
      <c r="SHK160" s="20"/>
      <c r="SHL160" s="20"/>
      <c r="SHM160" s="20"/>
      <c r="SHN160" s="20"/>
      <c r="SHO160" s="20"/>
      <c r="SHP160" s="20"/>
      <c r="SHQ160" s="20"/>
      <c r="SHR160" s="20"/>
      <c r="SHS160" s="20"/>
      <c r="SHT160" s="20"/>
      <c r="SHU160" s="20"/>
      <c r="SHV160" s="20"/>
      <c r="SHW160" s="20"/>
      <c r="SHX160" s="20"/>
      <c r="SHY160" s="20"/>
      <c r="SHZ160" s="20"/>
      <c r="SIA160" s="20"/>
      <c r="SIB160" s="20"/>
      <c r="SIC160" s="20"/>
      <c r="SID160" s="20"/>
      <c r="SIE160" s="20"/>
      <c r="SIF160" s="20"/>
      <c r="SIG160" s="20"/>
      <c r="SIH160" s="20"/>
      <c r="SII160" s="20"/>
      <c r="SIJ160" s="20"/>
      <c r="SIK160" s="20"/>
      <c r="SIL160" s="20"/>
      <c r="SIM160" s="20"/>
      <c r="SIN160" s="20"/>
      <c r="SIO160" s="20"/>
      <c r="SIP160" s="20"/>
      <c r="SIQ160" s="20"/>
      <c r="SIR160" s="20"/>
      <c r="SIS160" s="20"/>
      <c r="SIT160" s="20"/>
      <c r="SIU160" s="20"/>
      <c r="SIV160" s="20"/>
      <c r="SIW160" s="20"/>
      <c r="SIX160" s="20"/>
      <c r="SIY160" s="20"/>
      <c r="SIZ160" s="20"/>
      <c r="SJA160" s="20"/>
      <c r="SJB160" s="20"/>
      <c r="SJC160" s="20"/>
      <c r="SJD160" s="20"/>
      <c r="SJE160" s="20"/>
      <c r="SJF160" s="20"/>
      <c r="SJG160" s="20"/>
      <c r="SJH160" s="20"/>
      <c r="SJI160" s="20"/>
      <c r="SJJ160" s="20"/>
      <c r="SJK160" s="20"/>
      <c r="SJL160" s="20"/>
      <c r="SJM160" s="20"/>
      <c r="SJN160" s="20"/>
      <c r="SJO160" s="20"/>
      <c r="SJP160" s="20"/>
      <c r="SJQ160" s="20"/>
      <c r="SJR160" s="20"/>
      <c r="SJS160" s="20"/>
      <c r="SJT160" s="20"/>
      <c r="SJU160" s="20"/>
      <c r="SJV160" s="20"/>
      <c r="SJW160" s="20"/>
      <c r="SJX160" s="20"/>
      <c r="SJY160" s="20"/>
      <c r="SJZ160" s="20"/>
      <c r="SKA160" s="20"/>
      <c r="SKB160" s="20"/>
      <c r="SKC160" s="20"/>
      <c r="SKD160" s="20"/>
      <c r="SKE160" s="20"/>
      <c r="SKF160" s="20"/>
      <c r="SKG160" s="20"/>
      <c r="SKH160" s="20"/>
      <c r="SKI160" s="20"/>
      <c r="SKJ160" s="20"/>
      <c r="SKK160" s="20"/>
      <c r="SKL160" s="20"/>
      <c r="SKM160" s="20"/>
      <c r="SKN160" s="20"/>
      <c r="SKO160" s="20"/>
      <c r="SKP160" s="20"/>
      <c r="SKQ160" s="20"/>
      <c r="SKR160" s="20"/>
      <c r="SKS160" s="20"/>
      <c r="SKT160" s="20"/>
      <c r="SKU160" s="20"/>
      <c r="SKV160" s="20"/>
      <c r="SKW160" s="20"/>
      <c r="SKX160" s="20"/>
      <c r="SKY160" s="20"/>
      <c r="SKZ160" s="20"/>
      <c r="SLA160" s="20"/>
      <c r="SLB160" s="20"/>
      <c r="SLC160" s="20"/>
      <c r="SLD160" s="20"/>
      <c r="SLE160" s="20"/>
      <c r="SLF160" s="20"/>
      <c r="SLG160" s="20"/>
      <c r="SLH160" s="20"/>
      <c r="SLI160" s="20"/>
      <c r="SLJ160" s="20"/>
      <c r="SLK160" s="20"/>
      <c r="SLL160" s="20"/>
      <c r="SLM160" s="20"/>
      <c r="SLN160" s="20"/>
      <c r="SLO160" s="20"/>
      <c r="SLP160" s="20"/>
      <c r="SLQ160" s="20"/>
      <c r="SLR160" s="20"/>
      <c r="SLS160" s="20"/>
      <c r="SLT160" s="20"/>
      <c r="SLU160" s="20"/>
      <c r="SLV160" s="20"/>
      <c r="SLW160" s="20"/>
      <c r="SLX160" s="20"/>
      <c r="SLY160" s="20"/>
      <c r="SLZ160" s="20"/>
      <c r="SMA160" s="20"/>
      <c r="SMB160" s="20"/>
      <c r="SMC160" s="20"/>
      <c r="SMD160" s="20"/>
      <c r="SME160" s="20"/>
      <c r="SMF160" s="20"/>
      <c r="SMG160" s="20"/>
      <c r="SMH160" s="20"/>
      <c r="SMI160" s="20"/>
      <c r="SMJ160" s="20"/>
      <c r="SMK160" s="20"/>
      <c r="SML160" s="20"/>
      <c r="SMM160" s="20"/>
      <c r="SMN160" s="20"/>
      <c r="SMO160" s="20"/>
      <c r="SMP160" s="20"/>
      <c r="SMQ160" s="20"/>
      <c r="SMR160" s="20"/>
      <c r="SMS160" s="20"/>
      <c r="SMT160" s="20"/>
      <c r="SMU160" s="20"/>
      <c r="SMV160" s="20"/>
      <c r="SMW160" s="20"/>
      <c r="SMX160" s="20"/>
      <c r="SMY160" s="20"/>
      <c r="SMZ160" s="20"/>
      <c r="SNA160" s="20"/>
      <c r="SNB160" s="20"/>
      <c r="SNC160" s="20"/>
      <c r="SND160" s="20"/>
      <c r="SNE160" s="20"/>
      <c r="SNF160" s="20"/>
      <c r="SNG160" s="20"/>
      <c r="SNH160" s="20"/>
      <c r="SNI160" s="20"/>
      <c r="SNJ160" s="20"/>
      <c r="SNK160" s="20"/>
      <c r="SNL160" s="20"/>
      <c r="SNM160" s="20"/>
      <c r="SNN160" s="20"/>
      <c r="SNO160" s="20"/>
      <c r="SNP160" s="20"/>
      <c r="SNQ160" s="20"/>
      <c r="SNR160" s="20"/>
      <c r="SNS160" s="20"/>
      <c r="SNT160" s="20"/>
      <c r="SNU160" s="20"/>
      <c r="SNV160" s="20"/>
      <c r="SNW160" s="20"/>
      <c r="SNX160" s="20"/>
      <c r="SNY160" s="20"/>
      <c r="SNZ160" s="20"/>
      <c r="SOA160" s="20"/>
      <c r="SOB160" s="20"/>
      <c r="SOC160" s="20"/>
      <c r="SOD160" s="20"/>
      <c r="SOE160" s="20"/>
      <c r="SOF160" s="20"/>
      <c r="SOG160" s="20"/>
      <c r="SOH160" s="20"/>
      <c r="SOI160" s="20"/>
      <c r="SOJ160" s="20"/>
      <c r="SOK160" s="20"/>
      <c r="SOL160" s="20"/>
      <c r="SOM160" s="20"/>
      <c r="SON160" s="20"/>
      <c r="SOO160" s="20"/>
      <c r="SOP160" s="20"/>
      <c r="SOQ160" s="20"/>
      <c r="SOR160" s="20"/>
      <c r="SOS160" s="20"/>
      <c r="SOT160" s="20"/>
      <c r="SOU160" s="20"/>
      <c r="SOV160" s="20"/>
      <c r="SOW160" s="20"/>
      <c r="SOX160" s="20"/>
      <c r="SOY160" s="20"/>
      <c r="SOZ160" s="20"/>
      <c r="SPA160" s="20"/>
      <c r="SPB160" s="20"/>
      <c r="SPC160" s="20"/>
      <c r="SPD160" s="20"/>
      <c r="SPE160" s="20"/>
      <c r="SPF160" s="20"/>
      <c r="SPG160" s="20"/>
      <c r="SPH160" s="20"/>
      <c r="SPI160" s="20"/>
      <c r="SPJ160" s="20"/>
      <c r="SPK160" s="20"/>
      <c r="SPL160" s="20"/>
      <c r="SPM160" s="20"/>
      <c r="SPN160" s="20"/>
      <c r="SPO160" s="20"/>
      <c r="SPP160" s="20"/>
      <c r="SPQ160" s="20"/>
      <c r="SPR160" s="20"/>
      <c r="SPS160" s="20"/>
      <c r="SPT160" s="20"/>
      <c r="SPU160" s="20"/>
      <c r="SPV160" s="20"/>
      <c r="SPW160" s="20"/>
      <c r="SPX160" s="20"/>
      <c r="SPY160" s="20"/>
      <c r="SPZ160" s="20"/>
      <c r="SQA160" s="20"/>
      <c r="SQB160" s="20"/>
      <c r="SQC160" s="20"/>
      <c r="SQD160" s="20"/>
      <c r="SQE160" s="20"/>
      <c r="SQF160" s="20"/>
      <c r="SQG160" s="20"/>
      <c r="SQH160" s="20"/>
      <c r="SQI160" s="20"/>
      <c r="SQJ160" s="20"/>
      <c r="SQK160" s="20"/>
      <c r="SQL160" s="20"/>
      <c r="SQM160" s="20"/>
      <c r="SQN160" s="20"/>
      <c r="SQO160" s="20"/>
      <c r="SQP160" s="20"/>
      <c r="SQQ160" s="20"/>
      <c r="SQR160" s="20"/>
      <c r="SQS160" s="20"/>
      <c r="SQT160" s="20"/>
      <c r="SQU160" s="20"/>
      <c r="SQV160" s="20"/>
      <c r="SQW160" s="20"/>
      <c r="SQX160" s="20"/>
      <c r="SQY160" s="20"/>
      <c r="SQZ160" s="20"/>
      <c r="SRA160" s="20"/>
      <c r="SRB160" s="20"/>
      <c r="SRC160" s="20"/>
      <c r="SRD160" s="20"/>
      <c r="SRE160" s="20"/>
      <c r="SRF160" s="20"/>
      <c r="SRG160" s="20"/>
      <c r="SRH160" s="20"/>
      <c r="SRI160" s="20"/>
      <c r="SRJ160" s="20"/>
      <c r="SRK160" s="20"/>
      <c r="SRL160" s="20"/>
      <c r="SRM160" s="20"/>
      <c r="SRN160" s="20"/>
      <c r="SRO160" s="20"/>
      <c r="SRP160" s="20"/>
      <c r="SRQ160" s="20"/>
      <c r="SRR160" s="20"/>
      <c r="SRS160" s="20"/>
      <c r="SRT160" s="20"/>
      <c r="SRU160" s="20"/>
      <c r="SRV160" s="20"/>
      <c r="SRW160" s="20"/>
      <c r="SRX160" s="20"/>
      <c r="SRY160" s="20"/>
      <c r="SRZ160" s="20"/>
      <c r="SSA160" s="20"/>
      <c r="SSB160" s="20"/>
      <c r="SSC160" s="20"/>
      <c r="SSD160" s="20"/>
      <c r="SSE160" s="20"/>
      <c r="SSF160" s="20"/>
      <c r="SSG160" s="20"/>
      <c r="SSH160" s="20"/>
      <c r="SSI160" s="20"/>
      <c r="SSJ160" s="20"/>
      <c r="SSK160" s="20"/>
      <c r="SSL160" s="20"/>
      <c r="SSM160" s="20"/>
      <c r="SSN160" s="20"/>
      <c r="SSO160" s="20"/>
      <c r="SSP160" s="20"/>
      <c r="SSQ160" s="20"/>
      <c r="SSR160" s="20"/>
      <c r="SSS160" s="20"/>
      <c r="SST160" s="20"/>
      <c r="SSU160" s="20"/>
      <c r="SSV160" s="20"/>
      <c r="SSW160" s="20"/>
      <c r="SSX160" s="20"/>
      <c r="SSY160" s="20"/>
      <c r="SSZ160" s="20"/>
      <c r="STA160" s="20"/>
      <c r="STB160" s="20"/>
      <c r="STC160" s="20"/>
      <c r="STD160" s="20"/>
      <c r="STE160" s="20"/>
      <c r="STF160" s="20"/>
      <c r="STG160" s="20"/>
      <c r="STH160" s="20"/>
      <c r="STI160" s="20"/>
      <c r="STJ160" s="20"/>
      <c r="STK160" s="20"/>
      <c r="STL160" s="20"/>
      <c r="STM160" s="20"/>
      <c r="STN160" s="20"/>
      <c r="STO160" s="20"/>
      <c r="STP160" s="20"/>
      <c r="STQ160" s="20"/>
      <c r="STR160" s="20"/>
      <c r="STS160" s="20"/>
      <c r="STT160" s="20"/>
      <c r="STU160" s="20"/>
      <c r="STV160" s="20"/>
      <c r="STW160" s="20"/>
      <c r="STX160" s="20"/>
      <c r="STY160" s="20"/>
      <c r="STZ160" s="20"/>
      <c r="SUA160" s="20"/>
      <c r="SUB160" s="20"/>
      <c r="SUC160" s="20"/>
      <c r="SUD160" s="20"/>
      <c r="SUE160" s="20"/>
      <c r="SUF160" s="20"/>
      <c r="SUG160" s="20"/>
      <c r="SUH160" s="20"/>
      <c r="SUI160" s="20"/>
      <c r="SUJ160" s="20"/>
      <c r="SUK160" s="20"/>
      <c r="SUL160" s="20"/>
      <c r="SUM160" s="20"/>
      <c r="SUN160" s="20"/>
      <c r="SUO160" s="20"/>
      <c r="SUP160" s="20"/>
      <c r="SUQ160" s="20"/>
      <c r="SUR160" s="20"/>
      <c r="SUS160" s="20"/>
      <c r="SUT160" s="20"/>
      <c r="SUU160" s="20"/>
      <c r="SUV160" s="20"/>
      <c r="SUW160" s="20"/>
      <c r="SUX160" s="20"/>
      <c r="SUY160" s="20"/>
      <c r="SUZ160" s="20"/>
      <c r="SVA160" s="20"/>
      <c r="SVB160" s="20"/>
      <c r="SVC160" s="20"/>
      <c r="SVD160" s="20"/>
      <c r="SVE160" s="20"/>
      <c r="SVF160" s="20"/>
      <c r="SVG160" s="20"/>
      <c r="SVH160" s="20"/>
      <c r="SVI160" s="20"/>
      <c r="SVJ160" s="20"/>
      <c r="SVK160" s="20"/>
      <c r="SVL160" s="20"/>
      <c r="SVM160" s="20"/>
      <c r="SVN160" s="20"/>
      <c r="SVO160" s="20"/>
      <c r="SVP160" s="20"/>
      <c r="SVQ160" s="20"/>
      <c r="SVR160" s="20"/>
      <c r="SVS160" s="20"/>
      <c r="SVT160" s="20"/>
      <c r="SVU160" s="20"/>
      <c r="SVV160" s="20"/>
      <c r="SVW160" s="20"/>
      <c r="SVX160" s="20"/>
      <c r="SVY160" s="20"/>
      <c r="SVZ160" s="20"/>
      <c r="SWA160" s="20"/>
      <c r="SWB160" s="20"/>
      <c r="SWC160" s="20"/>
      <c r="SWD160" s="20"/>
      <c r="SWE160" s="20"/>
      <c r="SWF160" s="20"/>
      <c r="SWG160" s="20"/>
      <c r="SWH160" s="20"/>
      <c r="SWI160" s="20"/>
      <c r="SWJ160" s="20"/>
      <c r="SWK160" s="20"/>
      <c r="SWL160" s="20"/>
      <c r="SWM160" s="20"/>
      <c r="SWN160" s="20"/>
      <c r="SWO160" s="20"/>
      <c r="SWP160" s="20"/>
      <c r="SWQ160" s="20"/>
      <c r="SWR160" s="20"/>
      <c r="SWS160" s="20"/>
      <c r="SWT160" s="20"/>
      <c r="SWU160" s="20"/>
      <c r="SWV160" s="20"/>
      <c r="SWW160" s="20"/>
      <c r="SWX160" s="20"/>
      <c r="SWY160" s="20"/>
      <c r="SWZ160" s="20"/>
      <c r="SXA160" s="20"/>
      <c r="SXB160" s="20"/>
      <c r="SXC160" s="20"/>
      <c r="SXD160" s="20"/>
      <c r="SXE160" s="20"/>
      <c r="SXF160" s="20"/>
      <c r="SXG160" s="20"/>
      <c r="SXH160" s="20"/>
      <c r="SXI160" s="20"/>
      <c r="SXJ160" s="20"/>
      <c r="SXK160" s="20"/>
      <c r="SXL160" s="20"/>
      <c r="SXM160" s="20"/>
      <c r="SXN160" s="20"/>
      <c r="SXO160" s="20"/>
      <c r="SXP160" s="20"/>
      <c r="SXQ160" s="20"/>
      <c r="SXR160" s="20"/>
      <c r="SXS160" s="20"/>
      <c r="SXT160" s="20"/>
      <c r="SXU160" s="20"/>
      <c r="SXV160" s="20"/>
      <c r="SXW160" s="20"/>
      <c r="SXX160" s="20"/>
      <c r="SXY160" s="20"/>
      <c r="SXZ160" s="20"/>
      <c r="SYA160" s="20"/>
      <c r="SYB160" s="20"/>
      <c r="SYC160" s="20"/>
      <c r="SYD160" s="20"/>
      <c r="SYE160" s="20"/>
      <c r="SYF160" s="20"/>
      <c r="SYG160" s="20"/>
      <c r="SYH160" s="20"/>
      <c r="SYI160" s="20"/>
      <c r="SYJ160" s="20"/>
      <c r="SYK160" s="20"/>
      <c r="SYL160" s="20"/>
      <c r="SYM160" s="20"/>
      <c r="SYN160" s="20"/>
      <c r="SYO160" s="20"/>
      <c r="SYP160" s="20"/>
      <c r="SYQ160" s="20"/>
      <c r="SYR160" s="20"/>
      <c r="SYS160" s="20"/>
      <c r="SYT160" s="20"/>
      <c r="SYU160" s="20"/>
      <c r="SYV160" s="20"/>
      <c r="SYW160" s="20"/>
      <c r="SYX160" s="20"/>
      <c r="SYY160" s="20"/>
      <c r="SYZ160" s="20"/>
      <c r="SZA160" s="20"/>
      <c r="SZB160" s="20"/>
      <c r="SZC160" s="20"/>
      <c r="SZD160" s="20"/>
      <c r="SZE160" s="20"/>
      <c r="SZF160" s="20"/>
      <c r="SZG160" s="20"/>
      <c r="SZH160" s="20"/>
      <c r="SZI160" s="20"/>
      <c r="SZJ160" s="20"/>
      <c r="SZK160" s="20"/>
      <c r="SZL160" s="20"/>
      <c r="SZM160" s="20"/>
      <c r="SZN160" s="20"/>
      <c r="SZO160" s="20"/>
      <c r="SZP160" s="20"/>
      <c r="SZQ160" s="20"/>
      <c r="SZR160" s="20"/>
      <c r="SZS160" s="20"/>
      <c r="SZT160" s="20"/>
      <c r="SZU160" s="20"/>
      <c r="SZV160" s="20"/>
      <c r="SZW160" s="20"/>
      <c r="SZX160" s="20"/>
      <c r="SZY160" s="20"/>
      <c r="SZZ160" s="20"/>
      <c r="TAA160" s="20"/>
      <c r="TAB160" s="20"/>
      <c r="TAC160" s="20"/>
      <c r="TAD160" s="20"/>
      <c r="TAE160" s="20"/>
      <c r="TAF160" s="20"/>
      <c r="TAG160" s="20"/>
      <c r="TAH160" s="20"/>
      <c r="TAI160" s="20"/>
      <c r="TAJ160" s="20"/>
      <c r="TAK160" s="20"/>
      <c r="TAL160" s="20"/>
      <c r="TAM160" s="20"/>
      <c r="TAN160" s="20"/>
      <c r="TAO160" s="20"/>
      <c r="TAP160" s="20"/>
      <c r="TAQ160" s="20"/>
      <c r="TAR160" s="20"/>
      <c r="TAS160" s="20"/>
      <c r="TAT160" s="20"/>
      <c r="TAU160" s="20"/>
      <c r="TAV160" s="20"/>
      <c r="TAW160" s="20"/>
      <c r="TAX160" s="20"/>
      <c r="TAY160" s="20"/>
      <c r="TAZ160" s="20"/>
      <c r="TBA160" s="20"/>
      <c r="TBB160" s="20"/>
      <c r="TBC160" s="20"/>
      <c r="TBD160" s="20"/>
      <c r="TBE160" s="20"/>
      <c r="TBF160" s="20"/>
      <c r="TBG160" s="20"/>
      <c r="TBH160" s="20"/>
      <c r="TBI160" s="20"/>
      <c r="TBJ160" s="20"/>
      <c r="TBK160" s="20"/>
      <c r="TBL160" s="20"/>
      <c r="TBM160" s="20"/>
      <c r="TBN160" s="20"/>
      <c r="TBO160" s="20"/>
      <c r="TBP160" s="20"/>
      <c r="TBQ160" s="20"/>
      <c r="TBR160" s="20"/>
      <c r="TBS160" s="20"/>
      <c r="TBT160" s="20"/>
      <c r="TBU160" s="20"/>
      <c r="TBV160" s="20"/>
      <c r="TBW160" s="20"/>
      <c r="TBX160" s="20"/>
      <c r="TBY160" s="20"/>
      <c r="TBZ160" s="20"/>
      <c r="TCA160" s="20"/>
      <c r="TCB160" s="20"/>
      <c r="TCC160" s="20"/>
      <c r="TCD160" s="20"/>
      <c r="TCE160" s="20"/>
      <c r="TCF160" s="20"/>
      <c r="TCG160" s="20"/>
      <c r="TCH160" s="20"/>
      <c r="TCI160" s="20"/>
      <c r="TCJ160" s="20"/>
      <c r="TCK160" s="20"/>
      <c r="TCL160" s="20"/>
      <c r="TCM160" s="20"/>
      <c r="TCN160" s="20"/>
      <c r="TCO160" s="20"/>
      <c r="TCP160" s="20"/>
      <c r="TCQ160" s="20"/>
      <c r="TCR160" s="20"/>
      <c r="TCS160" s="20"/>
      <c r="TCT160" s="20"/>
      <c r="TCU160" s="20"/>
      <c r="TCV160" s="20"/>
      <c r="TCW160" s="20"/>
      <c r="TCX160" s="20"/>
      <c r="TCY160" s="20"/>
      <c r="TCZ160" s="20"/>
      <c r="TDA160" s="20"/>
      <c r="TDB160" s="20"/>
      <c r="TDC160" s="20"/>
      <c r="TDD160" s="20"/>
      <c r="TDE160" s="20"/>
      <c r="TDF160" s="20"/>
      <c r="TDG160" s="20"/>
      <c r="TDH160" s="20"/>
      <c r="TDI160" s="20"/>
      <c r="TDJ160" s="20"/>
      <c r="TDK160" s="20"/>
      <c r="TDL160" s="20"/>
      <c r="TDM160" s="20"/>
      <c r="TDN160" s="20"/>
      <c r="TDO160" s="20"/>
      <c r="TDP160" s="20"/>
      <c r="TDQ160" s="20"/>
      <c r="TDR160" s="20"/>
      <c r="TDS160" s="20"/>
      <c r="TDT160" s="20"/>
      <c r="TDU160" s="20"/>
      <c r="TDV160" s="20"/>
      <c r="TDW160" s="20"/>
      <c r="TDX160" s="20"/>
      <c r="TDY160" s="20"/>
      <c r="TDZ160" s="20"/>
      <c r="TEA160" s="20"/>
      <c r="TEB160" s="20"/>
      <c r="TEC160" s="20"/>
      <c r="TED160" s="20"/>
      <c r="TEE160" s="20"/>
      <c r="TEF160" s="20"/>
      <c r="TEG160" s="20"/>
      <c r="TEH160" s="20"/>
      <c r="TEI160" s="20"/>
      <c r="TEJ160" s="20"/>
      <c r="TEK160" s="20"/>
      <c r="TEL160" s="20"/>
      <c r="TEM160" s="20"/>
      <c r="TEN160" s="20"/>
      <c r="TEO160" s="20"/>
      <c r="TEP160" s="20"/>
      <c r="TEQ160" s="20"/>
      <c r="TER160" s="20"/>
      <c r="TES160" s="20"/>
      <c r="TET160" s="20"/>
      <c r="TEU160" s="20"/>
      <c r="TEV160" s="20"/>
      <c r="TEW160" s="20"/>
      <c r="TEX160" s="20"/>
      <c r="TEY160" s="20"/>
      <c r="TEZ160" s="20"/>
      <c r="TFA160" s="20"/>
      <c r="TFB160" s="20"/>
      <c r="TFC160" s="20"/>
      <c r="TFD160" s="20"/>
      <c r="TFE160" s="20"/>
      <c r="TFF160" s="20"/>
      <c r="TFG160" s="20"/>
      <c r="TFH160" s="20"/>
      <c r="TFI160" s="20"/>
      <c r="TFJ160" s="20"/>
      <c r="TFK160" s="20"/>
      <c r="TFL160" s="20"/>
      <c r="TFM160" s="20"/>
      <c r="TFN160" s="20"/>
      <c r="TFO160" s="20"/>
      <c r="TFP160" s="20"/>
      <c r="TFQ160" s="20"/>
      <c r="TFR160" s="20"/>
      <c r="TFS160" s="20"/>
      <c r="TFT160" s="20"/>
      <c r="TFU160" s="20"/>
      <c r="TFV160" s="20"/>
      <c r="TFW160" s="20"/>
      <c r="TFX160" s="20"/>
      <c r="TFY160" s="20"/>
      <c r="TFZ160" s="20"/>
      <c r="TGA160" s="20"/>
      <c r="TGB160" s="20"/>
      <c r="TGC160" s="20"/>
      <c r="TGD160" s="20"/>
      <c r="TGE160" s="20"/>
      <c r="TGF160" s="20"/>
      <c r="TGG160" s="20"/>
      <c r="TGH160" s="20"/>
      <c r="TGI160" s="20"/>
      <c r="TGJ160" s="20"/>
      <c r="TGK160" s="20"/>
      <c r="TGL160" s="20"/>
      <c r="TGM160" s="20"/>
      <c r="TGN160" s="20"/>
      <c r="TGO160" s="20"/>
      <c r="TGP160" s="20"/>
      <c r="TGQ160" s="20"/>
      <c r="TGR160" s="20"/>
      <c r="TGS160" s="20"/>
      <c r="TGT160" s="20"/>
      <c r="TGU160" s="20"/>
      <c r="TGV160" s="20"/>
      <c r="TGW160" s="20"/>
      <c r="TGX160" s="20"/>
      <c r="TGY160" s="20"/>
      <c r="TGZ160" s="20"/>
      <c r="THA160" s="20"/>
      <c r="THB160" s="20"/>
      <c r="THC160" s="20"/>
      <c r="THD160" s="20"/>
      <c r="THE160" s="20"/>
      <c r="THF160" s="20"/>
      <c r="THG160" s="20"/>
      <c r="THH160" s="20"/>
      <c r="THI160" s="20"/>
      <c r="THJ160" s="20"/>
      <c r="THK160" s="20"/>
      <c r="THL160" s="20"/>
      <c r="THM160" s="20"/>
      <c r="THN160" s="20"/>
      <c r="THO160" s="20"/>
      <c r="THP160" s="20"/>
      <c r="THQ160" s="20"/>
      <c r="THR160" s="20"/>
      <c r="THS160" s="20"/>
      <c r="THT160" s="20"/>
      <c r="THU160" s="20"/>
      <c r="THV160" s="20"/>
      <c r="THW160" s="20"/>
      <c r="THX160" s="20"/>
      <c r="THY160" s="20"/>
      <c r="THZ160" s="20"/>
      <c r="TIA160" s="20"/>
      <c r="TIB160" s="20"/>
      <c r="TIC160" s="20"/>
      <c r="TID160" s="20"/>
      <c r="TIE160" s="20"/>
      <c r="TIF160" s="20"/>
      <c r="TIG160" s="20"/>
      <c r="TIH160" s="20"/>
      <c r="TII160" s="20"/>
      <c r="TIJ160" s="20"/>
      <c r="TIK160" s="20"/>
      <c r="TIL160" s="20"/>
      <c r="TIM160" s="20"/>
      <c r="TIN160" s="20"/>
      <c r="TIO160" s="20"/>
      <c r="TIP160" s="20"/>
      <c r="TIQ160" s="20"/>
      <c r="TIR160" s="20"/>
      <c r="TIS160" s="20"/>
      <c r="TIT160" s="20"/>
      <c r="TIU160" s="20"/>
      <c r="TIV160" s="20"/>
      <c r="TIW160" s="20"/>
      <c r="TIX160" s="20"/>
      <c r="TIY160" s="20"/>
      <c r="TIZ160" s="20"/>
      <c r="TJA160" s="20"/>
      <c r="TJB160" s="20"/>
      <c r="TJC160" s="20"/>
      <c r="TJD160" s="20"/>
      <c r="TJE160" s="20"/>
      <c r="TJF160" s="20"/>
      <c r="TJG160" s="20"/>
      <c r="TJH160" s="20"/>
      <c r="TJI160" s="20"/>
      <c r="TJJ160" s="20"/>
      <c r="TJK160" s="20"/>
      <c r="TJL160" s="20"/>
      <c r="TJM160" s="20"/>
      <c r="TJN160" s="20"/>
      <c r="TJO160" s="20"/>
      <c r="TJP160" s="20"/>
      <c r="TJQ160" s="20"/>
      <c r="TJR160" s="20"/>
      <c r="TJS160" s="20"/>
      <c r="TJT160" s="20"/>
      <c r="TJU160" s="20"/>
      <c r="TJV160" s="20"/>
      <c r="TJW160" s="20"/>
      <c r="TJX160" s="20"/>
      <c r="TJY160" s="20"/>
      <c r="TJZ160" s="20"/>
      <c r="TKA160" s="20"/>
      <c r="TKB160" s="20"/>
      <c r="TKC160" s="20"/>
      <c r="TKD160" s="20"/>
      <c r="TKE160" s="20"/>
      <c r="TKF160" s="20"/>
      <c r="TKG160" s="20"/>
      <c r="TKH160" s="20"/>
      <c r="TKI160" s="20"/>
      <c r="TKJ160" s="20"/>
      <c r="TKK160" s="20"/>
      <c r="TKL160" s="20"/>
      <c r="TKM160" s="20"/>
      <c r="TKN160" s="20"/>
      <c r="TKO160" s="20"/>
      <c r="TKP160" s="20"/>
      <c r="TKQ160" s="20"/>
      <c r="TKR160" s="20"/>
      <c r="TKS160" s="20"/>
      <c r="TKT160" s="20"/>
      <c r="TKU160" s="20"/>
      <c r="TKV160" s="20"/>
      <c r="TKW160" s="20"/>
      <c r="TKX160" s="20"/>
      <c r="TKY160" s="20"/>
      <c r="TKZ160" s="20"/>
      <c r="TLA160" s="20"/>
      <c r="TLB160" s="20"/>
      <c r="TLC160" s="20"/>
      <c r="TLD160" s="20"/>
      <c r="TLE160" s="20"/>
      <c r="TLF160" s="20"/>
      <c r="TLG160" s="20"/>
      <c r="TLH160" s="20"/>
      <c r="TLI160" s="20"/>
      <c r="TLJ160" s="20"/>
      <c r="TLK160" s="20"/>
      <c r="TLL160" s="20"/>
      <c r="TLM160" s="20"/>
      <c r="TLN160" s="20"/>
      <c r="TLO160" s="20"/>
      <c r="TLP160" s="20"/>
      <c r="TLQ160" s="20"/>
      <c r="TLR160" s="20"/>
      <c r="TLS160" s="20"/>
      <c r="TLT160" s="20"/>
      <c r="TLU160" s="20"/>
      <c r="TLV160" s="20"/>
      <c r="TLW160" s="20"/>
      <c r="TLX160" s="20"/>
      <c r="TLY160" s="20"/>
      <c r="TLZ160" s="20"/>
      <c r="TMA160" s="20"/>
      <c r="TMB160" s="20"/>
      <c r="TMC160" s="20"/>
      <c r="TMD160" s="20"/>
      <c r="TME160" s="20"/>
      <c r="TMF160" s="20"/>
      <c r="TMG160" s="20"/>
      <c r="TMH160" s="20"/>
      <c r="TMI160" s="20"/>
      <c r="TMJ160" s="20"/>
      <c r="TMK160" s="20"/>
      <c r="TML160" s="20"/>
      <c r="TMM160" s="20"/>
      <c r="TMN160" s="20"/>
      <c r="TMO160" s="20"/>
      <c r="TMP160" s="20"/>
      <c r="TMQ160" s="20"/>
      <c r="TMR160" s="20"/>
      <c r="TMS160" s="20"/>
      <c r="TMT160" s="20"/>
      <c r="TMU160" s="20"/>
      <c r="TMV160" s="20"/>
      <c r="TMW160" s="20"/>
      <c r="TMX160" s="20"/>
      <c r="TMY160" s="20"/>
      <c r="TMZ160" s="20"/>
      <c r="TNA160" s="20"/>
      <c r="TNB160" s="20"/>
      <c r="TNC160" s="20"/>
      <c r="TND160" s="20"/>
      <c r="TNE160" s="20"/>
      <c r="TNF160" s="20"/>
      <c r="TNG160" s="20"/>
      <c r="TNH160" s="20"/>
      <c r="TNI160" s="20"/>
      <c r="TNJ160" s="20"/>
      <c r="TNK160" s="20"/>
      <c r="TNL160" s="20"/>
      <c r="TNM160" s="20"/>
      <c r="TNN160" s="20"/>
      <c r="TNO160" s="20"/>
      <c r="TNP160" s="20"/>
      <c r="TNQ160" s="20"/>
      <c r="TNR160" s="20"/>
      <c r="TNS160" s="20"/>
      <c r="TNT160" s="20"/>
      <c r="TNU160" s="20"/>
      <c r="TNV160" s="20"/>
      <c r="TNW160" s="20"/>
      <c r="TNX160" s="20"/>
      <c r="TNY160" s="20"/>
      <c r="TNZ160" s="20"/>
      <c r="TOA160" s="20"/>
      <c r="TOB160" s="20"/>
      <c r="TOC160" s="20"/>
      <c r="TOD160" s="20"/>
      <c r="TOE160" s="20"/>
      <c r="TOF160" s="20"/>
      <c r="TOG160" s="20"/>
      <c r="TOH160" s="20"/>
      <c r="TOI160" s="20"/>
      <c r="TOJ160" s="20"/>
      <c r="TOK160" s="20"/>
      <c r="TOL160" s="20"/>
      <c r="TOM160" s="20"/>
      <c r="TON160" s="20"/>
      <c r="TOO160" s="20"/>
      <c r="TOP160" s="20"/>
      <c r="TOQ160" s="20"/>
      <c r="TOR160" s="20"/>
      <c r="TOS160" s="20"/>
      <c r="TOT160" s="20"/>
      <c r="TOU160" s="20"/>
      <c r="TOV160" s="20"/>
      <c r="TOW160" s="20"/>
      <c r="TOX160" s="20"/>
      <c r="TOY160" s="20"/>
      <c r="TOZ160" s="20"/>
      <c r="TPA160" s="20"/>
      <c r="TPB160" s="20"/>
      <c r="TPC160" s="20"/>
      <c r="TPD160" s="20"/>
      <c r="TPE160" s="20"/>
      <c r="TPF160" s="20"/>
      <c r="TPG160" s="20"/>
      <c r="TPH160" s="20"/>
      <c r="TPI160" s="20"/>
      <c r="TPJ160" s="20"/>
      <c r="TPK160" s="20"/>
      <c r="TPL160" s="20"/>
      <c r="TPM160" s="20"/>
      <c r="TPN160" s="20"/>
      <c r="TPO160" s="20"/>
      <c r="TPP160" s="20"/>
      <c r="TPQ160" s="20"/>
      <c r="TPR160" s="20"/>
      <c r="TPS160" s="20"/>
      <c r="TPT160" s="20"/>
      <c r="TPU160" s="20"/>
      <c r="TPV160" s="20"/>
      <c r="TPW160" s="20"/>
      <c r="TPX160" s="20"/>
      <c r="TPY160" s="20"/>
      <c r="TPZ160" s="20"/>
      <c r="TQA160" s="20"/>
      <c r="TQB160" s="20"/>
      <c r="TQC160" s="20"/>
      <c r="TQD160" s="20"/>
      <c r="TQE160" s="20"/>
      <c r="TQF160" s="20"/>
      <c r="TQG160" s="20"/>
      <c r="TQH160" s="20"/>
      <c r="TQI160" s="20"/>
      <c r="TQJ160" s="20"/>
      <c r="TQK160" s="20"/>
      <c r="TQL160" s="20"/>
      <c r="TQM160" s="20"/>
      <c r="TQN160" s="20"/>
      <c r="TQO160" s="20"/>
      <c r="TQP160" s="20"/>
      <c r="TQQ160" s="20"/>
      <c r="TQR160" s="20"/>
      <c r="TQS160" s="20"/>
      <c r="TQT160" s="20"/>
      <c r="TQU160" s="20"/>
      <c r="TQV160" s="20"/>
      <c r="TQW160" s="20"/>
      <c r="TQX160" s="20"/>
      <c r="TQY160" s="20"/>
      <c r="TQZ160" s="20"/>
      <c r="TRA160" s="20"/>
      <c r="TRB160" s="20"/>
      <c r="TRC160" s="20"/>
      <c r="TRD160" s="20"/>
      <c r="TRE160" s="20"/>
      <c r="TRF160" s="20"/>
      <c r="TRG160" s="20"/>
      <c r="TRH160" s="20"/>
      <c r="TRI160" s="20"/>
      <c r="TRJ160" s="20"/>
      <c r="TRK160" s="20"/>
      <c r="TRL160" s="20"/>
      <c r="TRM160" s="20"/>
      <c r="TRN160" s="20"/>
      <c r="TRO160" s="20"/>
      <c r="TRP160" s="20"/>
      <c r="TRQ160" s="20"/>
      <c r="TRR160" s="20"/>
      <c r="TRS160" s="20"/>
      <c r="TRT160" s="20"/>
      <c r="TRU160" s="20"/>
      <c r="TRV160" s="20"/>
      <c r="TRW160" s="20"/>
      <c r="TRX160" s="20"/>
      <c r="TRY160" s="20"/>
      <c r="TRZ160" s="20"/>
      <c r="TSA160" s="20"/>
      <c r="TSB160" s="20"/>
      <c r="TSC160" s="20"/>
      <c r="TSD160" s="20"/>
      <c r="TSE160" s="20"/>
      <c r="TSF160" s="20"/>
      <c r="TSG160" s="20"/>
      <c r="TSH160" s="20"/>
      <c r="TSI160" s="20"/>
      <c r="TSJ160" s="20"/>
      <c r="TSK160" s="20"/>
      <c r="TSL160" s="20"/>
      <c r="TSM160" s="20"/>
      <c r="TSN160" s="20"/>
      <c r="TSO160" s="20"/>
      <c r="TSP160" s="20"/>
      <c r="TSQ160" s="20"/>
      <c r="TSR160" s="20"/>
      <c r="TSS160" s="20"/>
      <c r="TST160" s="20"/>
      <c r="TSU160" s="20"/>
      <c r="TSV160" s="20"/>
      <c r="TSW160" s="20"/>
      <c r="TSX160" s="20"/>
      <c r="TSY160" s="20"/>
      <c r="TSZ160" s="20"/>
      <c r="TTA160" s="20"/>
      <c r="TTB160" s="20"/>
      <c r="TTC160" s="20"/>
      <c r="TTD160" s="20"/>
      <c r="TTE160" s="20"/>
      <c r="TTF160" s="20"/>
      <c r="TTG160" s="20"/>
      <c r="TTH160" s="20"/>
      <c r="TTI160" s="20"/>
      <c r="TTJ160" s="20"/>
      <c r="TTK160" s="20"/>
      <c r="TTL160" s="20"/>
      <c r="TTM160" s="20"/>
      <c r="TTN160" s="20"/>
      <c r="TTO160" s="20"/>
      <c r="TTP160" s="20"/>
      <c r="TTQ160" s="20"/>
      <c r="TTR160" s="20"/>
      <c r="TTS160" s="20"/>
      <c r="TTT160" s="20"/>
      <c r="TTU160" s="20"/>
      <c r="TTV160" s="20"/>
      <c r="TTW160" s="20"/>
      <c r="TTX160" s="20"/>
      <c r="TTY160" s="20"/>
      <c r="TTZ160" s="20"/>
      <c r="TUA160" s="20"/>
      <c r="TUB160" s="20"/>
      <c r="TUC160" s="20"/>
      <c r="TUD160" s="20"/>
      <c r="TUE160" s="20"/>
      <c r="TUF160" s="20"/>
      <c r="TUG160" s="20"/>
      <c r="TUH160" s="20"/>
      <c r="TUI160" s="20"/>
      <c r="TUJ160" s="20"/>
      <c r="TUK160" s="20"/>
      <c r="TUL160" s="20"/>
      <c r="TUM160" s="20"/>
      <c r="TUN160" s="20"/>
      <c r="TUO160" s="20"/>
      <c r="TUP160" s="20"/>
      <c r="TUQ160" s="20"/>
      <c r="TUR160" s="20"/>
      <c r="TUS160" s="20"/>
      <c r="TUT160" s="20"/>
      <c r="TUU160" s="20"/>
      <c r="TUV160" s="20"/>
      <c r="TUW160" s="20"/>
      <c r="TUX160" s="20"/>
      <c r="TUY160" s="20"/>
      <c r="TUZ160" s="20"/>
      <c r="TVA160" s="20"/>
      <c r="TVB160" s="20"/>
      <c r="TVC160" s="20"/>
      <c r="TVD160" s="20"/>
      <c r="TVE160" s="20"/>
      <c r="TVF160" s="20"/>
      <c r="TVG160" s="20"/>
      <c r="TVH160" s="20"/>
      <c r="TVI160" s="20"/>
      <c r="TVJ160" s="20"/>
      <c r="TVK160" s="20"/>
      <c r="TVL160" s="20"/>
      <c r="TVM160" s="20"/>
      <c r="TVN160" s="20"/>
      <c r="TVO160" s="20"/>
      <c r="TVP160" s="20"/>
      <c r="TVQ160" s="20"/>
      <c r="TVR160" s="20"/>
      <c r="TVS160" s="20"/>
      <c r="TVT160" s="20"/>
      <c r="TVU160" s="20"/>
      <c r="TVV160" s="20"/>
      <c r="TVW160" s="20"/>
      <c r="TVX160" s="20"/>
      <c r="TVY160" s="20"/>
      <c r="TVZ160" s="20"/>
      <c r="TWA160" s="20"/>
      <c r="TWB160" s="20"/>
      <c r="TWC160" s="20"/>
      <c r="TWD160" s="20"/>
      <c r="TWE160" s="20"/>
      <c r="TWF160" s="20"/>
      <c r="TWG160" s="20"/>
      <c r="TWH160" s="20"/>
      <c r="TWI160" s="20"/>
      <c r="TWJ160" s="20"/>
      <c r="TWK160" s="20"/>
      <c r="TWL160" s="20"/>
      <c r="TWM160" s="20"/>
      <c r="TWN160" s="20"/>
      <c r="TWO160" s="20"/>
      <c r="TWP160" s="20"/>
      <c r="TWQ160" s="20"/>
      <c r="TWR160" s="20"/>
      <c r="TWS160" s="20"/>
      <c r="TWT160" s="20"/>
      <c r="TWU160" s="20"/>
      <c r="TWV160" s="20"/>
      <c r="TWW160" s="20"/>
      <c r="TWX160" s="20"/>
      <c r="TWY160" s="20"/>
      <c r="TWZ160" s="20"/>
      <c r="TXA160" s="20"/>
      <c r="TXB160" s="20"/>
      <c r="TXC160" s="20"/>
      <c r="TXD160" s="20"/>
      <c r="TXE160" s="20"/>
      <c r="TXF160" s="20"/>
      <c r="TXG160" s="20"/>
      <c r="TXH160" s="20"/>
      <c r="TXI160" s="20"/>
      <c r="TXJ160" s="20"/>
      <c r="TXK160" s="20"/>
      <c r="TXL160" s="20"/>
      <c r="TXM160" s="20"/>
      <c r="TXN160" s="20"/>
      <c r="TXO160" s="20"/>
      <c r="TXP160" s="20"/>
      <c r="TXQ160" s="20"/>
      <c r="TXR160" s="20"/>
      <c r="TXS160" s="20"/>
      <c r="TXT160" s="20"/>
      <c r="TXU160" s="20"/>
      <c r="TXV160" s="20"/>
      <c r="TXW160" s="20"/>
      <c r="TXX160" s="20"/>
      <c r="TXY160" s="20"/>
      <c r="TXZ160" s="20"/>
      <c r="TYA160" s="20"/>
      <c r="TYB160" s="20"/>
      <c r="TYC160" s="20"/>
      <c r="TYD160" s="20"/>
      <c r="TYE160" s="20"/>
      <c r="TYF160" s="20"/>
      <c r="TYG160" s="20"/>
      <c r="TYH160" s="20"/>
      <c r="TYI160" s="20"/>
      <c r="TYJ160" s="20"/>
      <c r="TYK160" s="20"/>
      <c r="TYL160" s="20"/>
      <c r="TYM160" s="20"/>
      <c r="TYN160" s="20"/>
      <c r="TYO160" s="20"/>
      <c r="TYP160" s="20"/>
      <c r="TYQ160" s="20"/>
      <c r="TYR160" s="20"/>
      <c r="TYS160" s="20"/>
      <c r="TYT160" s="20"/>
      <c r="TYU160" s="20"/>
      <c r="TYV160" s="20"/>
      <c r="TYW160" s="20"/>
      <c r="TYX160" s="20"/>
      <c r="TYY160" s="20"/>
      <c r="TYZ160" s="20"/>
      <c r="TZA160" s="20"/>
      <c r="TZB160" s="20"/>
      <c r="TZC160" s="20"/>
      <c r="TZD160" s="20"/>
      <c r="TZE160" s="20"/>
      <c r="TZF160" s="20"/>
      <c r="TZG160" s="20"/>
      <c r="TZH160" s="20"/>
      <c r="TZI160" s="20"/>
      <c r="TZJ160" s="20"/>
      <c r="TZK160" s="20"/>
      <c r="TZL160" s="20"/>
      <c r="TZM160" s="20"/>
      <c r="TZN160" s="20"/>
      <c r="TZO160" s="20"/>
      <c r="TZP160" s="20"/>
      <c r="TZQ160" s="20"/>
      <c r="TZR160" s="20"/>
      <c r="TZS160" s="20"/>
      <c r="TZT160" s="20"/>
      <c r="TZU160" s="20"/>
      <c r="TZV160" s="20"/>
      <c r="TZW160" s="20"/>
      <c r="TZX160" s="20"/>
      <c r="TZY160" s="20"/>
      <c r="TZZ160" s="20"/>
      <c r="UAA160" s="20"/>
      <c r="UAB160" s="20"/>
      <c r="UAC160" s="20"/>
      <c r="UAD160" s="20"/>
      <c r="UAE160" s="20"/>
      <c r="UAF160" s="20"/>
      <c r="UAG160" s="20"/>
      <c r="UAH160" s="20"/>
      <c r="UAI160" s="20"/>
      <c r="UAJ160" s="20"/>
      <c r="UAK160" s="20"/>
      <c r="UAL160" s="20"/>
      <c r="UAM160" s="20"/>
      <c r="UAN160" s="20"/>
      <c r="UAO160" s="20"/>
      <c r="UAP160" s="20"/>
      <c r="UAQ160" s="20"/>
      <c r="UAR160" s="20"/>
      <c r="UAS160" s="20"/>
      <c r="UAT160" s="20"/>
      <c r="UAU160" s="20"/>
      <c r="UAV160" s="20"/>
      <c r="UAW160" s="20"/>
      <c r="UAX160" s="20"/>
      <c r="UAY160" s="20"/>
      <c r="UAZ160" s="20"/>
      <c r="UBA160" s="20"/>
      <c r="UBB160" s="20"/>
      <c r="UBC160" s="20"/>
      <c r="UBD160" s="20"/>
      <c r="UBE160" s="20"/>
      <c r="UBF160" s="20"/>
      <c r="UBG160" s="20"/>
      <c r="UBH160" s="20"/>
      <c r="UBI160" s="20"/>
      <c r="UBJ160" s="20"/>
      <c r="UBK160" s="20"/>
      <c r="UBL160" s="20"/>
      <c r="UBM160" s="20"/>
      <c r="UBN160" s="20"/>
      <c r="UBO160" s="20"/>
      <c r="UBP160" s="20"/>
      <c r="UBQ160" s="20"/>
      <c r="UBR160" s="20"/>
      <c r="UBS160" s="20"/>
      <c r="UBT160" s="20"/>
      <c r="UBU160" s="20"/>
      <c r="UBV160" s="20"/>
      <c r="UBW160" s="20"/>
      <c r="UBX160" s="20"/>
      <c r="UBY160" s="20"/>
      <c r="UBZ160" s="20"/>
      <c r="UCA160" s="20"/>
      <c r="UCB160" s="20"/>
      <c r="UCC160" s="20"/>
      <c r="UCD160" s="20"/>
      <c r="UCE160" s="20"/>
      <c r="UCF160" s="20"/>
      <c r="UCG160" s="20"/>
      <c r="UCH160" s="20"/>
      <c r="UCI160" s="20"/>
      <c r="UCJ160" s="20"/>
      <c r="UCK160" s="20"/>
      <c r="UCL160" s="20"/>
      <c r="UCM160" s="20"/>
      <c r="UCN160" s="20"/>
      <c r="UCO160" s="20"/>
      <c r="UCP160" s="20"/>
      <c r="UCQ160" s="20"/>
      <c r="UCR160" s="20"/>
      <c r="UCS160" s="20"/>
      <c r="UCT160" s="20"/>
      <c r="UCU160" s="20"/>
      <c r="UCV160" s="20"/>
      <c r="UCW160" s="20"/>
      <c r="UCX160" s="20"/>
      <c r="UCY160" s="20"/>
      <c r="UCZ160" s="20"/>
      <c r="UDA160" s="20"/>
      <c r="UDB160" s="20"/>
      <c r="UDC160" s="20"/>
      <c r="UDD160" s="20"/>
      <c r="UDE160" s="20"/>
      <c r="UDF160" s="20"/>
      <c r="UDG160" s="20"/>
      <c r="UDH160" s="20"/>
      <c r="UDI160" s="20"/>
      <c r="UDJ160" s="20"/>
      <c r="UDK160" s="20"/>
      <c r="UDL160" s="20"/>
      <c r="UDM160" s="20"/>
      <c r="UDN160" s="20"/>
      <c r="UDO160" s="20"/>
      <c r="UDP160" s="20"/>
      <c r="UDQ160" s="20"/>
      <c r="UDR160" s="20"/>
      <c r="UDS160" s="20"/>
      <c r="UDT160" s="20"/>
      <c r="UDU160" s="20"/>
      <c r="UDV160" s="20"/>
      <c r="UDW160" s="20"/>
      <c r="UDX160" s="20"/>
      <c r="UDY160" s="20"/>
      <c r="UDZ160" s="20"/>
      <c r="UEA160" s="20"/>
      <c r="UEB160" s="20"/>
      <c r="UEC160" s="20"/>
      <c r="UED160" s="20"/>
      <c r="UEE160" s="20"/>
      <c r="UEF160" s="20"/>
      <c r="UEG160" s="20"/>
      <c r="UEH160" s="20"/>
      <c r="UEI160" s="20"/>
      <c r="UEJ160" s="20"/>
      <c r="UEK160" s="20"/>
      <c r="UEL160" s="20"/>
      <c r="UEM160" s="20"/>
      <c r="UEN160" s="20"/>
      <c r="UEO160" s="20"/>
      <c r="UEP160" s="20"/>
      <c r="UEQ160" s="20"/>
      <c r="UER160" s="20"/>
      <c r="UES160" s="20"/>
      <c r="UET160" s="20"/>
      <c r="UEU160" s="20"/>
      <c r="UEV160" s="20"/>
      <c r="UEW160" s="20"/>
      <c r="UEX160" s="20"/>
      <c r="UEY160" s="20"/>
      <c r="UEZ160" s="20"/>
      <c r="UFA160" s="20"/>
      <c r="UFB160" s="20"/>
      <c r="UFC160" s="20"/>
      <c r="UFD160" s="20"/>
      <c r="UFE160" s="20"/>
      <c r="UFF160" s="20"/>
      <c r="UFG160" s="20"/>
      <c r="UFH160" s="20"/>
      <c r="UFI160" s="20"/>
      <c r="UFJ160" s="20"/>
      <c r="UFK160" s="20"/>
      <c r="UFL160" s="20"/>
      <c r="UFM160" s="20"/>
      <c r="UFN160" s="20"/>
      <c r="UFO160" s="20"/>
      <c r="UFP160" s="20"/>
      <c r="UFQ160" s="20"/>
      <c r="UFR160" s="20"/>
      <c r="UFS160" s="20"/>
      <c r="UFT160" s="20"/>
      <c r="UFU160" s="20"/>
      <c r="UFV160" s="20"/>
      <c r="UFW160" s="20"/>
      <c r="UFX160" s="20"/>
      <c r="UFY160" s="20"/>
      <c r="UFZ160" s="20"/>
      <c r="UGA160" s="20"/>
      <c r="UGB160" s="20"/>
      <c r="UGC160" s="20"/>
      <c r="UGD160" s="20"/>
      <c r="UGE160" s="20"/>
      <c r="UGF160" s="20"/>
      <c r="UGG160" s="20"/>
      <c r="UGH160" s="20"/>
      <c r="UGI160" s="20"/>
      <c r="UGJ160" s="20"/>
      <c r="UGK160" s="20"/>
      <c r="UGL160" s="20"/>
      <c r="UGM160" s="20"/>
      <c r="UGN160" s="20"/>
      <c r="UGO160" s="20"/>
      <c r="UGP160" s="20"/>
      <c r="UGQ160" s="20"/>
      <c r="UGR160" s="20"/>
      <c r="UGS160" s="20"/>
      <c r="UGT160" s="20"/>
      <c r="UGU160" s="20"/>
      <c r="UGV160" s="20"/>
      <c r="UGW160" s="20"/>
      <c r="UGX160" s="20"/>
      <c r="UGY160" s="20"/>
      <c r="UGZ160" s="20"/>
      <c r="UHA160" s="20"/>
      <c r="UHB160" s="20"/>
      <c r="UHC160" s="20"/>
      <c r="UHD160" s="20"/>
      <c r="UHE160" s="20"/>
      <c r="UHF160" s="20"/>
      <c r="UHG160" s="20"/>
      <c r="UHH160" s="20"/>
      <c r="UHI160" s="20"/>
      <c r="UHJ160" s="20"/>
      <c r="UHK160" s="20"/>
      <c r="UHL160" s="20"/>
      <c r="UHM160" s="20"/>
      <c r="UHN160" s="20"/>
      <c r="UHO160" s="20"/>
      <c r="UHP160" s="20"/>
      <c r="UHQ160" s="20"/>
      <c r="UHR160" s="20"/>
      <c r="UHS160" s="20"/>
      <c r="UHT160" s="20"/>
      <c r="UHU160" s="20"/>
      <c r="UHV160" s="20"/>
      <c r="UHW160" s="20"/>
      <c r="UHX160" s="20"/>
      <c r="UHY160" s="20"/>
      <c r="UHZ160" s="20"/>
      <c r="UIA160" s="20"/>
      <c r="UIB160" s="20"/>
      <c r="UIC160" s="20"/>
      <c r="UID160" s="20"/>
      <c r="UIE160" s="20"/>
      <c r="UIF160" s="20"/>
      <c r="UIG160" s="20"/>
      <c r="UIH160" s="20"/>
      <c r="UII160" s="20"/>
      <c r="UIJ160" s="20"/>
      <c r="UIK160" s="20"/>
      <c r="UIL160" s="20"/>
      <c r="UIM160" s="20"/>
      <c r="UIN160" s="20"/>
      <c r="UIO160" s="20"/>
      <c r="UIP160" s="20"/>
      <c r="UIQ160" s="20"/>
      <c r="UIR160" s="20"/>
      <c r="UIS160" s="20"/>
      <c r="UIT160" s="20"/>
      <c r="UIU160" s="20"/>
      <c r="UIV160" s="20"/>
      <c r="UIW160" s="20"/>
      <c r="UIX160" s="20"/>
      <c r="UIY160" s="20"/>
      <c r="UIZ160" s="20"/>
      <c r="UJA160" s="20"/>
      <c r="UJB160" s="20"/>
      <c r="UJC160" s="20"/>
      <c r="UJD160" s="20"/>
      <c r="UJE160" s="20"/>
      <c r="UJF160" s="20"/>
      <c r="UJG160" s="20"/>
      <c r="UJH160" s="20"/>
      <c r="UJI160" s="20"/>
      <c r="UJJ160" s="20"/>
      <c r="UJK160" s="20"/>
      <c r="UJL160" s="20"/>
      <c r="UJM160" s="20"/>
      <c r="UJN160" s="20"/>
      <c r="UJO160" s="20"/>
      <c r="UJP160" s="20"/>
      <c r="UJQ160" s="20"/>
      <c r="UJR160" s="20"/>
      <c r="UJS160" s="20"/>
      <c r="UJT160" s="20"/>
      <c r="UJU160" s="20"/>
      <c r="UJV160" s="20"/>
      <c r="UJW160" s="20"/>
      <c r="UJX160" s="20"/>
      <c r="UJY160" s="20"/>
      <c r="UJZ160" s="20"/>
      <c r="UKA160" s="20"/>
      <c r="UKB160" s="20"/>
      <c r="UKC160" s="20"/>
      <c r="UKD160" s="20"/>
      <c r="UKE160" s="20"/>
      <c r="UKF160" s="20"/>
      <c r="UKG160" s="20"/>
      <c r="UKH160" s="20"/>
      <c r="UKI160" s="20"/>
      <c r="UKJ160" s="20"/>
      <c r="UKK160" s="20"/>
      <c r="UKL160" s="20"/>
      <c r="UKM160" s="20"/>
      <c r="UKN160" s="20"/>
      <c r="UKO160" s="20"/>
      <c r="UKP160" s="20"/>
      <c r="UKQ160" s="20"/>
      <c r="UKR160" s="20"/>
      <c r="UKS160" s="20"/>
      <c r="UKT160" s="20"/>
      <c r="UKU160" s="20"/>
      <c r="UKV160" s="20"/>
      <c r="UKW160" s="20"/>
      <c r="UKX160" s="20"/>
      <c r="UKY160" s="20"/>
      <c r="UKZ160" s="20"/>
      <c r="ULA160" s="20"/>
      <c r="ULB160" s="20"/>
      <c r="ULC160" s="20"/>
      <c r="ULD160" s="20"/>
      <c r="ULE160" s="20"/>
      <c r="ULF160" s="20"/>
      <c r="ULG160" s="20"/>
      <c r="ULH160" s="20"/>
      <c r="ULI160" s="20"/>
      <c r="ULJ160" s="20"/>
      <c r="ULK160" s="20"/>
      <c r="ULL160" s="20"/>
      <c r="ULM160" s="20"/>
      <c r="ULN160" s="20"/>
      <c r="ULO160" s="20"/>
      <c r="ULP160" s="20"/>
      <c r="ULQ160" s="20"/>
      <c r="ULR160" s="20"/>
      <c r="ULS160" s="20"/>
      <c r="ULT160" s="20"/>
      <c r="ULU160" s="20"/>
      <c r="ULV160" s="20"/>
      <c r="ULW160" s="20"/>
      <c r="ULX160" s="20"/>
      <c r="ULY160" s="20"/>
      <c r="ULZ160" s="20"/>
      <c r="UMA160" s="20"/>
      <c r="UMB160" s="20"/>
      <c r="UMC160" s="20"/>
      <c r="UMD160" s="20"/>
      <c r="UME160" s="20"/>
      <c r="UMF160" s="20"/>
      <c r="UMG160" s="20"/>
      <c r="UMH160" s="20"/>
      <c r="UMI160" s="20"/>
      <c r="UMJ160" s="20"/>
      <c r="UMK160" s="20"/>
      <c r="UML160" s="20"/>
      <c r="UMM160" s="20"/>
      <c r="UMN160" s="20"/>
      <c r="UMO160" s="20"/>
      <c r="UMP160" s="20"/>
      <c r="UMQ160" s="20"/>
      <c r="UMR160" s="20"/>
      <c r="UMS160" s="20"/>
      <c r="UMT160" s="20"/>
      <c r="UMU160" s="20"/>
      <c r="UMV160" s="20"/>
      <c r="UMW160" s="20"/>
      <c r="UMX160" s="20"/>
      <c r="UMY160" s="20"/>
      <c r="UMZ160" s="20"/>
      <c r="UNA160" s="20"/>
      <c r="UNB160" s="20"/>
      <c r="UNC160" s="20"/>
      <c r="UND160" s="20"/>
      <c r="UNE160" s="20"/>
      <c r="UNF160" s="20"/>
      <c r="UNG160" s="20"/>
      <c r="UNH160" s="20"/>
      <c r="UNI160" s="20"/>
      <c r="UNJ160" s="20"/>
      <c r="UNK160" s="20"/>
      <c r="UNL160" s="20"/>
      <c r="UNM160" s="20"/>
      <c r="UNN160" s="20"/>
      <c r="UNO160" s="20"/>
      <c r="UNP160" s="20"/>
      <c r="UNQ160" s="20"/>
      <c r="UNR160" s="20"/>
      <c r="UNS160" s="20"/>
      <c r="UNT160" s="20"/>
      <c r="UNU160" s="20"/>
      <c r="UNV160" s="20"/>
      <c r="UNW160" s="20"/>
      <c r="UNX160" s="20"/>
      <c r="UNY160" s="20"/>
      <c r="UNZ160" s="20"/>
      <c r="UOA160" s="20"/>
      <c r="UOB160" s="20"/>
      <c r="UOC160" s="20"/>
      <c r="UOD160" s="20"/>
      <c r="UOE160" s="20"/>
      <c r="UOF160" s="20"/>
      <c r="UOG160" s="20"/>
      <c r="UOH160" s="20"/>
      <c r="UOI160" s="20"/>
      <c r="UOJ160" s="20"/>
      <c r="UOK160" s="20"/>
      <c r="UOL160" s="20"/>
      <c r="UOM160" s="20"/>
      <c r="UON160" s="20"/>
      <c r="UOO160" s="20"/>
      <c r="UOP160" s="20"/>
      <c r="UOQ160" s="20"/>
      <c r="UOR160" s="20"/>
      <c r="UOS160" s="20"/>
      <c r="UOT160" s="20"/>
      <c r="UOU160" s="20"/>
      <c r="UOV160" s="20"/>
      <c r="UOW160" s="20"/>
      <c r="UOX160" s="20"/>
      <c r="UOY160" s="20"/>
      <c r="UOZ160" s="20"/>
      <c r="UPA160" s="20"/>
      <c r="UPB160" s="20"/>
      <c r="UPC160" s="20"/>
      <c r="UPD160" s="20"/>
      <c r="UPE160" s="20"/>
      <c r="UPF160" s="20"/>
      <c r="UPG160" s="20"/>
      <c r="UPH160" s="20"/>
      <c r="UPI160" s="20"/>
      <c r="UPJ160" s="20"/>
      <c r="UPK160" s="20"/>
      <c r="UPL160" s="20"/>
      <c r="UPM160" s="20"/>
      <c r="UPN160" s="20"/>
      <c r="UPO160" s="20"/>
      <c r="UPP160" s="20"/>
      <c r="UPQ160" s="20"/>
      <c r="UPR160" s="20"/>
      <c r="UPS160" s="20"/>
      <c r="UPT160" s="20"/>
      <c r="UPU160" s="20"/>
      <c r="UPV160" s="20"/>
      <c r="UPW160" s="20"/>
      <c r="UPX160" s="20"/>
      <c r="UPY160" s="20"/>
      <c r="UPZ160" s="20"/>
      <c r="UQA160" s="20"/>
      <c r="UQB160" s="20"/>
      <c r="UQC160" s="20"/>
      <c r="UQD160" s="20"/>
      <c r="UQE160" s="20"/>
      <c r="UQF160" s="20"/>
      <c r="UQG160" s="20"/>
      <c r="UQH160" s="20"/>
      <c r="UQI160" s="20"/>
      <c r="UQJ160" s="20"/>
      <c r="UQK160" s="20"/>
      <c r="UQL160" s="20"/>
      <c r="UQM160" s="20"/>
      <c r="UQN160" s="20"/>
      <c r="UQO160" s="20"/>
      <c r="UQP160" s="20"/>
      <c r="UQQ160" s="20"/>
      <c r="UQR160" s="20"/>
      <c r="UQS160" s="20"/>
      <c r="UQT160" s="20"/>
      <c r="UQU160" s="20"/>
      <c r="UQV160" s="20"/>
      <c r="UQW160" s="20"/>
      <c r="UQX160" s="20"/>
      <c r="UQY160" s="20"/>
      <c r="UQZ160" s="20"/>
      <c r="URA160" s="20"/>
      <c r="URB160" s="20"/>
      <c r="URC160" s="20"/>
      <c r="URD160" s="20"/>
      <c r="URE160" s="20"/>
      <c r="URF160" s="20"/>
      <c r="URG160" s="20"/>
      <c r="URH160" s="20"/>
      <c r="URI160" s="20"/>
      <c r="URJ160" s="20"/>
      <c r="URK160" s="20"/>
      <c r="URL160" s="20"/>
      <c r="URM160" s="20"/>
      <c r="URN160" s="20"/>
      <c r="URO160" s="20"/>
      <c r="URP160" s="20"/>
      <c r="URQ160" s="20"/>
      <c r="URR160" s="20"/>
      <c r="URS160" s="20"/>
      <c r="URT160" s="20"/>
      <c r="URU160" s="20"/>
      <c r="URV160" s="20"/>
      <c r="URW160" s="20"/>
      <c r="URX160" s="20"/>
      <c r="URY160" s="20"/>
      <c r="URZ160" s="20"/>
      <c r="USA160" s="20"/>
      <c r="USB160" s="20"/>
      <c r="USC160" s="20"/>
      <c r="USD160" s="20"/>
      <c r="USE160" s="20"/>
      <c r="USF160" s="20"/>
      <c r="USG160" s="20"/>
      <c r="USH160" s="20"/>
      <c r="USI160" s="20"/>
      <c r="USJ160" s="20"/>
      <c r="USK160" s="20"/>
      <c r="USL160" s="20"/>
      <c r="USM160" s="20"/>
      <c r="USN160" s="20"/>
      <c r="USO160" s="20"/>
      <c r="USP160" s="20"/>
      <c r="USQ160" s="20"/>
      <c r="USR160" s="20"/>
      <c r="USS160" s="20"/>
      <c r="UST160" s="20"/>
      <c r="USU160" s="20"/>
      <c r="USV160" s="20"/>
      <c r="USW160" s="20"/>
      <c r="USX160" s="20"/>
      <c r="USY160" s="20"/>
      <c r="USZ160" s="20"/>
      <c r="UTA160" s="20"/>
      <c r="UTB160" s="20"/>
      <c r="UTC160" s="20"/>
      <c r="UTD160" s="20"/>
      <c r="UTE160" s="20"/>
      <c r="UTF160" s="20"/>
      <c r="UTG160" s="20"/>
      <c r="UTH160" s="20"/>
      <c r="UTI160" s="20"/>
      <c r="UTJ160" s="20"/>
      <c r="UTK160" s="20"/>
      <c r="UTL160" s="20"/>
      <c r="UTM160" s="20"/>
      <c r="UTN160" s="20"/>
      <c r="UTO160" s="20"/>
      <c r="UTP160" s="20"/>
      <c r="UTQ160" s="20"/>
      <c r="UTR160" s="20"/>
      <c r="UTS160" s="20"/>
      <c r="UTT160" s="20"/>
      <c r="UTU160" s="20"/>
      <c r="UTV160" s="20"/>
      <c r="UTW160" s="20"/>
      <c r="UTX160" s="20"/>
      <c r="UTY160" s="20"/>
      <c r="UTZ160" s="20"/>
      <c r="UUA160" s="20"/>
      <c r="UUB160" s="20"/>
      <c r="UUC160" s="20"/>
      <c r="UUD160" s="20"/>
      <c r="UUE160" s="20"/>
      <c r="UUF160" s="20"/>
      <c r="UUG160" s="20"/>
      <c r="UUH160" s="20"/>
      <c r="UUI160" s="20"/>
      <c r="UUJ160" s="20"/>
      <c r="UUK160" s="20"/>
      <c r="UUL160" s="20"/>
      <c r="UUM160" s="20"/>
      <c r="UUN160" s="20"/>
      <c r="UUO160" s="20"/>
      <c r="UUP160" s="20"/>
      <c r="UUQ160" s="20"/>
      <c r="UUR160" s="20"/>
      <c r="UUS160" s="20"/>
      <c r="UUT160" s="20"/>
      <c r="UUU160" s="20"/>
      <c r="UUV160" s="20"/>
      <c r="UUW160" s="20"/>
      <c r="UUX160" s="20"/>
      <c r="UUY160" s="20"/>
      <c r="UUZ160" s="20"/>
      <c r="UVA160" s="20"/>
      <c r="UVB160" s="20"/>
      <c r="UVC160" s="20"/>
      <c r="UVD160" s="20"/>
      <c r="UVE160" s="20"/>
      <c r="UVF160" s="20"/>
      <c r="UVG160" s="20"/>
      <c r="UVH160" s="20"/>
      <c r="UVI160" s="20"/>
      <c r="UVJ160" s="20"/>
      <c r="UVK160" s="20"/>
      <c r="UVL160" s="20"/>
      <c r="UVM160" s="20"/>
      <c r="UVN160" s="20"/>
      <c r="UVO160" s="20"/>
      <c r="UVP160" s="20"/>
      <c r="UVQ160" s="20"/>
      <c r="UVR160" s="20"/>
      <c r="UVS160" s="20"/>
      <c r="UVT160" s="20"/>
      <c r="UVU160" s="20"/>
      <c r="UVV160" s="20"/>
      <c r="UVW160" s="20"/>
      <c r="UVX160" s="20"/>
      <c r="UVY160" s="20"/>
      <c r="UVZ160" s="20"/>
      <c r="UWA160" s="20"/>
      <c r="UWB160" s="20"/>
      <c r="UWC160" s="20"/>
      <c r="UWD160" s="20"/>
      <c r="UWE160" s="20"/>
      <c r="UWF160" s="20"/>
      <c r="UWG160" s="20"/>
      <c r="UWH160" s="20"/>
      <c r="UWI160" s="20"/>
      <c r="UWJ160" s="20"/>
      <c r="UWK160" s="20"/>
      <c r="UWL160" s="20"/>
      <c r="UWM160" s="20"/>
      <c r="UWN160" s="20"/>
      <c r="UWO160" s="20"/>
      <c r="UWP160" s="20"/>
      <c r="UWQ160" s="20"/>
      <c r="UWR160" s="20"/>
      <c r="UWS160" s="20"/>
      <c r="UWT160" s="20"/>
      <c r="UWU160" s="20"/>
      <c r="UWV160" s="20"/>
      <c r="UWW160" s="20"/>
      <c r="UWX160" s="20"/>
      <c r="UWY160" s="20"/>
      <c r="UWZ160" s="20"/>
      <c r="UXA160" s="20"/>
      <c r="UXB160" s="20"/>
      <c r="UXC160" s="20"/>
      <c r="UXD160" s="20"/>
      <c r="UXE160" s="20"/>
      <c r="UXF160" s="20"/>
      <c r="UXG160" s="20"/>
      <c r="UXH160" s="20"/>
      <c r="UXI160" s="20"/>
      <c r="UXJ160" s="20"/>
      <c r="UXK160" s="20"/>
      <c r="UXL160" s="20"/>
      <c r="UXM160" s="20"/>
      <c r="UXN160" s="20"/>
      <c r="UXO160" s="20"/>
      <c r="UXP160" s="20"/>
      <c r="UXQ160" s="20"/>
      <c r="UXR160" s="20"/>
      <c r="UXS160" s="20"/>
      <c r="UXT160" s="20"/>
      <c r="UXU160" s="20"/>
      <c r="UXV160" s="20"/>
      <c r="UXW160" s="20"/>
      <c r="UXX160" s="20"/>
      <c r="UXY160" s="20"/>
      <c r="UXZ160" s="20"/>
      <c r="UYA160" s="20"/>
      <c r="UYB160" s="20"/>
      <c r="UYC160" s="20"/>
      <c r="UYD160" s="20"/>
      <c r="UYE160" s="20"/>
      <c r="UYF160" s="20"/>
      <c r="UYG160" s="20"/>
      <c r="UYH160" s="20"/>
      <c r="UYI160" s="20"/>
      <c r="UYJ160" s="20"/>
      <c r="UYK160" s="20"/>
      <c r="UYL160" s="20"/>
      <c r="UYM160" s="20"/>
      <c r="UYN160" s="20"/>
      <c r="UYO160" s="20"/>
      <c r="UYP160" s="20"/>
      <c r="UYQ160" s="20"/>
      <c r="UYR160" s="20"/>
      <c r="UYS160" s="20"/>
      <c r="UYT160" s="20"/>
      <c r="UYU160" s="20"/>
      <c r="UYV160" s="20"/>
      <c r="UYW160" s="20"/>
      <c r="UYX160" s="20"/>
      <c r="UYY160" s="20"/>
      <c r="UYZ160" s="20"/>
      <c r="UZA160" s="20"/>
      <c r="UZB160" s="20"/>
      <c r="UZC160" s="20"/>
      <c r="UZD160" s="20"/>
      <c r="UZE160" s="20"/>
      <c r="UZF160" s="20"/>
      <c r="UZG160" s="20"/>
      <c r="UZH160" s="20"/>
      <c r="UZI160" s="20"/>
      <c r="UZJ160" s="20"/>
      <c r="UZK160" s="20"/>
      <c r="UZL160" s="20"/>
      <c r="UZM160" s="20"/>
      <c r="UZN160" s="20"/>
      <c r="UZO160" s="20"/>
      <c r="UZP160" s="20"/>
      <c r="UZQ160" s="20"/>
      <c r="UZR160" s="20"/>
      <c r="UZS160" s="20"/>
      <c r="UZT160" s="20"/>
      <c r="UZU160" s="20"/>
      <c r="UZV160" s="20"/>
      <c r="UZW160" s="20"/>
      <c r="UZX160" s="20"/>
      <c r="UZY160" s="20"/>
      <c r="UZZ160" s="20"/>
      <c r="VAA160" s="20"/>
      <c r="VAB160" s="20"/>
      <c r="VAC160" s="20"/>
      <c r="VAD160" s="20"/>
      <c r="VAE160" s="20"/>
      <c r="VAF160" s="20"/>
      <c r="VAG160" s="20"/>
      <c r="VAH160" s="20"/>
      <c r="VAI160" s="20"/>
      <c r="VAJ160" s="20"/>
      <c r="VAK160" s="20"/>
      <c r="VAL160" s="20"/>
      <c r="VAM160" s="20"/>
      <c r="VAN160" s="20"/>
      <c r="VAO160" s="20"/>
      <c r="VAP160" s="20"/>
      <c r="VAQ160" s="20"/>
      <c r="VAR160" s="20"/>
      <c r="VAS160" s="20"/>
      <c r="VAT160" s="20"/>
      <c r="VAU160" s="20"/>
      <c r="VAV160" s="20"/>
      <c r="VAW160" s="20"/>
      <c r="VAX160" s="20"/>
      <c r="VAY160" s="20"/>
      <c r="VAZ160" s="20"/>
      <c r="VBA160" s="20"/>
      <c r="VBB160" s="20"/>
      <c r="VBC160" s="20"/>
      <c r="VBD160" s="20"/>
      <c r="VBE160" s="20"/>
      <c r="VBF160" s="20"/>
      <c r="VBG160" s="20"/>
      <c r="VBH160" s="20"/>
      <c r="VBI160" s="20"/>
      <c r="VBJ160" s="20"/>
      <c r="VBK160" s="20"/>
      <c r="VBL160" s="20"/>
      <c r="VBM160" s="20"/>
      <c r="VBN160" s="20"/>
      <c r="VBO160" s="20"/>
      <c r="VBP160" s="20"/>
      <c r="VBQ160" s="20"/>
      <c r="VBR160" s="20"/>
      <c r="VBS160" s="20"/>
      <c r="VBT160" s="20"/>
      <c r="VBU160" s="20"/>
      <c r="VBV160" s="20"/>
      <c r="VBW160" s="20"/>
      <c r="VBX160" s="20"/>
      <c r="VBY160" s="20"/>
      <c r="VBZ160" s="20"/>
      <c r="VCA160" s="20"/>
      <c r="VCB160" s="20"/>
      <c r="VCC160" s="20"/>
      <c r="VCD160" s="20"/>
      <c r="VCE160" s="20"/>
      <c r="VCF160" s="20"/>
      <c r="VCG160" s="20"/>
      <c r="VCH160" s="20"/>
      <c r="VCI160" s="20"/>
      <c r="VCJ160" s="20"/>
      <c r="VCK160" s="20"/>
      <c r="VCL160" s="20"/>
      <c r="VCM160" s="20"/>
      <c r="VCN160" s="20"/>
      <c r="VCO160" s="20"/>
      <c r="VCP160" s="20"/>
      <c r="VCQ160" s="20"/>
      <c r="VCR160" s="20"/>
      <c r="VCS160" s="20"/>
      <c r="VCT160" s="20"/>
      <c r="VCU160" s="20"/>
      <c r="VCV160" s="20"/>
      <c r="VCW160" s="20"/>
      <c r="VCX160" s="20"/>
      <c r="VCY160" s="20"/>
      <c r="VCZ160" s="20"/>
      <c r="VDA160" s="20"/>
      <c r="VDB160" s="20"/>
      <c r="VDC160" s="20"/>
      <c r="VDD160" s="20"/>
      <c r="VDE160" s="20"/>
      <c r="VDF160" s="20"/>
      <c r="VDG160" s="20"/>
      <c r="VDH160" s="20"/>
      <c r="VDI160" s="20"/>
      <c r="VDJ160" s="20"/>
      <c r="VDK160" s="20"/>
      <c r="VDL160" s="20"/>
      <c r="VDM160" s="20"/>
      <c r="VDN160" s="20"/>
      <c r="VDO160" s="20"/>
      <c r="VDP160" s="20"/>
      <c r="VDQ160" s="20"/>
      <c r="VDR160" s="20"/>
      <c r="VDS160" s="20"/>
      <c r="VDT160" s="20"/>
      <c r="VDU160" s="20"/>
      <c r="VDV160" s="20"/>
      <c r="VDW160" s="20"/>
      <c r="VDX160" s="20"/>
      <c r="VDY160" s="20"/>
      <c r="VDZ160" s="20"/>
      <c r="VEA160" s="20"/>
      <c r="VEB160" s="20"/>
      <c r="VEC160" s="20"/>
      <c r="VED160" s="20"/>
      <c r="VEE160" s="20"/>
      <c r="VEF160" s="20"/>
      <c r="VEG160" s="20"/>
      <c r="VEH160" s="20"/>
      <c r="VEI160" s="20"/>
      <c r="VEJ160" s="20"/>
      <c r="VEK160" s="20"/>
      <c r="VEL160" s="20"/>
      <c r="VEM160" s="20"/>
      <c r="VEN160" s="20"/>
      <c r="VEO160" s="20"/>
      <c r="VEP160" s="20"/>
      <c r="VEQ160" s="20"/>
      <c r="VER160" s="20"/>
      <c r="VES160" s="20"/>
      <c r="VET160" s="20"/>
      <c r="VEU160" s="20"/>
      <c r="VEV160" s="20"/>
      <c r="VEW160" s="20"/>
      <c r="VEX160" s="20"/>
      <c r="VEY160" s="20"/>
      <c r="VEZ160" s="20"/>
      <c r="VFA160" s="20"/>
      <c r="VFB160" s="20"/>
      <c r="VFC160" s="20"/>
      <c r="VFD160" s="20"/>
      <c r="VFE160" s="20"/>
      <c r="VFF160" s="20"/>
      <c r="VFG160" s="20"/>
      <c r="VFH160" s="20"/>
      <c r="VFI160" s="20"/>
      <c r="VFJ160" s="20"/>
      <c r="VFK160" s="20"/>
      <c r="VFL160" s="20"/>
      <c r="VFM160" s="20"/>
      <c r="VFN160" s="20"/>
      <c r="VFO160" s="20"/>
      <c r="VFP160" s="20"/>
      <c r="VFQ160" s="20"/>
      <c r="VFR160" s="20"/>
      <c r="VFS160" s="20"/>
      <c r="VFT160" s="20"/>
      <c r="VFU160" s="20"/>
      <c r="VFV160" s="20"/>
      <c r="VFW160" s="20"/>
      <c r="VFX160" s="20"/>
      <c r="VFY160" s="20"/>
      <c r="VFZ160" s="20"/>
      <c r="VGA160" s="20"/>
      <c r="VGB160" s="20"/>
      <c r="VGC160" s="20"/>
      <c r="VGD160" s="20"/>
      <c r="VGE160" s="20"/>
      <c r="VGF160" s="20"/>
      <c r="VGG160" s="20"/>
      <c r="VGH160" s="20"/>
      <c r="VGI160" s="20"/>
      <c r="VGJ160" s="20"/>
      <c r="VGK160" s="20"/>
      <c r="VGL160" s="20"/>
      <c r="VGM160" s="20"/>
      <c r="VGN160" s="20"/>
      <c r="VGO160" s="20"/>
      <c r="VGP160" s="20"/>
      <c r="VGQ160" s="20"/>
      <c r="VGR160" s="20"/>
      <c r="VGS160" s="20"/>
      <c r="VGT160" s="20"/>
      <c r="VGU160" s="20"/>
      <c r="VGV160" s="20"/>
      <c r="VGW160" s="20"/>
      <c r="VGX160" s="20"/>
      <c r="VGY160" s="20"/>
      <c r="VGZ160" s="20"/>
      <c r="VHA160" s="20"/>
      <c r="VHB160" s="20"/>
      <c r="VHC160" s="20"/>
      <c r="VHD160" s="20"/>
      <c r="VHE160" s="20"/>
      <c r="VHF160" s="20"/>
      <c r="VHG160" s="20"/>
      <c r="VHH160" s="20"/>
      <c r="VHI160" s="20"/>
      <c r="VHJ160" s="20"/>
      <c r="VHK160" s="20"/>
      <c r="VHL160" s="20"/>
      <c r="VHM160" s="20"/>
      <c r="VHN160" s="20"/>
      <c r="VHO160" s="20"/>
      <c r="VHP160" s="20"/>
      <c r="VHQ160" s="20"/>
      <c r="VHR160" s="20"/>
      <c r="VHS160" s="20"/>
      <c r="VHT160" s="20"/>
      <c r="VHU160" s="20"/>
      <c r="VHV160" s="20"/>
      <c r="VHW160" s="20"/>
      <c r="VHX160" s="20"/>
      <c r="VHY160" s="20"/>
      <c r="VHZ160" s="20"/>
      <c r="VIA160" s="20"/>
      <c r="VIB160" s="20"/>
      <c r="VIC160" s="20"/>
      <c r="VID160" s="20"/>
      <c r="VIE160" s="20"/>
      <c r="VIF160" s="20"/>
      <c r="VIG160" s="20"/>
      <c r="VIH160" s="20"/>
      <c r="VII160" s="20"/>
      <c r="VIJ160" s="20"/>
      <c r="VIK160" s="20"/>
      <c r="VIL160" s="20"/>
      <c r="VIM160" s="20"/>
      <c r="VIN160" s="20"/>
      <c r="VIO160" s="20"/>
      <c r="VIP160" s="20"/>
      <c r="VIQ160" s="20"/>
      <c r="VIR160" s="20"/>
      <c r="VIS160" s="20"/>
      <c r="VIT160" s="20"/>
      <c r="VIU160" s="20"/>
      <c r="VIV160" s="20"/>
      <c r="VIW160" s="20"/>
      <c r="VIX160" s="20"/>
      <c r="VIY160" s="20"/>
      <c r="VIZ160" s="20"/>
      <c r="VJA160" s="20"/>
      <c r="VJB160" s="20"/>
      <c r="VJC160" s="20"/>
      <c r="VJD160" s="20"/>
      <c r="VJE160" s="20"/>
      <c r="VJF160" s="20"/>
      <c r="VJG160" s="20"/>
      <c r="VJH160" s="20"/>
      <c r="VJI160" s="20"/>
      <c r="VJJ160" s="20"/>
      <c r="VJK160" s="20"/>
      <c r="VJL160" s="20"/>
      <c r="VJM160" s="20"/>
      <c r="VJN160" s="20"/>
      <c r="VJO160" s="20"/>
      <c r="VJP160" s="20"/>
      <c r="VJQ160" s="20"/>
      <c r="VJR160" s="20"/>
      <c r="VJS160" s="20"/>
      <c r="VJT160" s="20"/>
      <c r="VJU160" s="20"/>
      <c r="VJV160" s="20"/>
      <c r="VJW160" s="20"/>
      <c r="VJX160" s="20"/>
      <c r="VJY160" s="20"/>
      <c r="VJZ160" s="20"/>
      <c r="VKA160" s="20"/>
      <c r="VKB160" s="20"/>
      <c r="VKC160" s="20"/>
      <c r="VKD160" s="20"/>
      <c r="VKE160" s="20"/>
      <c r="VKF160" s="20"/>
      <c r="VKG160" s="20"/>
      <c r="VKH160" s="20"/>
      <c r="VKI160" s="20"/>
      <c r="VKJ160" s="20"/>
      <c r="VKK160" s="20"/>
      <c r="VKL160" s="20"/>
      <c r="VKM160" s="20"/>
      <c r="VKN160" s="20"/>
      <c r="VKO160" s="20"/>
      <c r="VKP160" s="20"/>
      <c r="VKQ160" s="20"/>
      <c r="VKR160" s="20"/>
      <c r="VKS160" s="20"/>
      <c r="VKT160" s="20"/>
      <c r="VKU160" s="20"/>
      <c r="VKV160" s="20"/>
      <c r="VKW160" s="20"/>
      <c r="VKX160" s="20"/>
      <c r="VKY160" s="20"/>
      <c r="VKZ160" s="20"/>
      <c r="VLA160" s="20"/>
      <c r="VLB160" s="20"/>
      <c r="VLC160" s="20"/>
      <c r="VLD160" s="20"/>
      <c r="VLE160" s="20"/>
      <c r="VLF160" s="20"/>
      <c r="VLG160" s="20"/>
      <c r="VLH160" s="20"/>
      <c r="VLI160" s="20"/>
      <c r="VLJ160" s="20"/>
      <c r="VLK160" s="20"/>
      <c r="VLL160" s="20"/>
      <c r="VLM160" s="20"/>
      <c r="VLN160" s="20"/>
      <c r="VLO160" s="20"/>
      <c r="VLP160" s="20"/>
      <c r="VLQ160" s="20"/>
      <c r="VLR160" s="20"/>
      <c r="VLS160" s="20"/>
      <c r="VLT160" s="20"/>
      <c r="VLU160" s="20"/>
      <c r="VLV160" s="20"/>
      <c r="VLW160" s="20"/>
      <c r="VLX160" s="20"/>
      <c r="VLY160" s="20"/>
      <c r="VLZ160" s="20"/>
      <c r="VMA160" s="20"/>
      <c r="VMB160" s="20"/>
      <c r="VMC160" s="20"/>
      <c r="VMD160" s="20"/>
      <c r="VME160" s="20"/>
      <c r="VMF160" s="20"/>
      <c r="VMG160" s="20"/>
      <c r="VMH160" s="20"/>
      <c r="VMI160" s="20"/>
      <c r="VMJ160" s="20"/>
      <c r="VMK160" s="20"/>
      <c r="VML160" s="20"/>
      <c r="VMM160" s="20"/>
      <c r="VMN160" s="20"/>
      <c r="VMO160" s="20"/>
      <c r="VMP160" s="20"/>
      <c r="VMQ160" s="20"/>
      <c r="VMR160" s="20"/>
      <c r="VMS160" s="20"/>
      <c r="VMT160" s="20"/>
      <c r="VMU160" s="20"/>
      <c r="VMV160" s="20"/>
      <c r="VMW160" s="20"/>
      <c r="VMX160" s="20"/>
      <c r="VMY160" s="20"/>
      <c r="VMZ160" s="20"/>
      <c r="VNA160" s="20"/>
      <c r="VNB160" s="20"/>
      <c r="VNC160" s="20"/>
      <c r="VND160" s="20"/>
      <c r="VNE160" s="20"/>
      <c r="VNF160" s="20"/>
      <c r="VNG160" s="20"/>
      <c r="VNH160" s="20"/>
      <c r="VNI160" s="20"/>
      <c r="VNJ160" s="20"/>
      <c r="VNK160" s="20"/>
      <c r="VNL160" s="20"/>
      <c r="VNM160" s="20"/>
      <c r="VNN160" s="20"/>
      <c r="VNO160" s="20"/>
      <c r="VNP160" s="20"/>
      <c r="VNQ160" s="20"/>
      <c r="VNR160" s="20"/>
      <c r="VNS160" s="20"/>
      <c r="VNT160" s="20"/>
      <c r="VNU160" s="20"/>
      <c r="VNV160" s="20"/>
      <c r="VNW160" s="20"/>
      <c r="VNX160" s="20"/>
      <c r="VNY160" s="20"/>
      <c r="VNZ160" s="20"/>
      <c r="VOA160" s="20"/>
      <c r="VOB160" s="20"/>
      <c r="VOC160" s="20"/>
      <c r="VOD160" s="20"/>
      <c r="VOE160" s="20"/>
      <c r="VOF160" s="20"/>
      <c r="VOG160" s="20"/>
      <c r="VOH160" s="20"/>
      <c r="VOI160" s="20"/>
      <c r="VOJ160" s="20"/>
      <c r="VOK160" s="20"/>
      <c r="VOL160" s="20"/>
      <c r="VOM160" s="20"/>
      <c r="VON160" s="20"/>
      <c r="VOO160" s="20"/>
      <c r="VOP160" s="20"/>
      <c r="VOQ160" s="20"/>
      <c r="VOR160" s="20"/>
      <c r="VOS160" s="20"/>
      <c r="VOT160" s="20"/>
      <c r="VOU160" s="20"/>
      <c r="VOV160" s="20"/>
      <c r="VOW160" s="20"/>
      <c r="VOX160" s="20"/>
      <c r="VOY160" s="20"/>
      <c r="VOZ160" s="20"/>
      <c r="VPA160" s="20"/>
      <c r="VPB160" s="20"/>
      <c r="VPC160" s="20"/>
      <c r="VPD160" s="20"/>
      <c r="VPE160" s="20"/>
      <c r="VPF160" s="20"/>
      <c r="VPG160" s="20"/>
      <c r="VPH160" s="20"/>
      <c r="VPI160" s="20"/>
      <c r="VPJ160" s="20"/>
      <c r="VPK160" s="20"/>
      <c r="VPL160" s="20"/>
      <c r="VPM160" s="20"/>
      <c r="VPN160" s="20"/>
      <c r="VPO160" s="20"/>
      <c r="VPP160" s="20"/>
      <c r="VPQ160" s="20"/>
      <c r="VPR160" s="20"/>
      <c r="VPS160" s="20"/>
      <c r="VPT160" s="20"/>
      <c r="VPU160" s="20"/>
      <c r="VPV160" s="20"/>
      <c r="VPW160" s="20"/>
      <c r="VPX160" s="20"/>
      <c r="VPY160" s="20"/>
      <c r="VPZ160" s="20"/>
      <c r="VQA160" s="20"/>
      <c r="VQB160" s="20"/>
      <c r="VQC160" s="20"/>
      <c r="VQD160" s="20"/>
      <c r="VQE160" s="20"/>
      <c r="VQF160" s="20"/>
      <c r="VQG160" s="20"/>
      <c r="VQH160" s="20"/>
      <c r="VQI160" s="20"/>
      <c r="VQJ160" s="20"/>
      <c r="VQK160" s="20"/>
      <c r="VQL160" s="20"/>
      <c r="VQM160" s="20"/>
      <c r="VQN160" s="20"/>
      <c r="VQO160" s="20"/>
      <c r="VQP160" s="20"/>
      <c r="VQQ160" s="20"/>
      <c r="VQR160" s="20"/>
      <c r="VQS160" s="20"/>
      <c r="VQT160" s="20"/>
      <c r="VQU160" s="20"/>
      <c r="VQV160" s="20"/>
      <c r="VQW160" s="20"/>
      <c r="VQX160" s="20"/>
      <c r="VQY160" s="20"/>
      <c r="VQZ160" s="20"/>
      <c r="VRA160" s="20"/>
      <c r="VRB160" s="20"/>
      <c r="VRC160" s="20"/>
      <c r="VRD160" s="20"/>
      <c r="VRE160" s="20"/>
      <c r="VRF160" s="20"/>
      <c r="VRG160" s="20"/>
      <c r="VRH160" s="20"/>
      <c r="VRI160" s="20"/>
      <c r="VRJ160" s="20"/>
      <c r="VRK160" s="20"/>
      <c r="VRL160" s="20"/>
      <c r="VRM160" s="20"/>
      <c r="VRN160" s="20"/>
      <c r="VRO160" s="20"/>
      <c r="VRP160" s="20"/>
      <c r="VRQ160" s="20"/>
      <c r="VRR160" s="20"/>
      <c r="VRS160" s="20"/>
      <c r="VRT160" s="20"/>
      <c r="VRU160" s="20"/>
      <c r="VRV160" s="20"/>
      <c r="VRW160" s="20"/>
      <c r="VRX160" s="20"/>
      <c r="VRY160" s="20"/>
      <c r="VRZ160" s="20"/>
      <c r="VSA160" s="20"/>
      <c r="VSB160" s="20"/>
      <c r="VSC160" s="20"/>
      <c r="VSD160" s="20"/>
      <c r="VSE160" s="20"/>
      <c r="VSF160" s="20"/>
      <c r="VSG160" s="20"/>
      <c r="VSH160" s="20"/>
      <c r="VSI160" s="20"/>
      <c r="VSJ160" s="20"/>
      <c r="VSK160" s="20"/>
      <c r="VSL160" s="20"/>
      <c r="VSM160" s="20"/>
      <c r="VSN160" s="20"/>
      <c r="VSO160" s="20"/>
      <c r="VSP160" s="20"/>
      <c r="VSQ160" s="20"/>
      <c r="VSR160" s="20"/>
      <c r="VSS160" s="20"/>
      <c r="VST160" s="20"/>
      <c r="VSU160" s="20"/>
      <c r="VSV160" s="20"/>
      <c r="VSW160" s="20"/>
      <c r="VSX160" s="20"/>
      <c r="VSY160" s="20"/>
      <c r="VSZ160" s="20"/>
      <c r="VTA160" s="20"/>
      <c r="VTB160" s="20"/>
      <c r="VTC160" s="20"/>
      <c r="VTD160" s="20"/>
      <c r="VTE160" s="20"/>
      <c r="VTF160" s="20"/>
      <c r="VTG160" s="20"/>
      <c r="VTH160" s="20"/>
      <c r="VTI160" s="20"/>
      <c r="VTJ160" s="20"/>
      <c r="VTK160" s="20"/>
      <c r="VTL160" s="20"/>
      <c r="VTM160" s="20"/>
      <c r="VTN160" s="20"/>
      <c r="VTO160" s="20"/>
      <c r="VTP160" s="20"/>
      <c r="VTQ160" s="20"/>
      <c r="VTR160" s="20"/>
      <c r="VTS160" s="20"/>
      <c r="VTT160" s="20"/>
      <c r="VTU160" s="20"/>
      <c r="VTV160" s="20"/>
      <c r="VTW160" s="20"/>
      <c r="VTX160" s="20"/>
      <c r="VTY160" s="20"/>
      <c r="VTZ160" s="20"/>
      <c r="VUA160" s="20"/>
      <c r="VUB160" s="20"/>
      <c r="VUC160" s="20"/>
      <c r="VUD160" s="20"/>
      <c r="VUE160" s="20"/>
      <c r="VUF160" s="20"/>
      <c r="VUG160" s="20"/>
      <c r="VUH160" s="20"/>
      <c r="VUI160" s="20"/>
      <c r="VUJ160" s="20"/>
      <c r="VUK160" s="20"/>
      <c r="VUL160" s="20"/>
      <c r="VUM160" s="20"/>
      <c r="VUN160" s="20"/>
      <c r="VUO160" s="20"/>
      <c r="VUP160" s="20"/>
      <c r="VUQ160" s="20"/>
      <c r="VUR160" s="20"/>
      <c r="VUS160" s="20"/>
      <c r="VUT160" s="20"/>
      <c r="VUU160" s="20"/>
      <c r="VUV160" s="20"/>
      <c r="VUW160" s="20"/>
      <c r="VUX160" s="20"/>
      <c r="VUY160" s="20"/>
      <c r="VUZ160" s="20"/>
      <c r="VVA160" s="20"/>
      <c r="VVB160" s="20"/>
      <c r="VVC160" s="20"/>
      <c r="VVD160" s="20"/>
      <c r="VVE160" s="20"/>
      <c r="VVF160" s="20"/>
      <c r="VVG160" s="20"/>
      <c r="VVH160" s="20"/>
      <c r="VVI160" s="20"/>
      <c r="VVJ160" s="20"/>
      <c r="VVK160" s="20"/>
      <c r="VVL160" s="20"/>
      <c r="VVM160" s="20"/>
      <c r="VVN160" s="20"/>
      <c r="VVO160" s="20"/>
      <c r="VVP160" s="20"/>
      <c r="VVQ160" s="20"/>
      <c r="VVR160" s="20"/>
      <c r="VVS160" s="20"/>
      <c r="VVT160" s="20"/>
      <c r="VVU160" s="20"/>
      <c r="VVV160" s="20"/>
      <c r="VVW160" s="20"/>
      <c r="VVX160" s="20"/>
      <c r="VVY160" s="20"/>
      <c r="VVZ160" s="20"/>
      <c r="VWA160" s="20"/>
      <c r="VWB160" s="20"/>
      <c r="VWC160" s="20"/>
      <c r="VWD160" s="20"/>
      <c r="VWE160" s="20"/>
      <c r="VWF160" s="20"/>
      <c r="VWG160" s="20"/>
      <c r="VWH160" s="20"/>
      <c r="VWI160" s="20"/>
      <c r="VWJ160" s="20"/>
      <c r="VWK160" s="20"/>
      <c r="VWL160" s="20"/>
      <c r="VWM160" s="20"/>
      <c r="VWN160" s="20"/>
      <c r="VWO160" s="20"/>
      <c r="VWP160" s="20"/>
      <c r="VWQ160" s="20"/>
      <c r="VWR160" s="20"/>
      <c r="VWS160" s="20"/>
      <c r="VWT160" s="20"/>
      <c r="VWU160" s="20"/>
      <c r="VWV160" s="20"/>
      <c r="VWW160" s="20"/>
      <c r="VWX160" s="20"/>
      <c r="VWY160" s="20"/>
      <c r="VWZ160" s="20"/>
      <c r="VXA160" s="20"/>
      <c r="VXB160" s="20"/>
      <c r="VXC160" s="20"/>
      <c r="VXD160" s="20"/>
      <c r="VXE160" s="20"/>
      <c r="VXF160" s="20"/>
      <c r="VXG160" s="20"/>
      <c r="VXH160" s="20"/>
      <c r="VXI160" s="20"/>
      <c r="VXJ160" s="20"/>
      <c r="VXK160" s="20"/>
      <c r="VXL160" s="20"/>
      <c r="VXM160" s="20"/>
      <c r="VXN160" s="20"/>
      <c r="VXO160" s="20"/>
      <c r="VXP160" s="20"/>
      <c r="VXQ160" s="20"/>
      <c r="VXR160" s="20"/>
      <c r="VXS160" s="20"/>
      <c r="VXT160" s="20"/>
      <c r="VXU160" s="20"/>
      <c r="VXV160" s="20"/>
      <c r="VXW160" s="20"/>
      <c r="VXX160" s="20"/>
      <c r="VXY160" s="20"/>
      <c r="VXZ160" s="20"/>
      <c r="VYA160" s="20"/>
      <c r="VYB160" s="20"/>
      <c r="VYC160" s="20"/>
      <c r="VYD160" s="20"/>
      <c r="VYE160" s="20"/>
      <c r="VYF160" s="20"/>
      <c r="VYG160" s="20"/>
      <c r="VYH160" s="20"/>
      <c r="VYI160" s="20"/>
      <c r="VYJ160" s="20"/>
      <c r="VYK160" s="20"/>
      <c r="VYL160" s="20"/>
      <c r="VYM160" s="20"/>
      <c r="VYN160" s="20"/>
      <c r="VYO160" s="20"/>
      <c r="VYP160" s="20"/>
      <c r="VYQ160" s="20"/>
      <c r="VYR160" s="20"/>
      <c r="VYS160" s="20"/>
      <c r="VYT160" s="20"/>
      <c r="VYU160" s="20"/>
      <c r="VYV160" s="20"/>
      <c r="VYW160" s="20"/>
      <c r="VYX160" s="20"/>
      <c r="VYY160" s="20"/>
      <c r="VYZ160" s="20"/>
      <c r="VZA160" s="20"/>
      <c r="VZB160" s="20"/>
      <c r="VZC160" s="20"/>
      <c r="VZD160" s="20"/>
      <c r="VZE160" s="20"/>
      <c r="VZF160" s="20"/>
      <c r="VZG160" s="20"/>
      <c r="VZH160" s="20"/>
      <c r="VZI160" s="20"/>
      <c r="VZJ160" s="20"/>
      <c r="VZK160" s="20"/>
      <c r="VZL160" s="20"/>
      <c r="VZM160" s="20"/>
      <c r="VZN160" s="20"/>
      <c r="VZO160" s="20"/>
      <c r="VZP160" s="20"/>
      <c r="VZQ160" s="20"/>
      <c r="VZR160" s="20"/>
      <c r="VZS160" s="20"/>
      <c r="VZT160" s="20"/>
      <c r="VZU160" s="20"/>
      <c r="VZV160" s="20"/>
      <c r="VZW160" s="20"/>
      <c r="VZX160" s="20"/>
      <c r="VZY160" s="20"/>
      <c r="VZZ160" s="20"/>
      <c r="WAA160" s="20"/>
      <c r="WAB160" s="20"/>
      <c r="WAC160" s="20"/>
      <c r="WAD160" s="20"/>
      <c r="WAE160" s="20"/>
      <c r="WAF160" s="20"/>
      <c r="WAG160" s="20"/>
      <c r="WAH160" s="20"/>
      <c r="WAI160" s="20"/>
      <c r="WAJ160" s="20"/>
      <c r="WAK160" s="20"/>
      <c r="WAL160" s="20"/>
      <c r="WAM160" s="20"/>
      <c r="WAN160" s="20"/>
      <c r="WAO160" s="20"/>
      <c r="WAP160" s="20"/>
      <c r="WAQ160" s="20"/>
      <c r="WAR160" s="20"/>
      <c r="WAS160" s="20"/>
      <c r="WAT160" s="20"/>
      <c r="WAU160" s="20"/>
      <c r="WAV160" s="20"/>
      <c r="WAW160" s="20"/>
      <c r="WAX160" s="20"/>
      <c r="WAY160" s="20"/>
      <c r="WAZ160" s="20"/>
      <c r="WBA160" s="20"/>
      <c r="WBB160" s="20"/>
      <c r="WBC160" s="20"/>
      <c r="WBD160" s="20"/>
      <c r="WBE160" s="20"/>
      <c r="WBF160" s="20"/>
      <c r="WBG160" s="20"/>
      <c r="WBH160" s="20"/>
      <c r="WBI160" s="20"/>
      <c r="WBJ160" s="20"/>
      <c r="WBK160" s="20"/>
      <c r="WBL160" s="20"/>
      <c r="WBM160" s="20"/>
      <c r="WBN160" s="20"/>
      <c r="WBO160" s="20"/>
      <c r="WBP160" s="20"/>
      <c r="WBQ160" s="20"/>
      <c r="WBR160" s="20"/>
      <c r="WBS160" s="20"/>
      <c r="WBT160" s="20"/>
      <c r="WBU160" s="20"/>
      <c r="WBV160" s="20"/>
      <c r="WBW160" s="20"/>
      <c r="WBX160" s="20"/>
      <c r="WBY160" s="20"/>
      <c r="WBZ160" s="20"/>
      <c r="WCA160" s="20"/>
      <c r="WCB160" s="20"/>
      <c r="WCC160" s="20"/>
      <c r="WCD160" s="20"/>
      <c r="WCE160" s="20"/>
      <c r="WCF160" s="20"/>
      <c r="WCG160" s="20"/>
      <c r="WCH160" s="20"/>
      <c r="WCI160" s="20"/>
      <c r="WCJ160" s="20"/>
      <c r="WCK160" s="20"/>
      <c r="WCL160" s="20"/>
      <c r="WCM160" s="20"/>
      <c r="WCN160" s="20"/>
      <c r="WCO160" s="20"/>
      <c r="WCP160" s="20"/>
      <c r="WCQ160" s="20"/>
      <c r="WCR160" s="20"/>
      <c r="WCS160" s="20"/>
      <c r="WCT160" s="20"/>
      <c r="WCU160" s="20"/>
      <c r="WCV160" s="20"/>
      <c r="WCW160" s="20"/>
      <c r="WCX160" s="20"/>
      <c r="WCY160" s="20"/>
      <c r="WCZ160" s="20"/>
      <c r="WDA160" s="20"/>
      <c r="WDB160" s="20"/>
      <c r="WDC160" s="20"/>
      <c r="WDD160" s="20"/>
      <c r="WDE160" s="20"/>
      <c r="WDF160" s="20"/>
      <c r="WDG160" s="20"/>
      <c r="WDH160" s="20"/>
      <c r="WDI160" s="20"/>
      <c r="WDJ160" s="20"/>
      <c r="WDK160" s="20"/>
      <c r="WDL160" s="20"/>
      <c r="WDM160" s="20"/>
      <c r="WDN160" s="20"/>
      <c r="WDO160" s="20"/>
      <c r="WDP160" s="20"/>
      <c r="WDQ160" s="20"/>
      <c r="WDR160" s="20"/>
      <c r="WDS160" s="20"/>
      <c r="WDT160" s="20"/>
      <c r="WDU160" s="20"/>
      <c r="WDV160" s="20"/>
      <c r="WDW160" s="20"/>
      <c r="WDX160" s="20"/>
      <c r="WDY160" s="20"/>
      <c r="WDZ160" s="20"/>
      <c r="WEA160" s="20"/>
      <c r="WEB160" s="20"/>
      <c r="WEC160" s="20"/>
      <c r="WED160" s="20"/>
      <c r="WEE160" s="20"/>
      <c r="WEF160" s="20"/>
      <c r="WEG160" s="20"/>
      <c r="WEH160" s="20"/>
      <c r="WEI160" s="20"/>
      <c r="WEJ160" s="20"/>
      <c r="WEK160" s="20"/>
      <c r="WEL160" s="20"/>
      <c r="WEM160" s="20"/>
      <c r="WEN160" s="20"/>
      <c r="WEO160" s="20"/>
      <c r="WEP160" s="20"/>
      <c r="WEQ160" s="20"/>
      <c r="WER160" s="20"/>
      <c r="WES160" s="20"/>
      <c r="WET160" s="20"/>
      <c r="WEU160" s="20"/>
      <c r="WEV160" s="20"/>
      <c r="WEW160" s="20"/>
      <c r="WEX160" s="20"/>
      <c r="WEY160" s="20"/>
      <c r="WEZ160" s="20"/>
      <c r="WFA160" s="20"/>
      <c r="WFB160" s="20"/>
      <c r="WFC160" s="20"/>
      <c r="WFD160" s="20"/>
      <c r="WFE160" s="20"/>
      <c r="WFF160" s="20"/>
      <c r="WFG160" s="20"/>
      <c r="WFH160" s="20"/>
      <c r="WFI160" s="20"/>
      <c r="WFJ160" s="20"/>
      <c r="WFK160" s="20"/>
      <c r="WFL160" s="20"/>
      <c r="WFM160" s="20"/>
      <c r="WFN160" s="20"/>
      <c r="WFO160" s="20"/>
      <c r="WFP160" s="20"/>
      <c r="WFQ160" s="20"/>
      <c r="WFR160" s="20"/>
      <c r="WFS160" s="20"/>
      <c r="WFT160" s="20"/>
      <c r="WFU160" s="20"/>
      <c r="WFV160" s="20"/>
      <c r="WFW160" s="20"/>
      <c r="WFX160" s="20"/>
      <c r="WFY160" s="20"/>
      <c r="WFZ160" s="20"/>
      <c r="WGA160" s="20"/>
      <c r="WGB160" s="20"/>
      <c r="WGC160" s="20"/>
      <c r="WGD160" s="20"/>
      <c r="WGE160" s="20"/>
      <c r="WGF160" s="20"/>
      <c r="WGG160" s="20"/>
      <c r="WGH160" s="20"/>
      <c r="WGI160" s="20"/>
      <c r="WGJ160" s="20"/>
      <c r="WGK160" s="20"/>
      <c r="WGL160" s="20"/>
      <c r="WGM160" s="20"/>
      <c r="WGN160" s="20"/>
      <c r="WGO160" s="20"/>
      <c r="WGP160" s="20"/>
      <c r="WGQ160" s="20"/>
      <c r="WGR160" s="20"/>
      <c r="WGS160" s="20"/>
      <c r="WGT160" s="20"/>
      <c r="WGU160" s="20"/>
      <c r="WGV160" s="20"/>
      <c r="WGW160" s="20"/>
      <c r="WGX160" s="20"/>
      <c r="WGY160" s="20"/>
      <c r="WGZ160" s="20"/>
      <c r="WHA160" s="20"/>
      <c r="WHB160" s="20"/>
      <c r="WHC160" s="20"/>
      <c r="WHD160" s="20"/>
      <c r="WHE160" s="20"/>
      <c r="WHF160" s="20"/>
      <c r="WHG160" s="20"/>
      <c r="WHH160" s="20"/>
      <c r="WHI160" s="20"/>
      <c r="WHJ160" s="20"/>
      <c r="WHK160" s="20"/>
      <c r="WHL160" s="20"/>
      <c r="WHM160" s="20"/>
      <c r="WHN160" s="20"/>
      <c r="WHO160" s="20"/>
      <c r="WHP160" s="20"/>
      <c r="WHQ160" s="20"/>
      <c r="WHR160" s="20"/>
      <c r="WHS160" s="20"/>
      <c r="WHT160" s="20"/>
      <c r="WHU160" s="20"/>
      <c r="WHV160" s="20"/>
      <c r="WHW160" s="20"/>
      <c r="WHX160" s="20"/>
      <c r="WHY160" s="20"/>
      <c r="WHZ160" s="20"/>
      <c r="WIA160" s="20"/>
      <c r="WIB160" s="20"/>
      <c r="WIC160" s="20"/>
      <c r="WID160" s="20"/>
      <c r="WIE160" s="20"/>
      <c r="WIF160" s="20"/>
      <c r="WIG160" s="20"/>
      <c r="WIH160" s="20"/>
      <c r="WII160" s="20"/>
      <c r="WIJ160" s="20"/>
      <c r="WIK160" s="20"/>
      <c r="WIL160" s="20"/>
      <c r="WIM160" s="20"/>
      <c r="WIN160" s="20"/>
      <c r="WIO160" s="20"/>
      <c r="WIP160" s="20"/>
      <c r="WIQ160" s="20"/>
      <c r="WIR160" s="20"/>
      <c r="WIS160" s="20"/>
      <c r="WIT160" s="20"/>
      <c r="WIU160" s="20"/>
      <c r="WIV160" s="20"/>
      <c r="WIW160" s="20"/>
      <c r="WIX160" s="20"/>
      <c r="WIY160" s="20"/>
      <c r="WIZ160" s="20"/>
      <c r="WJA160" s="20"/>
      <c r="WJB160" s="20"/>
      <c r="WJC160" s="20"/>
      <c r="WJD160" s="20"/>
      <c r="WJE160" s="20"/>
      <c r="WJF160" s="20"/>
      <c r="WJG160" s="20"/>
      <c r="WJH160" s="20"/>
      <c r="WJI160" s="20"/>
      <c r="WJJ160" s="20"/>
      <c r="WJK160" s="20"/>
      <c r="WJL160" s="20"/>
      <c r="WJM160" s="20"/>
      <c r="WJN160" s="20"/>
      <c r="WJO160" s="20"/>
      <c r="WJP160" s="20"/>
      <c r="WJQ160" s="20"/>
      <c r="WJR160" s="20"/>
      <c r="WJS160" s="20"/>
      <c r="WJT160" s="20"/>
      <c r="WJU160" s="20"/>
      <c r="WJV160" s="20"/>
      <c r="WJW160" s="20"/>
      <c r="WJX160" s="20"/>
      <c r="WJY160" s="20"/>
      <c r="WJZ160" s="20"/>
      <c r="WKA160" s="20"/>
      <c r="WKB160" s="20"/>
      <c r="WKC160" s="20"/>
      <c r="WKD160" s="20"/>
      <c r="WKE160" s="20"/>
      <c r="WKF160" s="20"/>
      <c r="WKG160" s="20"/>
      <c r="WKH160" s="20"/>
      <c r="WKI160" s="20"/>
      <c r="WKJ160" s="20"/>
      <c r="WKK160" s="20"/>
      <c r="WKL160" s="20"/>
      <c r="WKM160" s="20"/>
      <c r="WKN160" s="20"/>
      <c r="WKO160" s="20"/>
      <c r="WKP160" s="20"/>
      <c r="WKQ160" s="20"/>
      <c r="WKR160" s="20"/>
      <c r="WKS160" s="20"/>
      <c r="WKT160" s="20"/>
      <c r="WKU160" s="20"/>
      <c r="WKV160" s="20"/>
      <c r="WKW160" s="20"/>
      <c r="WKX160" s="20"/>
      <c r="WKY160" s="20"/>
      <c r="WKZ160" s="20"/>
      <c r="WLA160" s="20"/>
      <c r="WLB160" s="20"/>
      <c r="WLC160" s="20"/>
      <c r="WLD160" s="20"/>
      <c r="WLE160" s="20"/>
      <c r="WLF160" s="20"/>
      <c r="WLG160" s="20"/>
      <c r="WLH160" s="20"/>
      <c r="WLI160" s="20"/>
      <c r="WLJ160" s="20"/>
      <c r="WLK160" s="20"/>
      <c r="WLL160" s="20"/>
      <c r="WLM160" s="20"/>
      <c r="WLN160" s="20"/>
      <c r="WLO160" s="20"/>
      <c r="WLP160" s="20"/>
      <c r="WLQ160" s="20"/>
      <c r="WLR160" s="20"/>
      <c r="WLS160" s="20"/>
      <c r="WLT160" s="20"/>
      <c r="WLU160" s="20"/>
      <c r="WLV160" s="20"/>
      <c r="WLW160" s="20"/>
      <c r="WLX160" s="20"/>
      <c r="WLY160" s="20"/>
      <c r="WLZ160" s="20"/>
      <c r="WMA160" s="20"/>
      <c r="WMB160" s="20"/>
      <c r="WMC160" s="20"/>
      <c r="WMD160" s="20"/>
      <c r="WME160" s="20"/>
      <c r="WMF160" s="20"/>
      <c r="WMG160" s="20"/>
      <c r="WMH160" s="20"/>
      <c r="WMI160" s="20"/>
      <c r="WMJ160" s="20"/>
      <c r="WMK160" s="20"/>
      <c r="WML160" s="20"/>
      <c r="WMM160" s="20"/>
      <c r="WMN160" s="20"/>
      <c r="WMO160" s="20"/>
      <c r="WMP160" s="20"/>
      <c r="WMQ160" s="20"/>
      <c r="WMR160" s="20"/>
      <c r="WMS160" s="20"/>
      <c r="WMT160" s="20"/>
      <c r="WMU160" s="20"/>
      <c r="WMV160" s="20"/>
      <c r="WMW160" s="20"/>
      <c r="WMX160" s="20"/>
      <c r="WMY160" s="20"/>
      <c r="WMZ160" s="20"/>
      <c r="WNA160" s="20"/>
      <c r="WNB160" s="20"/>
      <c r="WNC160" s="20"/>
      <c r="WND160" s="20"/>
      <c r="WNE160" s="20"/>
      <c r="WNF160" s="20"/>
      <c r="WNG160" s="20"/>
      <c r="WNH160" s="20"/>
      <c r="WNI160" s="20"/>
      <c r="WNJ160" s="20"/>
      <c r="WNK160" s="20"/>
      <c r="WNL160" s="20"/>
      <c r="WNM160" s="20"/>
      <c r="WNN160" s="20"/>
      <c r="WNO160" s="20"/>
      <c r="WNP160" s="20"/>
      <c r="WNQ160" s="20"/>
      <c r="WNR160" s="20"/>
      <c r="WNS160" s="20"/>
      <c r="WNT160" s="20"/>
      <c r="WNU160" s="20"/>
      <c r="WNV160" s="20"/>
      <c r="WNW160" s="20"/>
      <c r="WNX160" s="20"/>
      <c r="WNY160" s="20"/>
      <c r="WNZ160" s="20"/>
      <c r="WOA160" s="20"/>
      <c r="WOB160" s="20"/>
      <c r="WOC160" s="20"/>
      <c r="WOD160" s="20"/>
      <c r="WOE160" s="20"/>
      <c r="WOF160" s="20"/>
      <c r="WOG160" s="20"/>
      <c r="WOH160" s="20"/>
      <c r="WOI160" s="20"/>
      <c r="WOJ160" s="20"/>
      <c r="WOK160" s="20"/>
      <c r="WOL160" s="20"/>
      <c r="WOM160" s="20"/>
      <c r="WON160" s="20"/>
      <c r="WOO160" s="20"/>
      <c r="WOP160" s="20"/>
      <c r="WOQ160" s="20"/>
      <c r="WOR160" s="20"/>
      <c r="WOS160" s="20"/>
      <c r="WOT160" s="20"/>
      <c r="WOU160" s="20"/>
      <c r="WOV160" s="20"/>
      <c r="WOW160" s="20"/>
      <c r="WOX160" s="20"/>
      <c r="WOY160" s="20"/>
      <c r="WOZ160" s="20"/>
      <c r="WPA160" s="20"/>
      <c r="WPB160" s="20"/>
      <c r="WPC160" s="20"/>
      <c r="WPD160" s="20"/>
      <c r="WPE160" s="20"/>
      <c r="WPF160" s="20"/>
      <c r="WPG160" s="20"/>
      <c r="WPH160" s="20"/>
      <c r="WPI160" s="20"/>
      <c r="WPJ160" s="20"/>
      <c r="WPK160" s="20"/>
      <c r="WPL160" s="20"/>
      <c r="WPM160" s="20"/>
      <c r="WPN160" s="20"/>
      <c r="WPO160" s="20"/>
      <c r="WPP160" s="20"/>
      <c r="WPQ160" s="20"/>
      <c r="WPR160" s="20"/>
      <c r="WPS160" s="20"/>
      <c r="WPT160" s="20"/>
      <c r="WPU160" s="20"/>
      <c r="WPV160" s="20"/>
      <c r="WPW160" s="20"/>
      <c r="WPX160" s="20"/>
      <c r="WPY160" s="20"/>
      <c r="WPZ160" s="20"/>
      <c r="WQA160" s="20"/>
      <c r="WQB160" s="20"/>
      <c r="WQC160" s="20"/>
      <c r="WQD160" s="20"/>
      <c r="WQE160" s="20"/>
      <c r="WQF160" s="20"/>
      <c r="WQG160" s="20"/>
      <c r="WQH160" s="20"/>
      <c r="WQI160" s="20"/>
      <c r="WQJ160" s="20"/>
      <c r="WQK160" s="20"/>
      <c r="WQL160" s="20"/>
      <c r="WQM160" s="20"/>
      <c r="WQN160" s="20"/>
      <c r="WQO160" s="20"/>
      <c r="WQP160" s="20"/>
      <c r="WQQ160" s="20"/>
      <c r="WQR160" s="20"/>
      <c r="WQS160" s="20"/>
      <c r="WQT160" s="20"/>
      <c r="WQU160" s="20"/>
      <c r="WQV160" s="20"/>
      <c r="WQW160" s="20"/>
      <c r="WQX160" s="20"/>
      <c r="WQY160" s="20"/>
      <c r="WQZ160" s="20"/>
      <c r="WRA160" s="20"/>
      <c r="WRB160" s="20"/>
      <c r="WRC160" s="20"/>
      <c r="WRD160" s="20"/>
      <c r="WRE160" s="20"/>
      <c r="WRF160" s="20"/>
      <c r="WRG160" s="20"/>
      <c r="WRH160" s="20"/>
      <c r="WRI160" s="20"/>
      <c r="WRJ160" s="20"/>
      <c r="WRK160" s="20"/>
      <c r="WRL160" s="20"/>
      <c r="WRM160" s="20"/>
      <c r="WRN160" s="20"/>
      <c r="WRO160" s="20"/>
      <c r="WRP160" s="20"/>
      <c r="WRQ160" s="20"/>
      <c r="WRR160" s="20"/>
      <c r="WRS160" s="20"/>
      <c r="WRT160" s="20"/>
      <c r="WRU160" s="20"/>
      <c r="WRV160" s="20"/>
      <c r="WRW160" s="20"/>
      <c r="WRX160" s="20"/>
      <c r="WRY160" s="20"/>
      <c r="WRZ160" s="20"/>
      <c r="WSA160" s="20"/>
      <c r="WSB160" s="20"/>
      <c r="WSC160" s="20"/>
      <c r="WSD160" s="20"/>
      <c r="WSE160" s="20"/>
      <c r="WSF160" s="20"/>
      <c r="WSG160" s="20"/>
      <c r="WSH160" s="20"/>
      <c r="WSI160" s="20"/>
      <c r="WSJ160" s="20"/>
      <c r="WSK160" s="20"/>
      <c r="WSL160" s="20"/>
      <c r="WSM160" s="20"/>
      <c r="WSN160" s="20"/>
      <c r="WSO160" s="20"/>
      <c r="WSP160" s="20"/>
      <c r="WSQ160" s="20"/>
      <c r="WSR160" s="20"/>
      <c r="WSS160" s="20"/>
      <c r="WST160" s="20"/>
      <c r="WSU160" s="20"/>
      <c r="WSV160" s="20"/>
      <c r="WSW160" s="20"/>
      <c r="WSX160" s="20"/>
      <c r="WSY160" s="20"/>
      <c r="WSZ160" s="20"/>
      <c r="WTA160" s="20"/>
      <c r="WTB160" s="20"/>
      <c r="WTC160" s="20"/>
      <c r="WTD160" s="20"/>
      <c r="WTE160" s="20"/>
      <c r="WTF160" s="20"/>
      <c r="WTG160" s="20"/>
      <c r="WTH160" s="20"/>
      <c r="WTI160" s="20"/>
      <c r="WTJ160" s="20"/>
      <c r="WTK160" s="20"/>
      <c r="WTL160" s="20"/>
      <c r="WTM160" s="20"/>
      <c r="WTN160" s="20"/>
      <c r="WTO160" s="20"/>
      <c r="WTP160" s="20"/>
      <c r="WTQ160" s="20"/>
      <c r="WTR160" s="20"/>
      <c r="WTS160" s="20"/>
      <c r="WTT160" s="20"/>
      <c r="WTU160" s="20"/>
      <c r="WTV160" s="20"/>
      <c r="WTW160" s="20"/>
      <c r="WTX160" s="20"/>
      <c r="WTY160" s="20"/>
      <c r="WTZ160" s="20"/>
      <c r="WUA160" s="20"/>
      <c r="WUB160" s="20"/>
      <c r="WUC160" s="20"/>
      <c r="WUD160" s="20"/>
      <c r="WUE160" s="20"/>
      <c r="WUF160" s="20"/>
      <c r="WUG160" s="20"/>
      <c r="WUH160" s="20"/>
      <c r="WUI160" s="20"/>
      <c r="WUJ160" s="20"/>
      <c r="WUK160" s="20"/>
      <c r="WUL160" s="20"/>
      <c r="WUM160" s="20"/>
      <c r="WUN160" s="20"/>
      <c r="WUO160" s="20"/>
      <c r="WUP160" s="20"/>
      <c r="WUQ160" s="20"/>
      <c r="WUR160" s="20"/>
      <c r="WUS160" s="20"/>
      <c r="WUT160" s="20"/>
      <c r="WUU160" s="20"/>
      <c r="WUV160" s="20"/>
      <c r="WUW160" s="20"/>
      <c r="WUX160" s="20"/>
      <c r="WUY160" s="20"/>
      <c r="WUZ160" s="20"/>
      <c r="WVA160" s="20"/>
      <c r="WVB160" s="20"/>
      <c r="WVC160" s="20"/>
      <c r="WVD160" s="20"/>
      <c r="WVE160" s="20"/>
      <c r="WVF160" s="20"/>
      <c r="WVG160" s="20"/>
      <c r="WVH160" s="20"/>
      <c r="WVI160" s="20"/>
      <c r="WVJ160" s="20"/>
      <c r="WVK160" s="20"/>
      <c r="WVL160" s="20"/>
      <c r="WVM160" s="20"/>
      <c r="WVN160" s="20"/>
      <c r="WVO160" s="20"/>
      <c r="WVP160" s="20"/>
      <c r="WVQ160" s="20"/>
      <c r="WVR160" s="20"/>
      <c r="WVS160" s="20"/>
      <c r="WVT160" s="20"/>
      <c r="WVU160" s="20"/>
      <c r="WVV160" s="20"/>
      <c r="WVW160" s="20"/>
      <c r="WVX160" s="20"/>
      <c r="WVY160" s="20"/>
      <c r="WVZ160" s="20"/>
      <c r="WWA160" s="20"/>
      <c r="WWB160" s="20"/>
      <c r="WWC160" s="20"/>
      <c r="WWD160" s="20"/>
      <c r="WWE160" s="20"/>
      <c r="WWF160" s="20"/>
      <c r="WWG160" s="20"/>
      <c r="WWH160" s="20"/>
      <c r="WWI160" s="20"/>
      <c r="WWJ160" s="20"/>
      <c r="WWK160" s="20"/>
      <c r="WWL160" s="20"/>
      <c r="WWM160" s="20"/>
      <c r="WWN160" s="20"/>
      <c r="WWO160" s="20"/>
      <c r="WWP160" s="20"/>
      <c r="WWQ160" s="20"/>
      <c r="WWR160" s="20"/>
      <c r="WWS160" s="20"/>
      <c r="WWT160" s="20"/>
      <c r="WWU160" s="20"/>
      <c r="WWV160" s="20"/>
      <c r="WWW160" s="20"/>
      <c r="WWX160" s="20"/>
      <c r="WWY160" s="20"/>
      <c r="WWZ160" s="20"/>
      <c r="WXA160" s="20"/>
      <c r="WXB160" s="20"/>
      <c r="WXC160" s="20"/>
      <c r="WXD160" s="20"/>
      <c r="WXE160" s="20"/>
      <c r="WXF160" s="20"/>
      <c r="WXG160" s="20"/>
      <c r="WXH160" s="20"/>
      <c r="WXI160" s="20"/>
      <c r="WXJ160" s="20"/>
      <c r="WXK160" s="20"/>
      <c r="WXL160" s="20"/>
      <c r="WXM160" s="20"/>
      <c r="WXN160" s="20"/>
      <c r="WXO160" s="20"/>
      <c r="WXP160" s="20"/>
      <c r="WXQ160" s="20"/>
      <c r="WXR160" s="20"/>
      <c r="WXS160" s="20"/>
      <c r="WXT160" s="20"/>
      <c r="WXU160" s="20"/>
      <c r="WXV160" s="20"/>
      <c r="WXW160" s="20"/>
      <c r="WXX160" s="20"/>
      <c r="WXY160" s="20"/>
      <c r="WXZ160" s="20"/>
      <c r="WYA160" s="20"/>
      <c r="WYB160" s="20"/>
      <c r="WYC160" s="20"/>
      <c r="WYD160" s="20"/>
      <c r="WYE160" s="20"/>
      <c r="WYF160" s="20"/>
      <c r="WYG160" s="20"/>
      <c r="WYH160" s="20"/>
      <c r="WYI160" s="20"/>
      <c r="WYJ160" s="20"/>
      <c r="WYK160" s="20"/>
      <c r="WYL160" s="20"/>
      <c r="WYM160" s="20"/>
      <c r="WYN160" s="20"/>
      <c r="WYO160" s="20"/>
      <c r="WYP160" s="20"/>
      <c r="WYQ160" s="20"/>
      <c r="WYR160" s="20"/>
      <c r="WYS160" s="20"/>
      <c r="WYT160" s="20"/>
      <c r="WYU160" s="20"/>
      <c r="WYV160" s="20"/>
      <c r="WYW160" s="20"/>
      <c r="WYX160" s="20"/>
      <c r="WYY160" s="20"/>
      <c r="WYZ160" s="20"/>
      <c r="WZA160" s="20"/>
      <c r="WZB160" s="20"/>
      <c r="WZC160" s="20"/>
      <c r="WZD160" s="20"/>
      <c r="WZE160" s="20"/>
      <c r="WZF160" s="20"/>
      <c r="WZG160" s="20"/>
      <c r="WZH160" s="20"/>
      <c r="WZI160" s="20"/>
      <c r="WZJ160" s="20"/>
      <c r="WZK160" s="20"/>
      <c r="WZL160" s="20"/>
      <c r="WZM160" s="20"/>
      <c r="WZN160" s="20"/>
      <c r="WZO160" s="20"/>
      <c r="WZP160" s="20"/>
      <c r="WZQ160" s="20"/>
      <c r="WZR160" s="20"/>
      <c r="WZS160" s="20"/>
      <c r="WZT160" s="20"/>
      <c r="WZU160" s="20"/>
      <c r="WZV160" s="20"/>
      <c r="WZW160" s="20"/>
      <c r="WZX160" s="20"/>
      <c r="WZY160" s="20"/>
      <c r="WZZ160" s="20"/>
      <c r="XAA160" s="20"/>
      <c r="XAB160" s="20"/>
      <c r="XAC160" s="20"/>
      <c r="XAD160" s="20"/>
      <c r="XAE160" s="20"/>
      <c r="XAF160" s="20"/>
      <c r="XAG160" s="20"/>
      <c r="XAH160" s="20"/>
      <c r="XAI160" s="20"/>
      <c r="XAJ160" s="20"/>
      <c r="XAK160" s="20"/>
      <c r="XAL160" s="20"/>
      <c r="XAM160" s="20"/>
      <c r="XAN160" s="20"/>
      <c r="XAO160" s="20"/>
      <c r="XAP160" s="20"/>
      <c r="XAQ160" s="20"/>
      <c r="XAR160" s="20"/>
      <c r="XAS160" s="20"/>
      <c r="XAT160" s="20"/>
      <c r="XAU160" s="20"/>
      <c r="XAV160" s="20"/>
      <c r="XAW160" s="20"/>
      <c r="XAX160" s="20"/>
      <c r="XAY160" s="20"/>
      <c r="XAZ160" s="20"/>
      <c r="XBA160" s="20"/>
      <c r="XBB160" s="20"/>
      <c r="XBC160" s="20"/>
      <c r="XBD160" s="20"/>
      <c r="XBE160" s="20"/>
      <c r="XBF160" s="20"/>
      <c r="XBG160" s="20"/>
      <c r="XBH160" s="20"/>
      <c r="XBI160" s="20"/>
      <c r="XBJ160" s="20"/>
      <c r="XBK160" s="20"/>
      <c r="XBL160" s="20"/>
      <c r="XBM160" s="20"/>
      <c r="XBN160" s="20"/>
      <c r="XBO160" s="20"/>
      <c r="XBP160" s="20"/>
      <c r="XBQ160" s="20"/>
      <c r="XBR160" s="20"/>
      <c r="XBS160" s="20"/>
      <c r="XBT160" s="20"/>
      <c r="XBU160" s="20"/>
      <c r="XBV160" s="20"/>
      <c r="XBW160" s="20"/>
      <c r="XBX160" s="20"/>
      <c r="XBY160" s="20"/>
      <c r="XBZ160" s="20"/>
      <c r="XCA160" s="20"/>
      <c r="XCB160" s="20"/>
      <c r="XCC160" s="20"/>
      <c r="XCD160" s="20"/>
      <c r="XCE160" s="20"/>
      <c r="XCF160" s="20"/>
      <c r="XCG160" s="20"/>
      <c r="XCH160" s="20"/>
      <c r="XCI160" s="20"/>
      <c r="XCJ160" s="20"/>
      <c r="XCK160" s="20"/>
      <c r="XCL160" s="20"/>
      <c r="XCM160" s="20"/>
      <c r="XCN160" s="20"/>
      <c r="XCO160" s="20"/>
      <c r="XCP160" s="20"/>
      <c r="XCQ160" s="20"/>
      <c r="XCR160" s="20"/>
      <c r="XCS160" s="20"/>
      <c r="XCT160" s="20"/>
      <c r="XCU160" s="20"/>
      <c r="XCV160" s="20"/>
      <c r="XCW160" s="20"/>
      <c r="XCX160" s="20"/>
      <c r="XCY160" s="20"/>
      <c r="XCZ160" s="20"/>
      <c r="XDA160" s="20"/>
      <c r="XDB160" s="20"/>
      <c r="XDC160" s="20"/>
      <c r="XDD160" s="20"/>
      <c r="XDE160" s="20"/>
      <c r="XDF160" s="20"/>
      <c r="XDG160" s="20"/>
      <c r="XDH160" s="20"/>
      <c r="XDI160" s="20"/>
      <c r="XDJ160" s="20"/>
      <c r="XDK160" s="20"/>
      <c r="XDL160" s="20"/>
      <c r="XDM160" s="20"/>
      <c r="XDN160" s="20"/>
      <c r="XDO160" s="20"/>
      <c r="XDP160" s="20"/>
      <c r="XDQ160" s="20"/>
      <c r="XDR160" s="20"/>
      <c r="XDS160" s="20"/>
      <c r="XDT160" s="20"/>
      <c r="XDU160" s="20"/>
      <c r="XDV160" s="20"/>
      <c r="XDW160" s="20"/>
      <c r="XDX160" s="20"/>
      <c r="XDY160" s="20"/>
      <c r="XDZ160" s="20"/>
      <c r="XEA160" s="20"/>
      <c r="XEB160" s="20"/>
      <c r="XEC160" s="20"/>
      <c r="XED160" s="20"/>
      <c r="XEE160" s="20"/>
      <c r="XEF160" s="20"/>
      <c r="XEG160" s="20"/>
      <c r="XEH160" s="20"/>
      <c r="XEI160" s="20"/>
      <c r="XEJ160" s="20"/>
      <c r="XEK160" s="20"/>
      <c r="XEL160" s="20"/>
      <c r="XEM160" s="20"/>
      <c r="XEN160" s="20"/>
      <c r="XEO160" s="20"/>
      <c r="XEP160" s="20"/>
      <c r="XEQ160" s="20"/>
      <c r="XER160" s="20"/>
      <c r="XES160" s="20"/>
      <c r="XET160" s="20"/>
      <c r="XEU160" s="20"/>
    </row>
    <row r="161" spans="1:269">
      <c r="A161" s="61" ph="1"/>
      <c r="B161" s="20" ph="1"/>
      <c r="C161" s="20" ph="1"/>
      <c r="D161" s="27" ph="1"/>
      <c r="E161" s="27" ph="1"/>
      <c r="F161" s="27" ph="1"/>
      <c r="G161" s="18" ph="1"/>
      <c r="H161" s="27" ph="1"/>
      <c r="I161" s="27" ph="1"/>
      <c r="J161" s="18" ph="1"/>
      <c r="K161" s="27" ph="1"/>
      <c r="L161" s="27" ph="1"/>
      <c r="M161" s="18" ph="1"/>
      <c r="N161" s="27" ph="1"/>
      <c r="O161" s="27" ph="1"/>
      <c r="P161" s="18" ph="1"/>
      <c r="Q161" s="27" ph="1"/>
      <c r="R161" s="18" ph="1"/>
      <c r="S161" s="18" ph="1"/>
      <c r="T161" s="18" ph="1"/>
      <c r="U161" s="18" ph="1"/>
      <c r="V161" s="18" ph="1"/>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8" ph="1"/>
      <c r="AZ161" s="105" ph="1"/>
      <c r="BA161" s="105" ph="1"/>
      <c r="BB161" s="105" ph="1"/>
      <c r="BC161" s="18" ph="1"/>
      <c r="BD161" s="89"/>
      <c r="BE161" s="89"/>
      <c r="BF161" s="89"/>
      <c r="BG161" s="89"/>
      <c r="BH161" s="89"/>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c r="DB161" s="20"/>
      <c r="DC161" s="20"/>
      <c r="DD161" s="20"/>
      <c r="DE161" s="20"/>
      <c r="DF161" s="20"/>
      <c r="DG161" s="20"/>
      <c r="DH161" s="20"/>
      <c r="DI161" s="20"/>
      <c r="DJ161" s="20"/>
      <c r="DK161" s="20"/>
      <c r="DL161" s="20"/>
      <c r="DM161" s="20"/>
      <c r="DN161" s="20"/>
      <c r="DO161" s="20"/>
      <c r="DP161" s="20"/>
      <c r="DQ161" s="20"/>
      <c r="DR161" s="20"/>
      <c r="DS161" s="20"/>
      <c r="DT161" s="20"/>
      <c r="DU161" s="20"/>
      <c r="DV161" s="20"/>
      <c r="DW161" s="20"/>
      <c r="DX161" s="20"/>
      <c r="DY161" s="20"/>
      <c r="DZ161" s="20"/>
      <c r="EA161" s="20"/>
      <c r="EB161" s="20"/>
      <c r="EC161" s="20"/>
      <c r="ED161" s="20"/>
      <c r="EE161" s="20"/>
      <c r="EF161" s="20"/>
      <c r="EG161" s="20"/>
      <c r="EH161" s="20"/>
      <c r="EI161" s="20"/>
      <c r="EJ161" s="20"/>
      <c r="EK161" s="20"/>
      <c r="EL161" s="20"/>
      <c r="EM161" s="20"/>
      <c r="EN161" s="20"/>
      <c r="EO161" s="20"/>
      <c r="EP161" s="20"/>
      <c r="EQ161" s="20"/>
      <c r="ER161" s="20"/>
      <c r="ES161" s="20"/>
      <c r="ET161" s="20"/>
      <c r="EU161" s="20"/>
      <c r="EV161" s="20"/>
      <c r="EW161" s="20"/>
      <c r="EX161" s="20"/>
      <c r="EY161" s="20"/>
      <c r="EZ161" s="20"/>
      <c r="FA161" s="20"/>
      <c r="FB161" s="20"/>
      <c r="FC161" s="20"/>
      <c r="FD161" s="20"/>
      <c r="FE161" s="20"/>
      <c r="FF161" s="20"/>
      <c r="FG161" s="20"/>
      <c r="FH161" s="20"/>
      <c r="FI161" s="20"/>
      <c r="FJ161" s="20"/>
      <c r="FK161" s="20"/>
      <c r="FL161" s="20"/>
      <c r="FM161" s="20"/>
      <c r="FN161" s="20"/>
      <c r="FO161" s="20"/>
      <c r="FP161" s="20"/>
      <c r="FQ161" s="20"/>
      <c r="FR161" s="20"/>
      <c r="FS161" s="20"/>
      <c r="FT161" s="20"/>
      <c r="FU161" s="20"/>
      <c r="FV161" s="20"/>
      <c r="FW161" s="20"/>
      <c r="FX161" s="20"/>
      <c r="FY161" s="20"/>
      <c r="FZ161" s="20"/>
      <c r="GA161" s="20"/>
      <c r="GB161" s="20"/>
      <c r="GC161" s="20"/>
      <c r="GD161" s="20"/>
      <c r="GE161" s="20"/>
      <c r="GF161" s="20"/>
      <c r="GG161" s="20"/>
      <c r="GH161" s="20"/>
      <c r="GI161" s="20"/>
      <c r="GJ161" s="20"/>
      <c r="GK161" s="20"/>
      <c r="GL161" s="20"/>
      <c r="GM161" s="20"/>
      <c r="GN161" s="20"/>
      <c r="GO161" s="20"/>
      <c r="GP161" s="20"/>
      <c r="GQ161" s="20"/>
      <c r="GR161" s="20"/>
      <c r="GS161" s="20"/>
      <c r="GT161" s="20"/>
      <c r="GU161" s="20"/>
      <c r="GV161" s="20"/>
      <c r="GW161" s="20"/>
      <c r="GX161" s="20"/>
      <c r="GY161" s="20"/>
      <c r="GZ161" s="20"/>
      <c r="HA161" s="20"/>
      <c r="HB161" s="20"/>
      <c r="HC161" s="20"/>
      <c r="HD161" s="20"/>
      <c r="HE161" s="20"/>
      <c r="HF161" s="20"/>
      <c r="HG161" s="20"/>
      <c r="HH161" s="20"/>
      <c r="HI161" s="20"/>
      <c r="HJ161" s="20"/>
      <c r="HK161" s="20"/>
      <c r="HL161" s="20"/>
      <c r="HM161" s="20"/>
      <c r="HN161" s="20"/>
      <c r="HO161" s="20"/>
      <c r="HP161" s="20"/>
      <c r="HQ161" s="20"/>
      <c r="HR161" s="20"/>
      <c r="HS161" s="20"/>
      <c r="HT161" s="20"/>
      <c r="HU161" s="20"/>
      <c r="HV161" s="20"/>
      <c r="HW161" s="20"/>
      <c r="HX161" s="20"/>
      <c r="HY161" s="20"/>
      <c r="HZ161" s="20"/>
      <c r="IA161" s="20"/>
      <c r="IB161" s="20"/>
      <c r="IC161" s="20"/>
      <c r="ID161" s="20"/>
      <c r="IE161" s="20"/>
      <c r="IF161" s="20"/>
      <c r="IG161" s="20"/>
      <c r="IH161" s="20"/>
      <c r="II161" s="20"/>
      <c r="IJ161" s="20"/>
      <c r="IK161" s="20"/>
      <c r="IL161" s="20"/>
      <c r="IM161" s="20"/>
      <c r="IN161" s="20"/>
      <c r="IO161" s="20"/>
      <c r="IP161" s="20"/>
      <c r="IQ161" s="20"/>
      <c r="IR161" s="20"/>
      <c r="IS161" s="20"/>
      <c r="IT161" s="20"/>
      <c r="IU161" s="20"/>
      <c r="IV161" s="20"/>
      <c r="IW161" s="20"/>
      <c r="IX161" s="20"/>
      <c r="IY161" s="20"/>
      <c r="IZ161" s="20"/>
      <c r="JA161" s="20"/>
      <c r="JB161" s="20"/>
      <c r="JC161" s="20"/>
      <c r="JD161" s="20"/>
      <c r="JE161" s="20"/>
      <c r="JF161" s="20"/>
      <c r="JG161" s="20"/>
      <c r="JH161" s="20"/>
      <c r="JI161" s="20"/>
    </row>
    <row r="162" spans="1:269">
      <c r="A162" s="61" ph="1"/>
      <c r="B162" s="20" ph="1"/>
      <c r="C162" s="20" ph="1"/>
      <c r="D162" s="27" ph="1"/>
      <c r="E162" s="27" ph="1"/>
      <c r="F162" s="27" ph="1"/>
      <c r="G162" s="18" ph="1"/>
      <c r="H162" s="27" ph="1"/>
      <c r="I162" s="27" ph="1"/>
      <c r="J162" s="18" ph="1"/>
      <c r="K162" s="27" ph="1"/>
      <c r="L162" s="27" ph="1"/>
      <c r="M162" s="18" ph="1"/>
      <c r="N162" s="27" ph="1"/>
      <c r="O162" s="27" ph="1"/>
      <c r="P162" s="18" ph="1"/>
      <c r="Q162" s="27" ph="1"/>
      <c r="R162" s="18" ph="1"/>
      <c r="S162" s="18" ph="1"/>
      <c r="T162" s="18" ph="1"/>
      <c r="U162" s="18" ph="1"/>
      <c r="V162" s="18" ph="1"/>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8" ph="1"/>
      <c r="AZ162" s="105" ph="1"/>
      <c r="BA162" s="105" ph="1"/>
      <c r="BB162" s="105" ph="1"/>
      <c r="BC162" s="18" ph="1"/>
      <c r="BD162" s="89"/>
      <c r="BE162" s="89"/>
      <c r="BF162" s="89"/>
      <c r="BG162" s="89"/>
      <c r="BH162" s="89"/>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c r="DV162" s="20"/>
      <c r="DW162" s="20"/>
      <c r="DX162" s="20"/>
      <c r="DY162" s="20"/>
      <c r="DZ162" s="20"/>
      <c r="EA162" s="20"/>
      <c r="EB162" s="20"/>
      <c r="EC162" s="20"/>
      <c r="ED162" s="20"/>
      <c r="EE162" s="20"/>
      <c r="EF162" s="20"/>
      <c r="EG162" s="20"/>
      <c r="EH162" s="20"/>
      <c r="EI162" s="20"/>
      <c r="EJ162" s="20"/>
      <c r="EK162" s="20"/>
      <c r="EL162" s="20"/>
      <c r="EM162" s="20"/>
      <c r="EN162" s="20"/>
      <c r="EO162" s="20"/>
      <c r="EP162" s="20"/>
      <c r="EQ162" s="20"/>
      <c r="ER162" s="20"/>
      <c r="ES162" s="20"/>
      <c r="ET162" s="20"/>
      <c r="EU162" s="20"/>
      <c r="EV162" s="20"/>
      <c r="EW162" s="20"/>
      <c r="EX162" s="20"/>
      <c r="EY162" s="20"/>
      <c r="EZ162" s="20"/>
      <c r="FA162" s="20"/>
      <c r="FB162" s="20"/>
      <c r="FC162" s="20"/>
      <c r="FD162" s="20"/>
      <c r="FE162" s="20"/>
      <c r="FF162" s="20"/>
      <c r="FG162" s="20"/>
      <c r="FH162" s="20"/>
      <c r="FI162" s="20"/>
      <c r="FJ162" s="20"/>
      <c r="FK162" s="20"/>
      <c r="FL162" s="20"/>
      <c r="FM162" s="20"/>
      <c r="FN162" s="20"/>
      <c r="FO162" s="20"/>
      <c r="FP162" s="20"/>
      <c r="FQ162" s="20"/>
      <c r="FR162" s="20"/>
      <c r="FS162" s="20"/>
      <c r="FT162" s="20"/>
      <c r="FU162" s="20"/>
      <c r="FV162" s="20"/>
      <c r="FW162" s="20"/>
      <c r="FX162" s="20"/>
      <c r="FY162" s="20"/>
      <c r="FZ162" s="20"/>
      <c r="GA162" s="20"/>
      <c r="GB162" s="20"/>
      <c r="GC162" s="20"/>
      <c r="GD162" s="20"/>
      <c r="GE162" s="20"/>
      <c r="GF162" s="20"/>
      <c r="GG162" s="20"/>
      <c r="GH162" s="20"/>
      <c r="GI162" s="20"/>
      <c r="GJ162" s="20"/>
      <c r="GK162" s="20"/>
      <c r="GL162" s="20"/>
      <c r="GM162" s="20"/>
      <c r="GN162" s="20"/>
      <c r="GO162" s="20"/>
      <c r="GP162" s="20"/>
      <c r="GQ162" s="20"/>
      <c r="GR162" s="20"/>
      <c r="GS162" s="20"/>
      <c r="GT162" s="20"/>
      <c r="GU162" s="20"/>
      <c r="GV162" s="20"/>
      <c r="GW162" s="20"/>
      <c r="GX162" s="20"/>
      <c r="GY162" s="20"/>
      <c r="GZ162" s="20"/>
      <c r="HA162" s="20"/>
      <c r="HB162" s="20"/>
      <c r="HC162" s="20"/>
      <c r="HD162" s="20"/>
      <c r="HE162" s="20"/>
      <c r="HF162" s="20"/>
      <c r="HG162" s="20"/>
      <c r="HH162" s="20"/>
      <c r="HI162" s="20"/>
      <c r="HJ162" s="20"/>
      <c r="HK162" s="20"/>
      <c r="HL162" s="20"/>
      <c r="HM162" s="20"/>
      <c r="HN162" s="20"/>
      <c r="HO162" s="20"/>
      <c r="HP162" s="20"/>
      <c r="HQ162" s="20"/>
      <c r="HR162" s="20"/>
      <c r="HS162" s="20"/>
      <c r="HT162" s="20"/>
      <c r="HU162" s="20"/>
      <c r="HV162" s="20"/>
      <c r="HW162" s="20"/>
      <c r="HX162" s="20"/>
      <c r="HY162" s="20"/>
      <c r="HZ162" s="20"/>
      <c r="IA162" s="20"/>
      <c r="IB162" s="20"/>
      <c r="IC162" s="20"/>
      <c r="ID162" s="20"/>
      <c r="IE162" s="20"/>
      <c r="IF162" s="20"/>
      <c r="IG162" s="20"/>
      <c r="IH162" s="20"/>
      <c r="II162" s="20"/>
      <c r="IJ162" s="20"/>
      <c r="IK162" s="20"/>
      <c r="IL162" s="20"/>
      <c r="IM162" s="20"/>
      <c r="IN162" s="20"/>
      <c r="IO162" s="20"/>
      <c r="IP162" s="20"/>
      <c r="IQ162" s="20"/>
      <c r="IR162" s="20"/>
      <c r="IS162" s="20"/>
      <c r="IT162" s="20"/>
      <c r="IU162" s="20"/>
      <c r="IV162" s="20"/>
      <c r="IW162" s="20"/>
      <c r="IX162" s="20"/>
      <c r="IY162" s="20"/>
      <c r="IZ162" s="20"/>
      <c r="JA162" s="20"/>
      <c r="JB162" s="20"/>
      <c r="JC162" s="20"/>
      <c r="JD162" s="20"/>
      <c r="JE162" s="20"/>
      <c r="JF162" s="20"/>
      <c r="JG162" s="20"/>
      <c r="JH162" s="20"/>
      <c r="JI162" s="20"/>
    </row>
    <row r="163" spans="1:269">
      <c r="A163" s="61" ph="1"/>
      <c r="B163" s="20" ph="1"/>
      <c r="C163" s="20" ph="1"/>
      <c r="D163" s="27" ph="1"/>
      <c r="E163" s="27" ph="1"/>
      <c r="F163" s="27" ph="1"/>
      <c r="G163" s="18" ph="1"/>
      <c r="H163" s="27" ph="1"/>
      <c r="I163" s="27" ph="1"/>
      <c r="J163" s="18" ph="1"/>
      <c r="K163" s="27" ph="1"/>
      <c r="L163" s="27" ph="1"/>
      <c r="M163" s="18" ph="1"/>
      <c r="N163" s="27" ph="1"/>
      <c r="O163" s="27" ph="1"/>
      <c r="P163" s="18" ph="1"/>
      <c r="Q163" s="27" ph="1"/>
      <c r="R163" s="18" ph="1"/>
      <c r="S163" s="18" ph="1"/>
      <c r="T163" s="18" ph="1"/>
      <c r="U163" s="18" ph="1"/>
      <c r="V163" s="18" ph="1"/>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8" ph="1"/>
      <c r="AZ163" s="105" ph="1"/>
      <c r="BA163" s="105" ph="1"/>
      <c r="BB163" s="105" ph="1"/>
      <c r="BC163" s="18" ph="1"/>
      <c r="BD163" s="89"/>
      <c r="BE163" s="89"/>
      <c r="BF163" s="89"/>
      <c r="BG163" s="89"/>
      <c r="BH163" s="89"/>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c r="CL163" s="20"/>
      <c r="CM163" s="20"/>
      <c r="CN163" s="20"/>
      <c r="CO163" s="20"/>
      <c r="CP163" s="20"/>
      <c r="CQ163" s="20"/>
      <c r="CR163" s="20"/>
      <c r="CS163" s="20"/>
      <c r="CT163" s="20"/>
      <c r="CU163" s="20"/>
      <c r="CV163" s="20"/>
      <c r="CW163" s="20"/>
      <c r="CX163" s="20"/>
      <c r="CY163" s="20"/>
      <c r="CZ163" s="20"/>
      <c r="DA163" s="20"/>
      <c r="DB163" s="20"/>
      <c r="DC163" s="20"/>
      <c r="DD163" s="20"/>
      <c r="DE163" s="20"/>
      <c r="DF163" s="20"/>
      <c r="DG163" s="20"/>
      <c r="DH163" s="20"/>
      <c r="DI163" s="20"/>
      <c r="DJ163" s="20"/>
      <c r="DK163" s="20"/>
      <c r="DL163" s="20"/>
      <c r="DM163" s="20"/>
      <c r="DN163" s="20"/>
      <c r="DO163" s="20"/>
      <c r="DP163" s="20"/>
      <c r="DQ163" s="20"/>
      <c r="DR163" s="20"/>
      <c r="DS163" s="20"/>
      <c r="DT163" s="20"/>
      <c r="DU163" s="20"/>
      <c r="DV163" s="20"/>
      <c r="DW163" s="20"/>
      <c r="DX163" s="20"/>
      <c r="DY163" s="20"/>
      <c r="DZ163" s="20"/>
      <c r="EA163" s="20"/>
      <c r="EB163" s="20"/>
      <c r="EC163" s="20"/>
      <c r="ED163" s="20"/>
      <c r="EE163" s="20"/>
      <c r="EF163" s="20"/>
      <c r="EG163" s="20"/>
      <c r="EH163" s="20"/>
      <c r="EI163" s="20"/>
      <c r="EJ163" s="20"/>
      <c r="EK163" s="20"/>
      <c r="EL163" s="20"/>
      <c r="EM163" s="20"/>
      <c r="EN163" s="20"/>
      <c r="EO163" s="20"/>
      <c r="EP163" s="20"/>
      <c r="EQ163" s="20"/>
      <c r="ER163" s="20"/>
      <c r="ES163" s="20"/>
      <c r="ET163" s="20"/>
      <c r="EU163" s="20"/>
      <c r="EV163" s="20"/>
      <c r="EW163" s="20"/>
      <c r="EX163" s="20"/>
      <c r="EY163" s="20"/>
      <c r="EZ163" s="20"/>
      <c r="FA163" s="20"/>
      <c r="FB163" s="20"/>
      <c r="FC163" s="20"/>
      <c r="FD163" s="20"/>
      <c r="FE163" s="20"/>
      <c r="FF163" s="20"/>
      <c r="FG163" s="20"/>
      <c r="FH163" s="20"/>
      <c r="FI163" s="20"/>
      <c r="FJ163" s="20"/>
      <c r="FK163" s="20"/>
      <c r="FL163" s="20"/>
      <c r="FM163" s="20"/>
      <c r="FN163" s="20"/>
      <c r="FO163" s="20"/>
      <c r="FP163" s="20"/>
      <c r="FQ163" s="20"/>
      <c r="FR163" s="20"/>
      <c r="FS163" s="20"/>
      <c r="FT163" s="20"/>
      <c r="FU163" s="20"/>
      <c r="FV163" s="20"/>
      <c r="FW163" s="20"/>
      <c r="FX163" s="20"/>
      <c r="FY163" s="20"/>
      <c r="FZ163" s="20"/>
      <c r="GA163" s="20"/>
      <c r="GB163" s="20"/>
      <c r="GC163" s="20"/>
      <c r="GD163" s="20"/>
      <c r="GE163" s="20"/>
      <c r="GF163" s="20"/>
      <c r="GG163" s="20"/>
      <c r="GH163" s="20"/>
      <c r="GI163" s="20"/>
      <c r="GJ163" s="20"/>
      <c r="GK163" s="20"/>
      <c r="GL163" s="20"/>
      <c r="GM163" s="20"/>
      <c r="GN163" s="20"/>
      <c r="GO163" s="20"/>
      <c r="GP163" s="20"/>
      <c r="GQ163" s="20"/>
      <c r="GR163" s="20"/>
      <c r="GS163" s="20"/>
      <c r="GT163" s="20"/>
      <c r="GU163" s="20"/>
      <c r="GV163" s="20"/>
      <c r="GW163" s="20"/>
      <c r="GX163" s="20"/>
      <c r="GY163" s="20"/>
      <c r="GZ163" s="20"/>
      <c r="HA163" s="20"/>
      <c r="HB163" s="20"/>
      <c r="HC163" s="20"/>
      <c r="HD163" s="20"/>
      <c r="HE163" s="20"/>
      <c r="HF163" s="20"/>
      <c r="HG163" s="20"/>
      <c r="HH163" s="20"/>
      <c r="HI163" s="20"/>
      <c r="HJ163" s="20"/>
      <c r="HK163" s="20"/>
      <c r="HL163" s="20"/>
      <c r="HM163" s="20"/>
      <c r="HN163" s="20"/>
      <c r="HO163" s="20"/>
      <c r="HP163" s="20"/>
      <c r="HQ163" s="20"/>
      <c r="HR163" s="20"/>
      <c r="HS163" s="20"/>
      <c r="HT163" s="20"/>
      <c r="HU163" s="20"/>
      <c r="HV163" s="20"/>
      <c r="HW163" s="20"/>
      <c r="HX163" s="20"/>
      <c r="HY163" s="20"/>
      <c r="HZ163" s="20"/>
      <c r="IA163" s="20"/>
      <c r="IB163" s="20"/>
      <c r="IC163" s="20"/>
      <c r="ID163" s="20"/>
      <c r="IE163" s="20"/>
      <c r="IF163" s="20"/>
      <c r="IG163" s="20"/>
      <c r="IH163" s="20"/>
      <c r="II163" s="20"/>
      <c r="IJ163" s="20"/>
      <c r="IK163" s="20"/>
      <c r="IL163" s="20"/>
      <c r="IM163" s="20"/>
      <c r="IN163" s="20"/>
      <c r="IO163" s="20"/>
      <c r="IP163" s="20"/>
      <c r="IQ163" s="20"/>
      <c r="IR163" s="20"/>
      <c r="IS163" s="20"/>
      <c r="IT163" s="20"/>
      <c r="IU163" s="20"/>
      <c r="IV163" s="20"/>
      <c r="IW163" s="20"/>
      <c r="IX163" s="20"/>
      <c r="IY163" s="20"/>
      <c r="IZ163" s="20"/>
      <c r="JA163" s="20"/>
      <c r="JB163" s="20"/>
      <c r="JC163" s="20"/>
      <c r="JD163" s="20"/>
      <c r="JE163" s="20"/>
      <c r="JF163" s="20"/>
      <c r="JG163" s="20"/>
      <c r="JH163" s="20"/>
      <c r="JI163" s="20"/>
    </row>
    <row r="164" spans="1:269">
      <c r="A164" s="61" ph="1"/>
      <c r="B164" s="20" ph="1"/>
      <c r="C164" s="20" ph="1"/>
      <c r="D164" s="27" ph="1"/>
      <c r="E164" s="27" ph="1"/>
      <c r="F164" s="27" ph="1"/>
      <c r="G164" s="18" ph="1"/>
      <c r="H164" s="27" ph="1"/>
      <c r="I164" s="27" ph="1"/>
      <c r="J164" s="18" ph="1"/>
      <c r="K164" s="27" ph="1"/>
      <c r="L164" s="27" ph="1"/>
      <c r="M164" s="18" ph="1"/>
      <c r="N164" s="27" ph="1"/>
      <c r="O164" s="27" ph="1"/>
      <c r="P164" s="18" ph="1"/>
      <c r="Q164" s="27" ph="1"/>
      <c r="R164" s="18" ph="1"/>
      <c r="S164" s="18" ph="1"/>
      <c r="T164" s="18" ph="1"/>
      <c r="U164" s="18" ph="1"/>
      <c r="V164" s="18" ph="1"/>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8" ph="1"/>
      <c r="AZ164" s="105" ph="1"/>
      <c r="BA164" s="105" ph="1"/>
      <c r="BB164" s="105" ph="1"/>
      <c r="BC164" s="18" ph="1"/>
      <c r="BD164" s="89"/>
      <c r="BE164" s="89"/>
      <c r="BF164" s="89"/>
      <c r="BG164" s="89"/>
      <c r="BH164" s="89"/>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c r="CL164" s="20"/>
      <c r="CM164" s="20"/>
      <c r="CN164" s="20"/>
      <c r="CO164" s="20"/>
      <c r="CP164" s="20"/>
      <c r="CQ164" s="20"/>
      <c r="CR164" s="20"/>
      <c r="CS164" s="20"/>
      <c r="CT164" s="20"/>
      <c r="CU164" s="20"/>
      <c r="CV164" s="20"/>
      <c r="CW164" s="20"/>
      <c r="CX164" s="20"/>
      <c r="CY164" s="20"/>
      <c r="CZ164" s="20"/>
      <c r="DA164" s="20"/>
      <c r="DB164" s="20"/>
      <c r="DC164" s="20"/>
      <c r="DD164" s="20"/>
      <c r="DE164" s="20"/>
      <c r="DF164" s="20"/>
      <c r="DG164" s="20"/>
      <c r="DH164" s="20"/>
      <c r="DI164" s="20"/>
      <c r="DJ164" s="20"/>
      <c r="DK164" s="20"/>
      <c r="DL164" s="20"/>
      <c r="DM164" s="20"/>
      <c r="DN164" s="20"/>
      <c r="DO164" s="20"/>
      <c r="DP164" s="20"/>
      <c r="DQ164" s="20"/>
      <c r="DR164" s="20"/>
      <c r="DS164" s="20"/>
      <c r="DT164" s="20"/>
      <c r="DU164" s="20"/>
      <c r="DV164" s="20"/>
      <c r="DW164" s="20"/>
      <c r="DX164" s="20"/>
      <c r="DY164" s="20"/>
      <c r="DZ164" s="20"/>
      <c r="EA164" s="20"/>
      <c r="EB164" s="20"/>
      <c r="EC164" s="20"/>
      <c r="ED164" s="20"/>
      <c r="EE164" s="20"/>
      <c r="EF164" s="20"/>
      <c r="EG164" s="20"/>
      <c r="EH164" s="20"/>
      <c r="EI164" s="20"/>
      <c r="EJ164" s="20"/>
      <c r="EK164" s="20"/>
      <c r="EL164" s="20"/>
      <c r="EM164" s="20"/>
      <c r="EN164" s="20"/>
      <c r="EO164" s="20"/>
      <c r="EP164" s="20"/>
      <c r="EQ164" s="20"/>
      <c r="ER164" s="20"/>
      <c r="ES164" s="20"/>
      <c r="ET164" s="20"/>
      <c r="EU164" s="20"/>
      <c r="EV164" s="20"/>
      <c r="EW164" s="20"/>
      <c r="EX164" s="20"/>
      <c r="EY164" s="20"/>
      <c r="EZ164" s="20"/>
      <c r="FA164" s="20"/>
      <c r="FB164" s="20"/>
      <c r="FC164" s="20"/>
      <c r="FD164" s="20"/>
      <c r="FE164" s="20"/>
      <c r="FF164" s="20"/>
      <c r="FG164" s="20"/>
      <c r="FH164" s="20"/>
      <c r="FI164" s="20"/>
      <c r="FJ164" s="20"/>
      <c r="FK164" s="20"/>
      <c r="FL164" s="20"/>
      <c r="FM164" s="20"/>
      <c r="FN164" s="20"/>
      <c r="FO164" s="20"/>
      <c r="FP164" s="20"/>
      <c r="FQ164" s="20"/>
      <c r="FR164" s="20"/>
      <c r="FS164" s="20"/>
      <c r="FT164" s="20"/>
      <c r="FU164" s="20"/>
      <c r="FV164" s="20"/>
      <c r="FW164" s="20"/>
      <c r="FX164" s="20"/>
      <c r="FY164" s="20"/>
      <c r="FZ164" s="20"/>
      <c r="GA164" s="20"/>
      <c r="GB164" s="20"/>
      <c r="GC164" s="20"/>
      <c r="GD164" s="20"/>
      <c r="GE164" s="20"/>
      <c r="GF164" s="20"/>
      <c r="GG164" s="20"/>
      <c r="GH164" s="20"/>
      <c r="GI164" s="20"/>
      <c r="GJ164" s="20"/>
      <c r="GK164" s="20"/>
      <c r="GL164" s="20"/>
      <c r="GM164" s="20"/>
      <c r="GN164" s="20"/>
      <c r="GO164" s="20"/>
      <c r="GP164" s="20"/>
      <c r="GQ164" s="20"/>
      <c r="GR164" s="20"/>
      <c r="GS164" s="20"/>
      <c r="GT164" s="20"/>
      <c r="GU164" s="20"/>
      <c r="GV164" s="20"/>
      <c r="GW164" s="20"/>
      <c r="GX164" s="20"/>
      <c r="GY164" s="20"/>
      <c r="GZ164" s="20"/>
      <c r="HA164" s="20"/>
      <c r="HB164" s="20"/>
      <c r="HC164" s="20"/>
      <c r="HD164" s="20"/>
      <c r="HE164" s="20"/>
      <c r="HF164" s="20"/>
      <c r="HG164" s="20"/>
      <c r="HH164" s="20"/>
      <c r="HI164" s="20"/>
      <c r="HJ164" s="20"/>
      <c r="HK164" s="20"/>
      <c r="HL164" s="20"/>
      <c r="HM164" s="20"/>
      <c r="HN164" s="20"/>
      <c r="HO164" s="20"/>
      <c r="HP164" s="20"/>
      <c r="HQ164" s="20"/>
      <c r="HR164" s="20"/>
      <c r="HS164" s="20"/>
      <c r="HT164" s="20"/>
      <c r="HU164" s="20"/>
      <c r="HV164" s="20"/>
      <c r="HW164" s="20"/>
      <c r="HX164" s="20"/>
      <c r="HY164" s="20"/>
      <c r="HZ164" s="20"/>
      <c r="IA164" s="20"/>
      <c r="IB164" s="20"/>
      <c r="IC164" s="20"/>
      <c r="ID164" s="20"/>
      <c r="IE164" s="20"/>
      <c r="IF164" s="20"/>
      <c r="IG164" s="20"/>
      <c r="IH164" s="20"/>
      <c r="II164" s="20"/>
      <c r="IJ164" s="20"/>
      <c r="IK164" s="20"/>
      <c r="IL164" s="20"/>
      <c r="IM164" s="20"/>
      <c r="IN164" s="20"/>
      <c r="IO164" s="20"/>
      <c r="IP164" s="20"/>
      <c r="IQ164" s="20"/>
      <c r="IR164" s="20"/>
      <c r="IS164" s="20"/>
      <c r="IT164" s="20"/>
      <c r="IU164" s="20"/>
      <c r="IV164" s="20"/>
      <c r="IW164" s="20"/>
      <c r="IX164" s="20"/>
      <c r="IY164" s="20"/>
      <c r="IZ164" s="20"/>
      <c r="JA164" s="20"/>
      <c r="JB164" s="20"/>
      <c r="JC164" s="20"/>
      <c r="JD164" s="20"/>
      <c r="JE164" s="20"/>
      <c r="JF164" s="20"/>
      <c r="JG164" s="20"/>
      <c r="JH164" s="20"/>
      <c r="JI164" s="20"/>
    </row>
    <row r="165" spans="1:269">
      <c r="A165" s="61" ph="1"/>
      <c r="B165" s="20" ph="1"/>
      <c r="C165" s="20" ph="1"/>
      <c r="D165" s="27" ph="1"/>
      <c r="E165" s="27" ph="1"/>
      <c r="F165" s="27" ph="1"/>
      <c r="G165" s="18" ph="1"/>
      <c r="H165" s="27" ph="1"/>
      <c r="I165" s="27" ph="1"/>
      <c r="J165" s="18" ph="1"/>
      <c r="K165" s="27" ph="1"/>
      <c r="L165" s="27" ph="1"/>
      <c r="M165" s="18" ph="1"/>
      <c r="N165" s="27" ph="1"/>
      <c r="O165" s="27" ph="1"/>
      <c r="P165" s="18" ph="1"/>
      <c r="Q165" s="27" ph="1"/>
      <c r="R165" s="18" ph="1"/>
      <c r="S165" s="18" ph="1"/>
      <c r="T165" s="18" ph="1"/>
      <c r="U165" s="18" ph="1"/>
      <c r="V165" s="18" ph="1"/>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8" ph="1"/>
      <c r="AY165" s="105" ph="1"/>
      <c r="AZ165" s="105" ph="1"/>
      <c r="BA165" s="105" ph="1"/>
      <c r="BB165" s="105" ph="1"/>
      <c r="BC165" s="18" ph="1"/>
      <c r="BD165" s="89"/>
      <c r="BE165" s="89"/>
      <c r="BF165" s="89"/>
      <c r="BG165" s="89"/>
      <c r="BH165" s="89"/>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c r="DB165" s="20"/>
      <c r="DC165" s="20"/>
      <c r="DD165" s="20"/>
      <c r="DE165" s="20"/>
      <c r="DF165" s="20"/>
      <c r="DG165" s="20"/>
      <c r="DH165" s="20"/>
      <c r="DI165" s="20"/>
      <c r="DJ165" s="20"/>
      <c r="DK165" s="20"/>
      <c r="DL165" s="20"/>
      <c r="DM165" s="20"/>
      <c r="DN165" s="20"/>
      <c r="DO165" s="20"/>
      <c r="DP165" s="20"/>
      <c r="DQ165" s="20"/>
      <c r="DR165" s="20"/>
      <c r="DS165" s="20"/>
      <c r="DT165" s="20"/>
      <c r="DU165" s="20"/>
      <c r="DV165" s="20"/>
      <c r="DW165" s="20"/>
      <c r="DX165" s="20"/>
      <c r="DY165" s="20"/>
      <c r="DZ165" s="20"/>
      <c r="EA165" s="20"/>
      <c r="EB165" s="20"/>
      <c r="EC165" s="20"/>
      <c r="ED165" s="20"/>
      <c r="EE165" s="20"/>
      <c r="EF165" s="20"/>
      <c r="EG165" s="20"/>
      <c r="EH165" s="20"/>
      <c r="EI165" s="20"/>
      <c r="EJ165" s="20"/>
      <c r="EK165" s="20"/>
      <c r="EL165" s="20"/>
      <c r="EM165" s="20"/>
      <c r="EN165" s="20"/>
      <c r="EO165" s="20"/>
      <c r="EP165" s="20"/>
      <c r="EQ165" s="20"/>
      <c r="ER165" s="20"/>
      <c r="ES165" s="20"/>
      <c r="ET165" s="20"/>
      <c r="EU165" s="20"/>
      <c r="EV165" s="20"/>
      <c r="EW165" s="20"/>
      <c r="EX165" s="20"/>
      <c r="EY165" s="20"/>
      <c r="EZ165" s="20"/>
      <c r="FA165" s="20"/>
      <c r="FB165" s="20"/>
      <c r="FC165" s="20"/>
      <c r="FD165" s="20"/>
      <c r="FE165" s="20"/>
      <c r="FF165" s="20"/>
      <c r="FG165" s="20"/>
      <c r="FH165" s="20"/>
      <c r="FI165" s="20"/>
      <c r="FJ165" s="20"/>
      <c r="FK165" s="20"/>
      <c r="FL165" s="20"/>
      <c r="FM165" s="20"/>
      <c r="FN165" s="20"/>
      <c r="FO165" s="20"/>
      <c r="FP165" s="20"/>
      <c r="FQ165" s="20"/>
      <c r="FR165" s="20"/>
      <c r="FS165" s="20"/>
      <c r="FT165" s="20"/>
      <c r="FU165" s="20"/>
      <c r="FV165" s="20"/>
      <c r="FW165" s="20"/>
      <c r="FX165" s="20"/>
      <c r="FY165" s="20"/>
      <c r="FZ165" s="20"/>
      <c r="GA165" s="20"/>
      <c r="GB165" s="20"/>
      <c r="GC165" s="20"/>
      <c r="GD165" s="20"/>
      <c r="GE165" s="20"/>
      <c r="GF165" s="20"/>
      <c r="GG165" s="20"/>
      <c r="GH165" s="20"/>
      <c r="GI165" s="20"/>
      <c r="GJ165" s="20"/>
      <c r="GK165" s="20"/>
      <c r="GL165" s="20"/>
      <c r="GM165" s="20"/>
      <c r="GN165" s="20"/>
      <c r="GO165" s="20"/>
      <c r="GP165" s="20"/>
      <c r="GQ165" s="20"/>
      <c r="GR165" s="20"/>
      <c r="GS165" s="20"/>
      <c r="GT165" s="20"/>
      <c r="GU165" s="20"/>
      <c r="GV165" s="20"/>
      <c r="GW165" s="20"/>
      <c r="GX165" s="20"/>
      <c r="GY165" s="20"/>
      <c r="GZ165" s="20"/>
      <c r="HA165" s="20"/>
      <c r="HB165" s="20"/>
      <c r="HC165" s="20"/>
      <c r="HD165" s="20"/>
      <c r="HE165" s="20"/>
      <c r="HF165" s="20"/>
      <c r="HG165" s="20"/>
      <c r="HH165" s="20"/>
      <c r="HI165" s="20"/>
      <c r="HJ165" s="20"/>
      <c r="HK165" s="20"/>
      <c r="HL165" s="20"/>
      <c r="HM165" s="20"/>
      <c r="HN165" s="20"/>
      <c r="HO165" s="20"/>
      <c r="HP165" s="20"/>
      <c r="HQ165" s="20"/>
      <c r="HR165" s="20"/>
      <c r="HS165" s="20"/>
      <c r="HT165" s="20"/>
      <c r="HU165" s="20"/>
      <c r="HV165" s="20"/>
      <c r="HW165" s="20"/>
      <c r="HX165" s="20"/>
      <c r="HY165" s="20"/>
      <c r="HZ165" s="20"/>
      <c r="IA165" s="20"/>
      <c r="IB165" s="20"/>
      <c r="IC165" s="20"/>
      <c r="ID165" s="20"/>
      <c r="IE165" s="20"/>
      <c r="IF165" s="20"/>
      <c r="IG165" s="20"/>
      <c r="IH165" s="20"/>
      <c r="II165" s="20"/>
      <c r="IJ165" s="20"/>
      <c r="IK165" s="20"/>
      <c r="IL165" s="20"/>
      <c r="IM165" s="20"/>
      <c r="IN165" s="20"/>
      <c r="IO165" s="20"/>
      <c r="IP165" s="20"/>
      <c r="IQ165" s="20"/>
      <c r="IR165" s="20"/>
      <c r="IS165" s="20"/>
      <c r="IT165" s="20"/>
      <c r="IU165" s="20"/>
      <c r="IV165" s="20"/>
      <c r="IW165" s="20"/>
      <c r="IX165" s="20"/>
      <c r="IY165" s="20"/>
      <c r="IZ165" s="20"/>
      <c r="JA165" s="20"/>
      <c r="JB165" s="20"/>
      <c r="JC165" s="20"/>
      <c r="JD165" s="20"/>
      <c r="JE165" s="20"/>
      <c r="JF165" s="20"/>
      <c r="JG165" s="20"/>
      <c r="JH165" s="20"/>
      <c r="JI165" s="20"/>
    </row>
    <row r="166" spans="1:269">
      <c r="A166" s="61" ph="1"/>
      <c r="B166" s="20" ph="1"/>
      <c r="C166" s="20" ph="1"/>
      <c r="D166" s="27" ph="1"/>
      <c r="E166" s="27" ph="1"/>
      <c r="F166" s="27" ph="1"/>
      <c r="G166" s="18" ph="1"/>
      <c r="H166" s="27" ph="1"/>
      <c r="I166" s="27" ph="1"/>
      <c r="J166" s="18" ph="1"/>
      <c r="K166" s="27" ph="1"/>
      <c r="L166" s="27" ph="1"/>
      <c r="M166" s="18" ph="1"/>
      <c r="N166" s="27" ph="1"/>
      <c r="O166" s="27" ph="1"/>
      <c r="P166" s="18" ph="1"/>
      <c r="Q166" s="27" ph="1"/>
      <c r="R166" s="18" ph="1"/>
      <c r="S166" s="18" ph="1"/>
      <c r="T166" s="18" ph="1"/>
      <c r="U166" s="18" ph="1"/>
      <c r="V166" s="18" ph="1"/>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8" ph="1"/>
      <c r="AY166" s="105" ph="1"/>
      <c r="AZ166" s="105" ph="1"/>
      <c r="BA166" s="105" ph="1"/>
      <c r="BB166" s="105" ph="1"/>
      <c r="BC166" s="18" ph="1"/>
      <c r="BD166" s="89"/>
      <c r="BE166" s="89"/>
      <c r="BF166" s="89"/>
      <c r="BG166" s="89"/>
      <c r="BH166" s="89"/>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c r="DB166" s="20"/>
      <c r="DC166" s="20"/>
      <c r="DD166" s="20"/>
      <c r="DE166" s="20"/>
      <c r="DF166" s="20"/>
      <c r="DG166" s="20"/>
      <c r="DH166" s="20"/>
      <c r="DI166" s="20"/>
      <c r="DJ166" s="20"/>
      <c r="DK166" s="20"/>
      <c r="DL166" s="20"/>
      <c r="DM166" s="20"/>
      <c r="DN166" s="20"/>
      <c r="DO166" s="20"/>
      <c r="DP166" s="20"/>
      <c r="DQ166" s="20"/>
      <c r="DR166" s="20"/>
      <c r="DS166" s="20"/>
      <c r="DT166" s="20"/>
      <c r="DU166" s="20"/>
      <c r="DV166" s="20"/>
      <c r="DW166" s="20"/>
      <c r="DX166" s="20"/>
      <c r="DY166" s="20"/>
      <c r="DZ166" s="20"/>
      <c r="EA166" s="20"/>
      <c r="EB166" s="20"/>
      <c r="EC166" s="20"/>
      <c r="ED166" s="20"/>
      <c r="EE166" s="20"/>
      <c r="EF166" s="20"/>
      <c r="EG166" s="20"/>
      <c r="EH166" s="20"/>
      <c r="EI166" s="20"/>
      <c r="EJ166" s="20"/>
      <c r="EK166" s="20"/>
      <c r="EL166" s="20"/>
      <c r="EM166" s="20"/>
      <c r="EN166" s="20"/>
      <c r="EO166" s="20"/>
      <c r="EP166" s="20"/>
      <c r="EQ166" s="20"/>
      <c r="ER166" s="20"/>
      <c r="ES166" s="20"/>
      <c r="ET166" s="20"/>
      <c r="EU166" s="20"/>
      <c r="EV166" s="20"/>
      <c r="EW166" s="20"/>
      <c r="EX166" s="20"/>
      <c r="EY166" s="20"/>
      <c r="EZ166" s="20"/>
      <c r="FA166" s="20"/>
      <c r="FB166" s="20"/>
      <c r="FC166" s="20"/>
      <c r="FD166" s="20"/>
      <c r="FE166" s="20"/>
      <c r="FF166" s="20"/>
      <c r="FG166" s="20"/>
      <c r="FH166" s="20"/>
      <c r="FI166" s="20"/>
      <c r="FJ166" s="20"/>
      <c r="FK166" s="20"/>
      <c r="FL166" s="20"/>
      <c r="FM166" s="20"/>
      <c r="FN166" s="20"/>
      <c r="FO166" s="20"/>
      <c r="FP166" s="20"/>
      <c r="FQ166" s="20"/>
      <c r="FR166" s="20"/>
      <c r="FS166" s="20"/>
      <c r="FT166" s="20"/>
      <c r="FU166" s="20"/>
      <c r="FV166" s="20"/>
      <c r="FW166" s="20"/>
      <c r="FX166" s="20"/>
      <c r="FY166" s="20"/>
      <c r="FZ166" s="20"/>
      <c r="GA166" s="20"/>
      <c r="GB166" s="20"/>
      <c r="GC166" s="20"/>
      <c r="GD166" s="20"/>
      <c r="GE166" s="20"/>
      <c r="GF166" s="20"/>
      <c r="GG166" s="20"/>
      <c r="GH166" s="20"/>
      <c r="GI166" s="20"/>
      <c r="GJ166" s="20"/>
      <c r="GK166" s="20"/>
      <c r="GL166" s="20"/>
      <c r="GM166" s="20"/>
      <c r="GN166" s="20"/>
      <c r="GO166" s="20"/>
      <c r="GP166" s="20"/>
      <c r="GQ166" s="20"/>
      <c r="GR166" s="20"/>
      <c r="GS166" s="20"/>
      <c r="GT166" s="20"/>
      <c r="GU166" s="20"/>
      <c r="GV166" s="20"/>
      <c r="GW166" s="20"/>
      <c r="GX166" s="20"/>
      <c r="GY166" s="20"/>
      <c r="GZ166" s="20"/>
      <c r="HA166" s="20"/>
      <c r="HB166" s="20"/>
      <c r="HC166" s="20"/>
      <c r="HD166" s="20"/>
      <c r="HE166" s="20"/>
      <c r="HF166" s="20"/>
      <c r="HG166" s="20"/>
      <c r="HH166" s="20"/>
      <c r="HI166" s="20"/>
      <c r="HJ166" s="20"/>
      <c r="HK166" s="20"/>
      <c r="HL166" s="20"/>
      <c r="HM166" s="20"/>
      <c r="HN166" s="20"/>
      <c r="HO166" s="20"/>
      <c r="HP166" s="20"/>
      <c r="HQ166" s="20"/>
      <c r="HR166" s="20"/>
      <c r="HS166" s="20"/>
      <c r="HT166" s="20"/>
      <c r="HU166" s="20"/>
      <c r="HV166" s="20"/>
      <c r="HW166" s="20"/>
      <c r="HX166" s="20"/>
      <c r="HY166" s="20"/>
      <c r="HZ166" s="20"/>
      <c r="IA166" s="20"/>
      <c r="IB166" s="20"/>
      <c r="IC166" s="20"/>
      <c r="ID166" s="20"/>
      <c r="IE166" s="20"/>
      <c r="IF166" s="20"/>
      <c r="IG166" s="20"/>
      <c r="IH166" s="20"/>
      <c r="II166" s="20"/>
      <c r="IJ166" s="20"/>
      <c r="IK166" s="20"/>
      <c r="IL166" s="20"/>
      <c r="IM166" s="20"/>
      <c r="IN166" s="20"/>
      <c r="IO166" s="20"/>
      <c r="IP166" s="20"/>
      <c r="IQ166" s="20"/>
      <c r="IR166" s="20"/>
      <c r="IS166" s="20"/>
      <c r="IT166" s="20"/>
      <c r="IU166" s="20"/>
      <c r="IV166" s="20"/>
      <c r="IW166" s="20"/>
      <c r="IX166" s="20"/>
      <c r="IY166" s="20"/>
      <c r="IZ166" s="20"/>
      <c r="JA166" s="20"/>
      <c r="JB166" s="20"/>
      <c r="JC166" s="20"/>
      <c r="JD166" s="20"/>
      <c r="JE166" s="20"/>
      <c r="JF166" s="20"/>
      <c r="JG166" s="20"/>
      <c r="JH166" s="20"/>
      <c r="JI166" s="20"/>
    </row>
    <row r="167" spans="1:269">
      <c r="A167" s="61" ph="1"/>
      <c r="B167" s="20" ph="1"/>
      <c r="C167" s="20" ph="1"/>
      <c r="D167" s="27" ph="1"/>
      <c r="E167" s="27" ph="1"/>
      <c r="F167" s="27" ph="1"/>
      <c r="G167" s="18" ph="1"/>
      <c r="H167" s="27" ph="1"/>
      <c r="I167" s="27" ph="1"/>
      <c r="J167" s="18" ph="1"/>
      <c r="K167" s="27" ph="1"/>
      <c r="L167" s="27" ph="1"/>
      <c r="M167" s="18" ph="1"/>
      <c r="N167" s="27" ph="1"/>
      <c r="O167" s="27" ph="1"/>
      <c r="P167" s="18" ph="1"/>
      <c r="Q167" s="27" ph="1"/>
      <c r="R167" s="18" ph="1"/>
      <c r="S167" s="18" ph="1"/>
      <c r="T167" s="18" ph="1"/>
      <c r="U167" s="18" ph="1"/>
      <c r="V167" s="18" ph="1"/>
      <c r="W167" s="105" ph="1"/>
      <c r="X167" s="105" ph="1"/>
      <c r="Y167" s="18" ph="1"/>
      <c r="Z167" s="105" ph="1"/>
      <c r="AA167" s="105" ph="1"/>
      <c r="AB167" s="18" ph="1"/>
      <c r="AC167" s="105" ph="1"/>
      <c r="AD167" s="105" ph="1"/>
      <c r="AE167" s="18" ph="1"/>
      <c r="AF167" s="105" ph="1"/>
      <c r="AG167" s="105" ph="1"/>
      <c r="AH167" s="105" ph="1"/>
      <c r="AI167" s="105" ph="1"/>
      <c r="AJ167" s="105" ph="1"/>
      <c r="AK167" s="105" ph="1"/>
      <c r="AL167" s="105" ph="1"/>
      <c r="AM167" s="18" ph="1"/>
      <c r="AN167" s="105" ph="1"/>
      <c r="AO167" s="105" ph="1"/>
      <c r="AP167" s="105" ph="1"/>
      <c r="AQ167" s="18" ph="1"/>
      <c r="AR167" s="105" ph="1"/>
      <c r="AS167" s="105" ph="1"/>
      <c r="AT167" s="105" ph="1"/>
      <c r="AU167" s="18" ph="1"/>
      <c r="AV167" s="105" ph="1"/>
      <c r="AW167" s="105" ph="1"/>
      <c r="AX167" s="18" ph="1"/>
      <c r="AY167" s="105" ph="1"/>
      <c r="AZ167" s="105" ph="1"/>
      <c r="BA167" s="105" ph="1"/>
      <c r="BB167" s="105" ph="1"/>
      <c r="BC167" s="18" ph="1"/>
      <c r="BD167" s="89"/>
      <c r="BE167" s="89"/>
      <c r="BF167" s="89"/>
      <c r="BG167" s="89"/>
      <c r="BH167" s="89"/>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c r="DA167" s="20"/>
      <c r="DB167" s="20"/>
      <c r="DC167" s="20"/>
      <c r="DD167" s="20"/>
      <c r="DE167" s="20"/>
      <c r="DF167" s="20"/>
      <c r="DG167" s="20"/>
      <c r="DH167" s="20"/>
      <c r="DI167" s="20"/>
      <c r="DJ167" s="20"/>
      <c r="DK167" s="20"/>
      <c r="DL167" s="20"/>
      <c r="DM167" s="20"/>
      <c r="DN167" s="20"/>
      <c r="DO167" s="20"/>
      <c r="DP167" s="20"/>
      <c r="DQ167" s="20"/>
      <c r="DR167" s="20"/>
      <c r="DS167" s="20"/>
      <c r="DT167" s="20"/>
      <c r="DU167" s="20"/>
      <c r="DV167" s="20"/>
      <c r="DW167" s="20"/>
      <c r="DX167" s="20"/>
      <c r="DY167" s="20"/>
      <c r="DZ167" s="20"/>
      <c r="EA167" s="20"/>
      <c r="EB167" s="20"/>
      <c r="EC167" s="20"/>
      <c r="ED167" s="20"/>
      <c r="EE167" s="20"/>
      <c r="EF167" s="20"/>
      <c r="EG167" s="20"/>
      <c r="EH167" s="20"/>
      <c r="EI167" s="20"/>
      <c r="EJ167" s="20"/>
      <c r="EK167" s="20"/>
      <c r="EL167" s="20"/>
      <c r="EM167" s="20"/>
      <c r="EN167" s="20"/>
      <c r="EO167" s="20"/>
      <c r="EP167" s="20"/>
      <c r="EQ167" s="20"/>
      <c r="ER167" s="20"/>
      <c r="ES167" s="20"/>
      <c r="ET167" s="20"/>
      <c r="EU167" s="20"/>
      <c r="EV167" s="20"/>
      <c r="EW167" s="20"/>
      <c r="EX167" s="20"/>
      <c r="EY167" s="20"/>
      <c r="EZ167" s="20"/>
      <c r="FA167" s="20"/>
      <c r="FB167" s="20"/>
      <c r="FC167" s="20"/>
      <c r="FD167" s="20"/>
      <c r="FE167" s="20"/>
      <c r="FF167" s="20"/>
      <c r="FG167" s="20"/>
      <c r="FH167" s="20"/>
      <c r="FI167" s="20"/>
      <c r="FJ167" s="20"/>
      <c r="FK167" s="20"/>
      <c r="FL167" s="20"/>
      <c r="FM167" s="20"/>
      <c r="FN167" s="20"/>
      <c r="FO167" s="20"/>
      <c r="FP167" s="20"/>
      <c r="FQ167" s="20"/>
      <c r="FR167" s="20"/>
      <c r="FS167" s="20"/>
      <c r="FT167" s="20"/>
      <c r="FU167" s="20"/>
      <c r="FV167" s="20"/>
      <c r="FW167" s="20"/>
      <c r="FX167" s="20"/>
      <c r="FY167" s="20"/>
      <c r="FZ167" s="20"/>
      <c r="GA167" s="20"/>
      <c r="GB167" s="20"/>
      <c r="GC167" s="20"/>
      <c r="GD167" s="20"/>
      <c r="GE167" s="20"/>
      <c r="GF167" s="20"/>
      <c r="GG167" s="20"/>
      <c r="GH167" s="20"/>
      <c r="GI167" s="20"/>
      <c r="GJ167" s="20"/>
      <c r="GK167" s="20"/>
      <c r="GL167" s="20"/>
      <c r="GM167" s="20"/>
      <c r="GN167" s="20"/>
      <c r="GO167" s="20"/>
      <c r="GP167" s="20"/>
      <c r="GQ167" s="20"/>
      <c r="GR167" s="20"/>
      <c r="GS167" s="20"/>
      <c r="GT167" s="20"/>
      <c r="GU167" s="20"/>
      <c r="GV167" s="20"/>
      <c r="GW167" s="20"/>
      <c r="GX167" s="20"/>
      <c r="GY167" s="20"/>
      <c r="GZ167" s="20"/>
      <c r="HA167" s="20"/>
      <c r="HB167" s="20"/>
      <c r="HC167" s="20"/>
      <c r="HD167" s="20"/>
      <c r="HE167" s="20"/>
      <c r="HF167" s="20"/>
      <c r="HG167" s="20"/>
      <c r="HH167" s="20"/>
      <c r="HI167" s="20"/>
      <c r="HJ167" s="20"/>
      <c r="HK167" s="20"/>
      <c r="HL167" s="20"/>
      <c r="HM167" s="20"/>
      <c r="HN167" s="20"/>
      <c r="HO167" s="20"/>
      <c r="HP167" s="20"/>
      <c r="HQ167" s="20"/>
      <c r="HR167" s="20"/>
      <c r="HS167" s="20"/>
      <c r="HT167" s="20"/>
      <c r="HU167" s="20"/>
      <c r="HV167" s="20"/>
      <c r="HW167" s="20"/>
      <c r="HX167" s="20"/>
      <c r="HY167" s="20"/>
      <c r="HZ167" s="20"/>
      <c r="IA167" s="20"/>
      <c r="IB167" s="20"/>
      <c r="IC167" s="20"/>
      <c r="ID167" s="20"/>
      <c r="IE167" s="20"/>
      <c r="IF167" s="20"/>
      <c r="IG167" s="20"/>
      <c r="IH167" s="20"/>
      <c r="II167" s="20"/>
      <c r="IJ167" s="20"/>
      <c r="IK167" s="20"/>
      <c r="IL167" s="20"/>
      <c r="IM167" s="20"/>
      <c r="IN167" s="20"/>
      <c r="IO167" s="20"/>
      <c r="IP167" s="20"/>
      <c r="IQ167" s="20"/>
      <c r="IR167" s="20"/>
      <c r="IS167" s="20"/>
      <c r="IT167" s="20"/>
      <c r="IU167" s="20"/>
      <c r="IV167" s="20"/>
      <c r="IW167" s="20"/>
      <c r="IX167" s="20"/>
      <c r="IY167" s="20"/>
      <c r="IZ167" s="20"/>
      <c r="JA167" s="20"/>
      <c r="JB167" s="20"/>
      <c r="JC167" s="20"/>
      <c r="JD167" s="20"/>
      <c r="JE167" s="20"/>
      <c r="JF167" s="20"/>
      <c r="JG167" s="20"/>
      <c r="JH167" s="20"/>
      <c r="JI167" s="20"/>
    </row>
    <row r="168" spans="1:269">
      <c r="A168" s="61" ph="1"/>
      <c r="B168" s="20" ph="1"/>
      <c r="C168" s="20" ph="1"/>
      <c r="D168" s="27" ph="1"/>
      <c r="E168" s="27" ph="1"/>
      <c r="F168" s="27" ph="1"/>
      <c r="G168" s="18" ph="1"/>
      <c r="H168" s="27" ph="1"/>
      <c r="I168" s="27" ph="1"/>
      <c r="J168" s="18" ph="1"/>
      <c r="K168" s="27" ph="1"/>
      <c r="L168" s="27" ph="1"/>
      <c r="M168" s="18" ph="1"/>
      <c r="N168" s="27" ph="1"/>
      <c r="O168" s="27" ph="1"/>
      <c r="P168" s="18" ph="1"/>
      <c r="Q168" s="27" ph="1"/>
      <c r="R168" s="18" ph="1"/>
      <c r="S168" s="18" ph="1"/>
      <c r="T168" s="18" ph="1"/>
      <c r="U168" s="18" ph="1"/>
      <c r="V168" s="18" ph="1"/>
      <c r="W168" s="105" ph="1"/>
      <c r="X168" s="105" ph="1"/>
      <c r="Y168" s="18" ph="1"/>
      <c r="Z168" s="105" ph="1"/>
      <c r="AA168" s="105" ph="1"/>
      <c r="AB168" s="18" ph="1"/>
      <c r="AC168" s="105" ph="1"/>
      <c r="AD168" s="105" ph="1"/>
      <c r="AE168" s="18" ph="1"/>
      <c r="AF168" s="105" ph="1"/>
      <c r="AG168" s="105" ph="1"/>
      <c r="AH168" s="105" ph="1"/>
      <c r="AI168" s="105" ph="1"/>
      <c r="AJ168" s="105" ph="1"/>
      <c r="AK168" s="105" ph="1"/>
      <c r="AL168" s="105" ph="1"/>
      <c r="AM168" s="18" ph="1"/>
      <c r="AN168" s="105" ph="1"/>
      <c r="AO168" s="105" ph="1"/>
      <c r="AP168" s="105" ph="1"/>
      <c r="AQ168" s="18" ph="1"/>
      <c r="AR168" s="105" ph="1"/>
      <c r="AS168" s="105" ph="1"/>
      <c r="AT168" s="105" ph="1"/>
      <c r="AU168" s="18" ph="1"/>
      <c r="AV168" s="105" ph="1"/>
      <c r="AW168" s="105" ph="1"/>
      <c r="AX168" s="18" ph="1"/>
      <c r="AY168" s="105" ph="1"/>
      <c r="AZ168" s="105" ph="1"/>
      <c r="BA168" s="105" ph="1"/>
      <c r="BB168" s="105" ph="1"/>
      <c r="BC168" s="18" ph="1"/>
      <c r="BD168" s="89"/>
      <c r="BE168" s="89"/>
      <c r="BF168" s="89"/>
      <c r="BG168" s="89"/>
      <c r="BH168" s="89"/>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c r="DA168" s="20"/>
      <c r="DB168" s="20"/>
      <c r="DC168" s="20"/>
      <c r="DD168" s="20"/>
      <c r="DE168" s="20"/>
      <c r="DF168" s="20"/>
      <c r="DG168" s="20"/>
      <c r="DH168" s="20"/>
      <c r="DI168" s="20"/>
      <c r="DJ168" s="20"/>
      <c r="DK168" s="20"/>
      <c r="DL168" s="20"/>
      <c r="DM168" s="20"/>
      <c r="DN168" s="20"/>
      <c r="DO168" s="20"/>
      <c r="DP168" s="20"/>
      <c r="DQ168" s="20"/>
      <c r="DR168" s="20"/>
      <c r="DS168" s="20"/>
      <c r="DT168" s="20"/>
      <c r="DU168" s="20"/>
      <c r="DV168" s="20"/>
      <c r="DW168" s="20"/>
      <c r="DX168" s="20"/>
      <c r="DY168" s="20"/>
      <c r="DZ168" s="20"/>
      <c r="EA168" s="20"/>
      <c r="EB168" s="20"/>
      <c r="EC168" s="20"/>
      <c r="ED168" s="20"/>
      <c r="EE168" s="20"/>
      <c r="EF168" s="20"/>
      <c r="EG168" s="20"/>
      <c r="EH168" s="20"/>
      <c r="EI168" s="20"/>
      <c r="EJ168" s="20"/>
      <c r="EK168" s="20"/>
      <c r="EL168" s="20"/>
      <c r="EM168" s="20"/>
      <c r="EN168" s="20"/>
      <c r="EO168" s="20"/>
      <c r="EP168" s="20"/>
      <c r="EQ168" s="20"/>
      <c r="ER168" s="20"/>
      <c r="ES168" s="20"/>
      <c r="ET168" s="20"/>
      <c r="EU168" s="20"/>
      <c r="EV168" s="20"/>
      <c r="EW168" s="20"/>
      <c r="EX168" s="20"/>
      <c r="EY168" s="20"/>
      <c r="EZ168" s="20"/>
      <c r="FA168" s="20"/>
      <c r="FB168" s="20"/>
      <c r="FC168" s="20"/>
      <c r="FD168" s="20"/>
      <c r="FE168" s="20"/>
      <c r="FF168" s="20"/>
      <c r="FG168" s="20"/>
      <c r="FH168" s="20"/>
      <c r="FI168" s="20"/>
      <c r="FJ168" s="20"/>
      <c r="FK168" s="20"/>
      <c r="FL168" s="20"/>
      <c r="FM168" s="20"/>
      <c r="FN168" s="20"/>
      <c r="FO168" s="20"/>
      <c r="FP168" s="20"/>
      <c r="FQ168" s="20"/>
      <c r="FR168" s="20"/>
      <c r="FS168" s="20"/>
      <c r="FT168" s="20"/>
      <c r="FU168" s="20"/>
      <c r="FV168" s="20"/>
      <c r="FW168" s="20"/>
      <c r="FX168" s="20"/>
      <c r="FY168" s="20"/>
      <c r="FZ168" s="20"/>
      <c r="GA168" s="20"/>
      <c r="GB168" s="20"/>
      <c r="GC168" s="20"/>
      <c r="GD168" s="20"/>
      <c r="GE168" s="20"/>
      <c r="GF168" s="20"/>
      <c r="GG168" s="20"/>
      <c r="GH168" s="20"/>
      <c r="GI168" s="20"/>
      <c r="GJ168" s="20"/>
      <c r="GK168" s="20"/>
      <c r="GL168" s="20"/>
      <c r="GM168" s="20"/>
      <c r="GN168" s="20"/>
      <c r="GO168" s="20"/>
      <c r="GP168" s="20"/>
      <c r="GQ168" s="20"/>
      <c r="GR168" s="20"/>
      <c r="GS168" s="20"/>
      <c r="GT168" s="20"/>
      <c r="GU168" s="20"/>
      <c r="GV168" s="20"/>
      <c r="GW168" s="20"/>
      <c r="GX168" s="20"/>
      <c r="GY168" s="20"/>
      <c r="GZ168" s="20"/>
      <c r="HA168" s="20"/>
      <c r="HB168" s="20"/>
      <c r="HC168" s="20"/>
      <c r="HD168" s="20"/>
      <c r="HE168" s="20"/>
      <c r="HF168" s="20"/>
      <c r="HG168" s="20"/>
      <c r="HH168" s="20"/>
      <c r="HI168" s="20"/>
      <c r="HJ168" s="20"/>
      <c r="HK168" s="20"/>
      <c r="HL168" s="20"/>
      <c r="HM168" s="20"/>
      <c r="HN168" s="20"/>
      <c r="HO168" s="20"/>
      <c r="HP168" s="20"/>
      <c r="HQ168" s="20"/>
      <c r="HR168" s="20"/>
      <c r="HS168" s="20"/>
      <c r="HT168" s="20"/>
      <c r="HU168" s="20"/>
      <c r="HV168" s="20"/>
      <c r="HW168" s="20"/>
      <c r="HX168" s="20"/>
      <c r="HY168" s="20"/>
      <c r="HZ168" s="20"/>
      <c r="IA168" s="20"/>
      <c r="IB168" s="20"/>
      <c r="IC168" s="20"/>
      <c r="ID168" s="20"/>
      <c r="IE168" s="20"/>
      <c r="IF168" s="20"/>
      <c r="IG168" s="20"/>
      <c r="IH168" s="20"/>
      <c r="II168" s="20"/>
      <c r="IJ168" s="20"/>
      <c r="IK168" s="20"/>
      <c r="IL168" s="20"/>
      <c r="IM168" s="20"/>
      <c r="IN168" s="20"/>
      <c r="IO168" s="20"/>
      <c r="IP168" s="20"/>
      <c r="IQ168" s="20"/>
      <c r="IR168" s="20"/>
      <c r="IS168" s="20"/>
      <c r="IT168" s="20"/>
      <c r="IU168" s="20"/>
      <c r="IV168" s="20"/>
      <c r="IW168" s="20"/>
      <c r="IX168" s="20"/>
      <c r="IY168" s="20"/>
      <c r="IZ168" s="20"/>
      <c r="JA168" s="20"/>
      <c r="JB168" s="20"/>
      <c r="JC168" s="20"/>
      <c r="JD168" s="20"/>
      <c r="JE168" s="20"/>
      <c r="JF168" s="20"/>
      <c r="JG168" s="20"/>
      <c r="JH168" s="20"/>
      <c r="JI168" s="20"/>
    </row>
    <row r="169" spans="1:269">
      <c r="A169" s="61" ph="1"/>
      <c r="B169" s="20" ph="1"/>
      <c r="C169" s="20" ph="1"/>
      <c r="D169" s="27" ph="1"/>
      <c r="E169" s="27" ph="1"/>
      <c r="F169" s="27" ph="1"/>
      <c r="G169" s="18" ph="1"/>
      <c r="H169" s="27" ph="1"/>
      <c r="I169" s="27" ph="1"/>
      <c r="J169" s="18" ph="1"/>
      <c r="K169" s="27" ph="1"/>
      <c r="L169" s="27" ph="1"/>
      <c r="M169" s="18" ph="1"/>
      <c r="N169" s="27" ph="1"/>
      <c r="O169" s="27" ph="1"/>
      <c r="P169" s="18" ph="1"/>
      <c r="Q169" s="27" ph="1"/>
      <c r="R169" s="18" ph="1"/>
      <c r="S169" s="18" ph="1"/>
      <c r="T169" s="18" ph="1"/>
      <c r="U169" s="18" ph="1"/>
      <c r="V169" s="18" ph="1"/>
      <c r="W169" s="105" ph="1"/>
      <c r="X169" s="105" ph="1"/>
      <c r="Y169" s="18" ph="1"/>
      <c r="Z169" s="105" ph="1"/>
      <c r="AA169" s="105" ph="1"/>
      <c r="AB169" s="18" ph="1"/>
      <c r="AC169" s="105" ph="1"/>
      <c r="AD169" s="105" ph="1"/>
      <c r="AE169" s="18" ph="1"/>
      <c r="AF169" s="105" ph="1"/>
      <c r="AG169" s="105" ph="1"/>
      <c r="AH169" s="105" ph="1"/>
      <c r="AI169" s="105" ph="1"/>
      <c r="AJ169" s="105" ph="1"/>
      <c r="AK169" s="105" ph="1"/>
      <c r="AL169" s="105" ph="1"/>
      <c r="AM169" s="18" ph="1"/>
      <c r="AN169" s="105" ph="1"/>
      <c r="AO169" s="105" ph="1"/>
      <c r="AP169" s="105" ph="1"/>
      <c r="AQ169" s="18" ph="1"/>
      <c r="AR169" s="105" ph="1"/>
      <c r="AS169" s="105" ph="1"/>
      <c r="AT169" s="105" ph="1"/>
      <c r="AU169" s="18" ph="1"/>
      <c r="AV169" s="105" ph="1"/>
      <c r="AW169" s="105" ph="1"/>
      <c r="AX169" s="18" ph="1"/>
      <c r="AY169" s="105" ph="1"/>
      <c r="AZ169" s="105" ph="1"/>
      <c r="BA169" s="105" ph="1"/>
      <c r="BB169" s="105" ph="1"/>
      <c r="BC169" s="18" ph="1"/>
      <c r="BD169" s="89"/>
      <c r="BE169" s="89"/>
      <c r="BF169" s="89"/>
      <c r="BG169" s="89"/>
      <c r="BH169" s="89"/>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c r="DV169" s="20"/>
      <c r="DW169" s="20"/>
      <c r="DX169" s="20"/>
      <c r="DY169" s="20"/>
      <c r="DZ169" s="20"/>
      <c r="EA169" s="20"/>
      <c r="EB169" s="20"/>
      <c r="EC169" s="20"/>
      <c r="ED169" s="20"/>
      <c r="EE169" s="20"/>
      <c r="EF169" s="20"/>
      <c r="EG169" s="20"/>
      <c r="EH169" s="20"/>
      <c r="EI169" s="20"/>
      <c r="EJ169" s="20"/>
      <c r="EK169" s="20"/>
      <c r="EL169" s="20"/>
      <c r="EM169" s="20"/>
      <c r="EN169" s="20"/>
      <c r="EO169" s="20"/>
      <c r="EP169" s="20"/>
      <c r="EQ169" s="20"/>
      <c r="ER169" s="20"/>
      <c r="ES169" s="20"/>
      <c r="ET169" s="20"/>
      <c r="EU169" s="20"/>
      <c r="EV169" s="20"/>
      <c r="EW169" s="20"/>
      <c r="EX169" s="20"/>
      <c r="EY169" s="20"/>
      <c r="EZ169" s="20"/>
      <c r="FA169" s="20"/>
      <c r="FB169" s="20"/>
      <c r="FC169" s="20"/>
      <c r="FD169" s="20"/>
      <c r="FE169" s="20"/>
      <c r="FF169" s="20"/>
      <c r="FG169" s="20"/>
      <c r="FH169" s="20"/>
      <c r="FI169" s="20"/>
      <c r="FJ169" s="20"/>
      <c r="FK169" s="20"/>
      <c r="FL169" s="20"/>
      <c r="FM169" s="20"/>
      <c r="FN169" s="20"/>
      <c r="FO169" s="20"/>
      <c r="FP169" s="20"/>
      <c r="FQ169" s="20"/>
      <c r="FR169" s="20"/>
      <c r="FS169" s="20"/>
      <c r="FT169" s="20"/>
      <c r="FU169" s="20"/>
      <c r="FV169" s="20"/>
      <c r="FW169" s="20"/>
      <c r="FX169" s="20"/>
      <c r="FY169" s="20"/>
      <c r="FZ169" s="20"/>
      <c r="GA169" s="20"/>
      <c r="GB169" s="20"/>
      <c r="GC169" s="20"/>
      <c r="GD169" s="20"/>
      <c r="GE169" s="20"/>
      <c r="GF169" s="20"/>
      <c r="GG169" s="20"/>
      <c r="GH169" s="20"/>
      <c r="GI169" s="20"/>
      <c r="GJ169" s="20"/>
      <c r="GK169" s="20"/>
      <c r="GL169" s="20"/>
      <c r="GM169" s="20"/>
      <c r="GN169" s="20"/>
      <c r="GO169" s="20"/>
      <c r="GP169" s="20"/>
      <c r="GQ169" s="20"/>
      <c r="GR169" s="20"/>
      <c r="GS169" s="20"/>
      <c r="GT169" s="20"/>
      <c r="GU169" s="20"/>
      <c r="GV169" s="20"/>
      <c r="GW169" s="20"/>
      <c r="GX169" s="20"/>
      <c r="GY169" s="20"/>
      <c r="GZ169" s="20"/>
      <c r="HA169" s="20"/>
      <c r="HB169" s="20"/>
      <c r="HC169" s="20"/>
      <c r="HD169" s="20"/>
      <c r="HE169" s="20"/>
      <c r="HF169" s="20"/>
      <c r="HG169" s="20"/>
      <c r="HH169" s="20"/>
      <c r="HI169" s="20"/>
      <c r="HJ169" s="20"/>
      <c r="HK169" s="20"/>
      <c r="HL169" s="20"/>
      <c r="HM169" s="20"/>
      <c r="HN169" s="20"/>
      <c r="HO169" s="20"/>
      <c r="HP169" s="20"/>
      <c r="HQ169" s="20"/>
      <c r="HR169" s="20"/>
      <c r="HS169" s="20"/>
      <c r="HT169" s="20"/>
      <c r="HU169" s="20"/>
      <c r="HV169" s="20"/>
      <c r="HW169" s="20"/>
      <c r="HX169" s="20"/>
      <c r="HY169" s="20"/>
      <c r="HZ169" s="20"/>
      <c r="IA169" s="20"/>
      <c r="IB169" s="20"/>
      <c r="IC169" s="20"/>
      <c r="ID169" s="20"/>
      <c r="IE169" s="20"/>
      <c r="IF169" s="20"/>
      <c r="IG169" s="20"/>
      <c r="IH169" s="20"/>
      <c r="II169" s="20"/>
      <c r="IJ169" s="20"/>
      <c r="IK169" s="20"/>
      <c r="IL169" s="20"/>
      <c r="IM169" s="20"/>
      <c r="IN169" s="20"/>
      <c r="IO169" s="20"/>
      <c r="IP169" s="20"/>
      <c r="IQ169" s="20"/>
      <c r="IR169" s="20"/>
      <c r="IS169" s="20"/>
      <c r="IT169" s="20"/>
      <c r="IU169" s="20"/>
      <c r="IV169" s="20"/>
      <c r="IW169" s="20"/>
      <c r="IX169" s="20"/>
      <c r="IY169" s="20"/>
      <c r="IZ169" s="20"/>
      <c r="JA169" s="20"/>
      <c r="JB169" s="20"/>
      <c r="JC169" s="20"/>
      <c r="JD169" s="20"/>
      <c r="JE169" s="20"/>
      <c r="JF169" s="20"/>
      <c r="JG169" s="20"/>
      <c r="JH169" s="20"/>
      <c r="JI169" s="20"/>
    </row>
    <row r="170" spans="1:269">
      <c r="A170" s="61"/>
      <c r="B170" s="20"/>
      <c r="C170" s="20"/>
      <c r="D170" s="27"/>
      <c r="E170" s="27"/>
      <c r="F170" s="27"/>
      <c r="G170" s="18"/>
      <c r="H170" s="27"/>
      <c r="I170" s="27"/>
      <c r="J170" s="18"/>
      <c r="K170" s="27"/>
      <c r="L170" s="27"/>
      <c r="M170" s="18"/>
      <c r="N170" s="27"/>
      <c r="O170" s="27"/>
      <c r="P170" s="18"/>
      <c r="Q170" s="27"/>
      <c r="R170" s="18"/>
      <c r="S170" s="18"/>
      <c r="T170" s="18"/>
      <c r="U170" s="18"/>
      <c r="V170" s="18"/>
      <c r="W170" s="105"/>
      <c r="X170" s="105"/>
      <c r="Y170" s="18"/>
      <c r="Z170" s="105"/>
      <c r="AA170" s="105"/>
      <c r="AB170" s="18"/>
      <c r="AC170" s="105"/>
      <c r="AD170" s="105"/>
      <c r="AE170" s="18"/>
      <c r="AF170" s="105"/>
      <c r="AG170" s="105"/>
      <c r="AH170" s="105"/>
      <c r="AI170" s="105"/>
      <c r="AJ170" s="105"/>
      <c r="AK170" s="105"/>
      <c r="AL170" s="105"/>
      <c r="AM170" s="18"/>
      <c r="AN170" s="105"/>
      <c r="AO170" s="105"/>
      <c r="AP170" s="105"/>
      <c r="AQ170" s="18"/>
      <c r="AR170" s="105"/>
      <c r="AS170" s="105"/>
      <c r="AT170" s="105"/>
      <c r="AU170" s="18"/>
      <c r="AV170" s="105"/>
      <c r="AW170" s="105"/>
      <c r="AX170" s="18"/>
      <c r="AY170" s="105"/>
      <c r="AZ170" s="105"/>
      <c r="BA170" s="105"/>
      <c r="BB170" s="105"/>
      <c r="BC170" s="18"/>
      <c r="BD170" s="89"/>
      <c r="BE170" s="89"/>
      <c r="BF170" s="89"/>
      <c r="BG170" s="89"/>
      <c r="BH170" s="89"/>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c r="DA170" s="20"/>
      <c r="DB170" s="20"/>
      <c r="DC170" s="20"/>
      <c r="DD170" s="20"/>
      <c r="DE170" s="20"/>
      <c r="DF170" s="20"/>
      <c r="DG170" s="20"/>
      <c r="DH170" s="20"/>
      <c r="DI170" s="20"/>
      <c r="DJ170" s="20"/>
      <c r="DK170" s="20"/>
      <c r="DL170" s="20"/>
      <c r="DM170" s="20"/>
      <c r="DN170" s="20"/>
      <c r="DO170" s="20"/>
      <c r="DP170" s="20"/>
      <c r="DQ170" s="20"/>
      <c r="DR170" s="20"/>
      <c r="DS170" s="20"/>
      <c r="DT170" s="20"/>
      <c r="DU170" s="20"/>
      <c r="DV170" s="20"/>
      <c r="DW170" s="20"/>
      <c r="DX170" s="20"/>
      <c r="DY170" s="20"/>
      <c r="DZ170" s="20"/>
      <c r="EA170" s="20"/>
      <c r="EB170" s="20"/>
      <c r="EC170" s="20"/>
      <c r="ED170" s="20"/>
      <c r="EE170" s="20"/>
      <c r="EF170" s="20"/>
      <c r="EG170" s="20"/>
      <c r="EH170" s="20"/>
      <c r="EI170" s="20"/>
      <c r="EJ170" s="20"/>
      <c r="EK170" s="20"/>
      <c r="EL170" s="20"/>
      <c r="EM170" s="20"/>
      <c r="EN170" s="20"/>
      <c r="EO170" s="20"/>
      <c r="EP170" s="20"/>
      <c r="EQ170" s="20"/>
      <c r="ER170" s="20"/>
      <c r="ES170" s="20"/>
      <c r="ET170" s="20"/>
      <c r="EU170" s="20"/>
      <c r="EV170" s="20"/>
      <c r="EW170" s="20"/>
      <c r="EX170" s="20"/>
      <c r="EY170" s="20"/>
      <c r="EZ170" s="20"/>
      <c r="FA170" s="20"/>
      <c r="FB170" s="20"/>
      <c r="FC170" s="20"/>
      <c r="FD170" s="20"/>
      <c r="FE170" s="20"/>
      <c r="FF170" s="20"/>
      <c r="FG170" s="20"/>
      <c r="FH170" s="20"/>
      <c r="FI170" s="20"/>
      <c r="FJ170" s="20"/>
      <c r="FK170" s="20"/>
      <c r="FL170" s="20"/>
      <c r="FM170" s="20"/>
      <c r="FN170" s="20"/>
      <c r="FO170" s="20"/>
      <c r="FP170" s="20"/>
      <c r="FQ170" s="20"/>
      <c r="FR170" s="20"/>
      <c r="FS170" s="20"/>
      <c r="FT170" s="20"/>
      <c r="FU170" s="20"/>
      <c r="FV170" s="20"/>
      <c r="FW170" s="20"/>
      <c r="FX170" s="20"/>
      <c r="FY170" s="20"/>
      <c r="FZ170" s="20"/>
      <c r="GA170" s="20"/>
      <c r="GB170" s="20"/>
      <c r="GC170" s="20"/>
      <c r="GD170" s="20"/>
      <c r="GE170" s="20"/>
      <c r="GF170" s="20"/>
      <c r="GG170" s="20"/>
      <c r="GH170" s="20"/>
      <c r="GI170" s="20"/>
      <c r="GJ170" s="20"/>
      <c r="GK170" s="20"/>
      <c r="GL170" s="20"/>
      <c r="GM170" s="20"/>
      <c r="GN170" s="20"/>
      <c r="GO170" s="20"/>
      <c r="GP170" s="20"/>
      <c r="GQ170" s="20"/>
      <c r="GR170" s="20"/>
      <c r="GS170" s="20"/>
      <c r="GT170" s="20"/>
      <c r="GU170" s="20"/>
      <c r="GV170" s="20"/>
      <c r="GW170" s="20"/>
      <c r="GX170" s="20"/>
      <c r="GY170" s="20"/>
      <c r="GZ170" s="20"/>
      <c r="HA170" s="20"/>
      <c r="HB170" s="20"/>
      <c r="HC170" s="20"/>
      <c r="HD170" s="20"/>
      <c r="HE170" s="20"/>
      <c r="HF170" s="20"/>
      <c r="HG170" s="20"/>
      <c r="HH170" s="20"/>
      <c r="HI170" s="20"/>
      <c r="HJ170" s="20"/>
      <c r="HK170" s="20"/>
      <c r="HL170" s="20"/>
      <c r="HM170" s="20"/>
      <c r="HN170" s="20"/>
      <c r="HO170" s="20"/>
      <c r="HP170" s="20"/>
      <c r="HQ170" s="20"/>
      <c r="HR170" s="20"/>
      <c r="HS170" s="20"/>
      <c r="HT170" s="20"/>
      <c r="HU170" s="20"/>
      <c r="HV170" s="20"/>
      <c r="HW170" s="20"/>
      <c r="HX170" s="20"/>
      <c r="HY170" s="20"/>
      <c r="HZ170" s="20"/>
      <c r="IA170" s="20"/>
      <c r="IB170" s="20"/>
      <c r="IC170" s="20"/>
      <c r="ID170" s="20"/>
      <c r="IE170" s="20"/>
      <c r="IF170" s="20"/>
      <c r="IG170" s="20"/>
      <c r="IH170" s="20"/>
      <c r="II170" s="20"/>
      <c r="IJ170" s="20"/>
      <c r="IK170" s="20"/>
      <c r="IL170" s="20"/>
      <c r="IM170" s="20"/>
      <c r="IN170" s="20"/>
      <c r="IO170" s="20"/>
      <c r="IP170" s="20"/>
      <c r="IQ170" s="20"/>
      <c r="IR170" s="20"/>
      <c r="IS170" s="20"/>
      <c r="IT170" s="20"/>
      <c r="IU170" s="20"/>
      <c r="IV170" s="20"/>
      <c r="IW170" s="20"/>
      <c r="IX170" s="20"/>
      <c r="IY170" s="20"/>
      <c r="IZ170" s="20"/>
      <c r="JA170" s="20"/>
      <c r="JB170" s="20"/>
      <c r="JC170" s="20"/>
      <c r="JD170" s="20"/>
      <c r="JE170" s="20"/>
      <c r="JF170" s="20"/>
      <c r="JG170" s="20"/>
      <c r="JH170" s="20"/>
      <c r="JI170" s="20"/>
    </row>
    <row r="171" spans="1:269">
      <c r="A171" s="61" ph="1"/>
      <c r="B171" s="20" ph="1"/>
      <c r="C171" s="20" ph="1"/>
      <c r="D171" s="27" ph="1"/>
      <c r="E171" s="27" ph="1"/>
      <c r="F171" s="27" ph="1"/>
      <c r="G171" s="18" ph="1"/>
      <c r="H171" s="27" ph="1"/>
      <c r="I171" s="27" ph="1"/>
      <c r="J171" s="18" ph="1"/>
      <c r="K171" s="27" ph="1"/>
      <c r="L171" s="27" ph="1"/>
      <c r="M171" s="18" ph="1"/>
      <c r="N171" s="27" ph="1"/>
      <c r="O171" s="27" ph="1"/>
      <c r="P171" s="18" ph="1"/>
      <c r="Q171" s="27" ph="1"/>
      <c r="R171" s="18" ph="1"/>
      <c r="S171" s="18" ph="1"/>
      <c r="T171" s="18" ph="1"/>
      <c r="U171" s="18" ph="1"/>
      <c r="V171" s="18" ph="1"/>
      <c r="W171" s="105" ph="1"/>
      <c r="X171" s="105" ph="1"/>
      <c r="Y171" s="18" ph="1"/>
      <c r="Z171" s="105" ph="1"/>
      <c r="AA171" s="105" ph="1"/>
      <c r="AB171" s="18" ph="1"/>
      <c r="AC171" s="105" ph="1"/>
      <c r="AD171" s="105" ph="1"/>
      <c r="AE171" s="18" ph="1"/>
      <c r="AF171" s="105" ph="1"/>
      <c r="AG171" s="105" ph="1"/>
      <c r="AH171" s="105" ph="1"/>
      <c r="AI171" s="105" ph="1"/>
      <c r="AJ171" s="105" ph="1"/>
      <c r="AK171" s="105" ph="1"/>
      <c r="AL171" s="105" ph="1"/>
      <c r="AM171" s="18" ph="1"/>
      <c r="AN171" s="105" ph="1"/>
      <c r="AO171" s="105" ph="1"/>
      <c r="AP171" s="105" ph="1"/>
      <c r="AQ171" s="18" ph="1"/>
      <c r="AR171" s="105" ph="1"/>
      <c r="AS171" s="105" ph="1"/>
      <c r="AT171" s="105" ph="1"/>
      <c r="AU171" s="18" ph="1"/>
      <c r="AV171" s="105" ph="1"/>
      <c r="AW171" s="105" ph="1"/>
      <c r="AX171" s="18" ph="1"/>
      <c r="AY171" s="105" ph="1"/>
      <c r="AZ171" s="105" ph="1"/>
      <c r="BA171" s="105" ph="1"/>
      <c r="BB171" s="105" ph="1"/>
      <c r="BC171" s="18" ph="1"/>
      <c r="BD171" s="89"/>
      <c r="BE171" s="89"/>
      <c r="BF171" s="89"/>
      <c r="BG171" s="89"/>
      <c r="BH171" s="89"/>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0"/>
      <c r="DG171" s="20"/>
      <c r="DH171" s="20"/>
      <c r="DI171" s="20"/>
      <c r="DJ171" s="20"/>
      <c r="DK171" s="20"/>
      <c r="DL171" s="20"/>
      <c r="DM171" s="20"/>
      <c r="DN171" s="20"/>
      <c r="DO171" s="20"/>
      <c r="DP171" s="20"/>
      <c r="DQ171" s="20"/>
      <c r="DR171" s="20"/>
      <c r="DS171" s="20"/>
      <c r="DT171" s="20"/>
      <c r="DU171" s="20"/>
      <c r="DV171" s="20"/>
      <c r="DW171" s="20"/>
      <c r="DX171" s="20"/>
      <c r="DY171" s="20"/>
      <c r="DZ171" s="20"/>
      <c r="EA171" s="20"/>
      <c r="EB171" s="20"/>
      <c r="EC171" s="20"/>
      <c r="ED171" s="20"/>
      <c r="EE171" s="20"/>
      <c r="EF171" s="20"/>
      <c r="EG171" s="20"/>
      <c r="EH171" s="20"/>
      <c r="EI171" s="20"/>
      <c r="EJ171" s="20"/>
      <c r="EK171" s="20"/>
      <c r="EL171" s="20"/>
      <c r="EM171" s="20"/>
      <c r="EN171" s="20"/>
      <c r="EO171" s="20"/>
      <c r="EP171" s="20"/>
      <c r="EQ171" s="20"/>
      <c r="ER171" s="20"/>
      <c r="ES171" s="20"/>
      <c r="ET171" s="20"/>
      <c r="EU171" s="20"/>
      <c r="EV171" s="20"/>
      <c r="EW171" s="20"/>
      <c r="EX171" s="20"/>
      <c r="EY171" s="20"/>
      <c r="EZ171" s="20"/>
      <c r="FA171" s="20"/>
      <c r="FB171" s="20"/>
      <c r="FC171" s="20"/>
      <c r="FD171" s="20"/>
      <c r="FE171" s="20"/>
      <c r="FF171" s="20"/>
      <c r="FG171" s="20"/>
      <c r="FH171" s="20"/>
      <c r="FI171" s="20"/>
      <c r="FJ171" s="20"/>
      <c r="FK171" s="20"/>
      <c r="FL171" s="20"/>
      <c r="FM171" s="20"/>
      <c r="FN171" s="20"/>
      <c r="FO171" s="20"/>
      <c r="FP171" s="20"/>
      <c r="FQ171" s="20"/>
      <c r="FR171" s="20"/>
      <c r="FS171" s="20"/>
      <c r="FT171" s="20"/>
      <c r="FU171" s="20"/>
      <c r="FV171" s="20"/>
      <c r="FW171" s="20"/>
      <c r="FX171" s="20"/>
      <c r="FY171" s="20"/>
      <c r="FZ171" s="20"/>
      <c r="GA171" s="20"/>
      <c r="GB171" s="20"/>
      <c r="GC171" s="20"/>
      <c r="GD171" s="20"/>
      <c r="GE171" s="20"/>
      <c r="GF171" s="20"/>
      <c r="GG171" s="20"/>
      <c r="GH171" s="20"/>
      <c r="GI171" s="20"/>
      <c r="GJ171" s="20"/>
      <c r="GK171" s="20"/>
      <c r="GL171" s="20"/>
      <c r="GM171" s="20"/>
      <c r="GN171" s="20"/>
      <c r="GO171" s="20"/>
      <c r="GP171" s="20"/>
      <c r="GQ171" s="20"/>
      <c r="GR171" s="20"/>
      <c r="GS171" s="20"/>
      <c r="GT171" s="20"/>
      <c r="GU171" s="20"/>
      <c r="GV171" s="20"/>
      <c r="GW171" s="20"/>
      <c r="GX171" s="20"/>
      <c r="GY171" s="20"/>
      <c r="GZ171" s="20"/>
      <c r="HA171" s="20"/>
      <c r="HB171" s="20"/>
      <c r="HC171" s="20"/>
      <c r="HD171" s="20"/>
      <c r="HE171" s="20"/>
      <c r="HF171" s="20"/>
      <c r="HG171" s="20"/>
      <c r="HH171" s="20"/>
      <c r="HI171" s="20"/>
      <c r="HJ171" s="20"/>
      <c r="HK171" s="20"/>
      <c r="HL171" s="20"/>
      <c r="HM171" s="20"/>
      <c r="HN171" s="20"/>
      <c r="HO171" s="20"/>
      <c r="HP171" s="20"/>
      <c r="HQ171" s="20"/>
      <c r="HR171" s="20"/>
      <c r="HS171" s="20"/>
      <c r="HT171" s="20"/>
      <c r="HU171" s="20"/>
      <c r="HV171" s="20"/>
      <c r="HW171" s="20"/>
      <c r="HX171" s="20"/>
      <c r="HY171" s="20"/>
      <c r="HZ171" s="20"/>
      <c r="IA171" s="20"/>
      <c r="IB171" s="20"/>
      <c r="IC171" s="20"/>
      <c r="ID171" s="20"/>
      <c r="IE171" s="20"/>
      <c r="IF171" s="20"/>
      <c r="IG171" s="20"/>
      <c r="IH171" s="20"/>
      <c r="II171" s="20"/>
      <c r="IJ171" s="20"/>
      <c r="IK171" s="20"/>
      <c r="IL171" s="20"/>
      <c r="IM171" s="20"/>
      <c r="IN171" s="20"/>
      <c r="IO171" s="20"/>
      <c r="IP171" s="20"/>
      <c r="IQ171" s="20"/>
      <c r="IR171" s="20"/>
      <c r="IS171" s="20"/>
      <c r="IT171" s="20"/>
      <c r="IU171" s="20"/>
      <c r="IV171" s="20"/>
      <c r="IW171" s="20"/>
      <c r="IX171" s="20"/>
      <c r="IY171" s="20"/>
      <c r="IZ171" s="20"/>
      <c r="JA171" s="20"/>
      <c r="JB171" s="20"/>
      <c r="JC171" s="20"/>
      <c r="JD171" s="20"/>
      <c r="JE171" s="20"/>
      <c r="JF171" s="20"/>
      <c r="JG171" s="20"/>
      <c r="JH171" s="20"/>
      <c r="JI171" s="20"/>
    </row>
    <row r="172" spans="1:269">
      <c r="A172" s="61" ph="1"/>
      <c r="B172" s="20" ph="1"/>
      <c r="C172" s="20" ph="1"/>
      <c r="D172" s="27" ph="1"/>
      <c r="E172" s="27" ph="1"/>
      <c r="F172" s="27" ph="1"/>
      <c r="G172" s="18" ph="1"/>
      <c r="H172" s="27" ph="1"/>
      <c r="I172" s="27" ph="1"/>
      <c r="J172" s="18" ph="1"/>
      <c r="K172" s="27" ph="1"/>
      <c r="L172" s="27" ph="1"/>
      <c r="M172" s="18" ph="1"/>
      <c r="N172" s="27" ph="1"/>
      <c r="O172" s="27" ph="1"/>
      <c r="P172" s="18" ph="1"/>
      <c r="Q172" s="27" ph="1"/>
      <c r="R172" s="18" ph="1"/>
      <c r="S172" s="18" ph="1"/>
      <c r="T172" s="18" ph="1"/>
      <c r="U172" s="18" ph="1"/>
      <c r="V172" s="18" ph="1"/>
      <c r="W172" s="105" ph="1"/>
      <c r="X172" s="105" ph="1"/>
      <c r="Y172" s="18" ph="1"/>
      <c r="Z172" s="105" ph="1"/>
      <c r="AA172" s="105" ph="1"/>
      <c r="AB172" s="18" ph="1"/>
      <c r="AC172" s="105" ph="1"/>
      <c r="AD172" s="105" ph="1"/>
      <c r="AE172" s="18" ph="1"/>
      <c r="AF172" s="105" ph="1"/>
      <c r="AG172" s="105" ph="1"/>
      <c r="AH172" s="105" ph="1"/>
      <c r="AI172" s="105" ph="1"/>
      <c r="AJ172" s="105" ph="1"/>
      <c r="AK172" s="105" ph="1"/>
      <c r="AL172" s="105" ph="1"/>
      <c r="AM172" s="18" ph="1"/>
      <c r="AN172" s="105" ph="1"/>
      <c r="AO172" s="105" ph="1"/>
      <c r="AP172" s="105" ph="1"/>
      <c r="AQ172" s="18" ph="1"/>
      <c r="AR172" s="105" ph="1"/>
      <c r="AS172" s="105" ph="1"/>
      <c r="AT172" s="105" ph="1"/>
      <c r="AU172" s="18" ph="1"/>
      <c r="AV172" s="105" ph="1"/>
      <c r="AW172" s="105" ph="1"/>
      <c r="AX172" s="18" ph="1"/>
      <c r="AY172" s="105" ph="1"/>
      <c r="AZ172" s="105" ph="1"/>
      <c r="BA172" s="105" ph="1"/>
      <c r="BB172" s="105" ph="1"/>
      <c r="BC172" s="18" ph="1"/>
      <c r="BD172" s="89"/>
      <c r="BE172" s="89"/>
      <c r="BF172" s="89"/>
      <c r="BG172" s="89"/>
      <c r="BH172" s="89"/>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0"/>
      <c r="DG172" s="20"/>
      <c r="DH172" s="20"/>
      <c r="DI172" s="20"/>
      <c r="DJ172" s="20"/>
      <c r="DK172" s="20"/>
      <c r="DL172" s="20"/>
      <c r="DM172" s="20"/>
      <c r="DN172" s="20"/>
      <c r="DO172" s="20"/>
      <c r="DP172" s="20"/>
      <c r="DQ172" s="20"/>
      <c r="DR172" s="20"/>
      <c r="DS172" s="20"/>
      <c r="DT172" s="20"/>
      <c r="DU172" s="20"/>
      <c r="DV172" s="20"/>
      <c r="DW172" s="20"/>
      <c r="DX172" s="20"/>
      <c r="DY172" s="20"/>
      <c r="DZ172" s="20"/>
      <c r="EA172" s="20"/>
      <c r="EB172" s="20"/>
      <c r="EC172" s="20"/>
      <c r="ED172" s="20"/>
      <c r="EE172" s="20"/>
      <c r="EF172" s="20"/>
      <c r="EG172" s="20"/>
      <c r="EH172" s="20"/>
      <c r="EI172" s="20"/>
      <c r="EJ172" s="20"/>
      <c r="EK172" s="20"/>
      <c r="EL172" s="20"/>
      <c r="EM172" s="20"/>
      <c r="EN172" s="20"/>
      <c r="EO172" s="20"/>
      <c r="EP172" s="20"/>
      <c r="EQ172" s="20"/>
      <c r="ER172" s="20"/>
      <c r="ES172" s="20"/>
      <c r="ET172" s="20"/>
      <c r="EU172" s="20"/>
      <c r="EV172" s="20"/>
      <c r="EW172" s="20"/>
      <c r="EX172" s="20"/>
      <c r="EY172" s="20"/>
      <c r="EZ172" s="20"/>
      <c r="FA172" s="20"/>
      <c r="FB172" s="20"/>
      <c r="FC172" s="20"/>
      <c r="FD172" s="20"/>
      <c r="FE172" s="20"/>
      <c r="FF172" s="20"/>
      <c r="FG172" s="20"/>
      <c r="FH172" s="20"/>
      <c r="FI172" s="20"/>
      <c r="FJ172" s="20"/>
      <c r="FK172" s="20"/>
      <c r="FL172" s="20"/>
      <c r="FM172" s="20"/>
      <c r="FN172" s="20"/>
      <c r="FO172" s="20"/>
      <c r="FP172" s="20"/>
      <c r="FQ172" s="20"/>
      <c r="FR172" s="20"/>
      <c r="FS172" s="20"/>
      <c r="FT172" s="20"/>
      <c r="FU172" s="20"/>
      <c r="FV172" s="20"/>
      <c r="FW172" s="20"/>
      <c r="FX172" s="20"/>
      <c r="FY172" s="20"/>
      <c r="FZ172" s="20"/>
      <c r="GA172" s="20"/>
      <c r="GB172" s="20"/>
      <c r="GC172" s="20"/>
      <c r="GD172" s="20"/>
      <c r="GE172" s="20"/>
      <c r="GF172" s="20"/>
      <c r="GG172" s="20"/>
      <c r="GH172" s="20"/>
      <c r="GI172" s="20"/>
      <c r="GJ172" s="20"/>
      <c r="GK172" s="20"/>
      <c r="GL172" s="20"/>
      <c r="GM172" s="20"/>
      <c r="GN172" s="20"/>
      <c r="GO172" s="20"/>
      <c r="GP172" s="20"/>
      <c r="GQ172" s="20"/>
      <c r="GR172" s="20"/>
      <c r="GS172" s="20"/>
      <c r="GT172" s="20"/>
      <c r="GU172" s="20"/>
      <c r="GV172" s="20"/>
      <c r="GW172" s="20"/>
      <c r="GX172" s="20"/>
      <c r="GY172" s="20"/>
      <c r="GZ172" s="20"/>
      <c r="HA172" s="20"/>
      <c r="HB172" s="20"/>
      <c r="HC172" s="20"/>
      <c r="HD172" s="20"/>
      <c r="HE172" s="20"/>
      <c r="HF172" s="20"/>
      <c r="HG172" s="20"/>
      <c r="HH172" s="20"/>
      <c r="HI172" s="20"/>
      <c r="HJ172" s="20"/>
      <c r="HK172" s="20"/>
      <c r="HL172" s="20"/>
      <c r="HM172" s="20"/>
      <c r="HN172" s="20"/>
      <c r="HO172" s="20"/>
      <c r="HP172" s="20"/>
      <c r="HQ172" s="20"/>
      <c r="HR172" s="20"/>
      <c r="HS172" s="20"/>
      <c r="HT172" s="20"/>
      <c r="HU172" s="20"/>
      <c r="HV172" s="20"/>
      <c r="HW172" s="20"/>
      <c r="HX172" s="20"/>
      <c r="HY172" s="20"/>
      <c r="HZ172" s="20"/>
      <c r="IA172" s="20"/>
      <c r="IB172" s="20"/>
      <c r="IC172" s="20"/>
      <c r="ID172" s="20"/>
      <c r="IE172" s="20"/>
      <c r="IF172" s="20"/>
      <c r="IG172" s="20"/>
      <c r="IH172" s="20"/>
      <c r="II172" s="20"/>
      <c r="IJ172" s="20"/>
      <c r="IK172" s="20"/>
      <c r="IL172" s="20"/>
      <c r="IM172" s="20"/>
      <c r="IN172" s="20"/>
      <c r="IO172" s="20"/>
      <c r="IP172" s="20"/>
      <c r="IQ172" s="20"/>
      <c r="IR172" s="20"/>
      <c r="IS172" s="20"/>
      <c r="IT172" s="20"/>
      <c r="IU172" s="20"/>
      <c r="IV172" s="20"/>
      <c r="IW172" s="20"/>
      <c r="IX172" s="20"/>
      <c r="IY172" s="20"/>
      <c r="IZ172" s="20"/>
      <c r="JA172" s="20"/>
      <c r="JB172" s="20"/>
      <c r="JC172" s="20"/>
      <c r="JD172" s="20"/>
      <c r="JE172" s="20"/>
      <c r="JF172" s="20"/>
      <c r="JG172" s="20"/>
      <c r="JH172" s="20"/>
      <c r="JI172" s="20"/>
    </row>
    <row r="173" spans="1:269">
      <c r="A173" s="61" ph="1"/>
      <c r="B173" s="20" ph="1"/>
      <c r="C173" s="20" ph="1"/>
      <c r="D173" s="27" ph="1"/>
      <c r="E173" s="27" ph="1"/>
      <c r="F173" s="27" ph="1"/>
      <c r="G173" s="18" ph="1"/>
      <c r="H173" s="27" ph="1"/>
      <c r="I173" s="27" ph="1"/>
      <c r="J173" s="18" ph="1"/>
      <c r="K173" s="27" ph="1"/>
      <c r="L173" s="27" ph="1"/>
      <c r="M173" s="18" ph="1"/>
      <c r="N173" s="27" ph="1"/>
      <c r="O173" s="27" ph="1"/>
      <c r="P173" s="18" ph="1"/>
      <c r="Q173" s="27" ph="1"/>
      <c r="R173" s="18" ph="1"/>
      <c r="S173" s="18" ph="1"/>
      <c r="T173" s="18" ph="1"/>
      <c r="U173" s="18" ph="1"/>
      <c r="V173" s="18" ph="1"/>
      <c r="W173" s="105" ph="1"/>
      <c r="X173" s="105" ph="1"/>
      <c r="Y173" s="18" ph="1"/>
      <c r="Z173" s="105" ph="1"/>
      <c r="AA173" s="105" ph="1"/>
      <c r="AB173" s="18" ph="1"/>
      <c r="AC173" s="105" ph="1"/>
      <c r="AD173" s="105" ph="1"/>
      <c r="AE173" s="18" ph="1"/>
      <c r="AF173" s="105" ph="1"/>
      <c r="AG173" s="105" ph="1"/>
      <c r="AH173" s="105" ph="1"/>
      <c r="AI173" s="105" ph="1"/>
      <c r="AJ173" s="105" ph="1"/>
      <c r="AK173" s="105" ph="1"/>
      <c r="AL173" s="105" ph="1"/>
      <c r="AM173" s="18" ph="1"/>
      <c r="AN173" s="105" ph="1"/>
      <c r="AO173" s="105" ph="1"/>
      <c r="AP173" s="105" ph="1"/>
      <c r="AQ173" s="18" ph="1"/>
      <c r="AR173" s="105" ph="1"/>
      <c r="AS173" s="105" ph="1"/>
      <c r="AT173" s="105" ph="1"/>
      <c r="AU173" s="18" ph="1"/>
      <c r="AV173" s="105" ph="1"/>
      <c r="AW173" s="105" ph="1"/>
      <c r="AX173" s="18" ph="1"/>
      <c r="AY173" s="105" ph="1"/>
      <c r="AZ173" s="105" ph="1"/>
      <c r="BA173" s="105" ph="1"/>
      <c r="BB173" s="105" ph="1"/>
      <c r="BC173" s="18" ph="1"/>
      <c r="BD173" s="89"/>
      <c r="BE173" s="89"/>
      <c r="BF173" s="89"/>
      <c r="BG173" s="89"/>
      <c r="BH173" s="89"/>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c r="CL173" s="20"/>
      <c r="CM173" s="20"/>
      <c r="CN173" s="20"/>
      <c r="CO173" s="20"/>
      <c r="CP173" s="20"/>
      <c r="CQ173" s="20"/>
      <c r="CR173" s="20"/>
      <c r="CS173" s="20"/>
      <c r="CT173" s="20"/>
      <c r="CU173" s="20"/>
      <c r="CV173" s="20"/>
      <c r="CW173" s="20"/>
      <c r="CX173" s="20"/>
      <c r="CY173" s="20"/>
      <c r="CZ173" s="20"/>
      <c r="DA173" s="20"/>
      <c r="DB173" s="20"/>
      <c r="DC173" s="20"/>
      <c r="DD173" s="20"/>
      <c r="DE173" s="20"/>
      <c r="DF173" s="20"/>
      <c r="DG173" s="20"/>
      <c r="DH173" s="20"/>
      <c r="DI173" s="20"/>
      <c r="DJ173" s="20"/>
      <c r="DK173" s="20"/>
      <c r="DL173" s="20"/>
      <c r="DM173" s="20"/>
      <c r="DN173" s="20"/>
      <c r="DO173" s="20"/>
      <c r="DP173" s="20"/>
      <c r="DQ173" s="20"/>
      <c r="DR173" s="20"/>
      <c r="DS173" s="20"/>
      <c r="DT173" s="20"/>
      <c r="DU173" s="20"/>
      <c r="DV173" s="20"/>
      <c r="DW173" s="20"/>
      <c r="DX173" s="20"/>
      <c r="DY173" s="20"/>
      <c r="DZ173" s="20"/>
      <c r="EA173" s="20"/>
      <c r="EB173" s="20"/>
      <c r="EC173" s="20"/>
      <c r="ED173" s="20"/>
      <c r="EE173" s="20"/>
      <c r="EF173" s="20"/>
      <c r="EG173" s="20"/>
      <c r="EH173" s="20"/>
      <c r="EI173" s="20"/>
      <c r="EJ173" s="20"/>
      <c r="EK173" s="20"/>
      <c r="EL173" s="20"/>
      <c r="EM173" s="20"/>
      <c r="EN173" s="20"/>
      <c r="EO173" s="20"/>
      <c r="EP173" s="20"/>
      <c r="EQ173" s="20"/>
      <c r="ER173" s="20"/>
      <c r="ES173" s="20"/>
      <c r="ET173" s="20"/>
      <c r="EU173" s="20"/>
      <c r="EV173" s="20"/>
      <c r="EW173" s="20"/>
      <c r="EX173" s="20"/>
      <c r="EY173" s="20"/>
      <c r="EZ173" s="20"/>
      <c r="FA173" s="20"/>
      <c r="FB173" s="20"/>
      <c r="FC173" s="20"/>
      <c r="FD173" s="20"/>
      <c r="FE173" s="20"/>
      <c r="FF173" s="20"/>
      <c r="FG173" s="20"/>
      <c r="FH173" s="20"/>
      <c r="FI173" s="20"/>
      <c r="FJ173" s="20"/>
      <c r="FK173" s="20"/>
      <c r="FL173" s="20"/>
      <c r="FM173" s="20"/>
      <c r="FN173" s="20"/>
      <c r="FO173" s="20"/>
      <c r="FP173" s="20"/>
      <c r="FQ173" s="20"/>
      <c r="FR173" s="20"/>
      <c r="FS173" s="20"/>
      <c r="FT173" s="20"/>
      <c r="FU173" s="20"/>
      <c r="FV173" s="20"/>
      <c r="FW173" s="20"/>
      <c r="FX173" s="20"/>
      <c r="FY173" s="20"/>
      <c r="FZ173" s="20"/>
      <c r="GA173" s="20"/>
      <c r="GB173" s="20"/>
      <c r="GC173" s="20"/>
      <c r="GD173" s="20"/>
      <c r="GE173" s="20"/>
      <c r="GF173" s="20"/>
      <c r="GG173" s="20"/>
      <c r="GH173" s="20"/>
      <c r="GI173" s="20"/>
      <c r="GJ173" s="20"/>
      <c r="GK173" s="20"/>
      <c r="GL173" s="20"/>
      <c r="GM173" s="20"/>
      <c r="GN173" s="20"/>
      <c r="GO173" s="20"/>
      <c r="GP173" s="20"/>
      <c r="GQ173" s="20"/>
      <c r="GR173" s="20"/>
      <c r="GS173" s="20"/>
      <c r="GT173" s="20"/>
      <c r="GU173" s="20"/>
      <c r="GV173" s="20"/>
      <c r="GW173" s="20"/>
      <c r="GX173" s="20"/>
      <c r="GY173" s="20"/>
      <c r="GZ173" s="20"/>
      <c r="HA173" s="20"/>
      <c r="HB173" s="20"/>
      <c r="HC173" s="20"/>
      <c r="HD173" s="20"/>
      <c r="HE173" s="20"/>
      <c r="HF173" s="20"/>
      <c r="HG173" s="20"/>
      <c r="HH173" s="20"/>
      <c r="HI173" s="20"/>
      <c r="HJ173" s="20"/>
      <c r="HK173" s="20"/>
      <c r="HL173" s="20"/>
      <c r="HM173" s="20"/>
      <c r="HN173" s="20"/>
      <c r="HO173" s="20"/>
      <c r="HP173" s="20"/>
      <c r="HQ173" s="20"/>
      <c r="HR173" s="20"/>
      <c r="HS173" s="20"/>
      <c r="HT173" s="20"/>
      <c r="HU173" s="20"/>
      <c r="HV173" s="20"/>
      <c r="HW173" s="20"/>
      <c r="HX173" s="20"/>
      <c r="HY173" s="20"/>
      <c r="HZ173" s="20"/>
      <c r="IA173" s="20"/>
      <c r="IB173" s="20"/>
      <c r="IC173" s="20"/>
      <c r="ID173" s="20"/>
      <c r="IE173" s="20"/>
      <c r="IF173" s="20"/>
      <c r="IG173" s="20"/>
      <c r="IH173" s="20"/>
      <c r="II173" s="20"/>
      <c r="IJ173" s="20"/>
      <c r="IK173" s="20"/>
      <c r="IL173" s="20"/>
      <c r="IM173" s="20"/>
      <c r="IN173" s="20"/>
      <c r="IO173" s="20"/>
      <c r="IP173" s="20"/>
      <c r="IQ173" s="20"/>
      <c r="IR173" s="20"/>
      <c r="IS173" s="20"/>
      <c r="IT173" s="20"/>
      <c r="IU173" s="20"/>
      <c r="IV173" s="20"/>
      <c r="IW173" s="20"/>
      <c r="IX173" s="20"/>
      <c r="IY173" s="20"/>
      <c r="IZ173" s="20"/>
      <c r="JA173" s="20"/>
      <c r="JB173" s="20"/>
      <c r="JC173" s="20"/>
      <c r="JD173" s="20"/>
      <c r="JE173" s="20"/>
      <c r="JF173" s="20"/>
      <c r="JG173" s="20"/>
      <c r="JH173" s="20"/>
      <c r="JI173" s="20"/>
    </row>
    <row r="174" spans="1:269">
      <c r="A174" s="61"/>
      <c r="B174" s="20"/>
      <c r="C174" s="20"/>
      <c r="D174" s="27"/>
      <c r="E174" s="27"/>
      <c r="F174" s="27"/>
      <c r="G174" s="18"/>
      <c r="H174" s="27"/>
      <c r="I174" s="27"/>
      <c r="J174" s="18"/>
      <c r="K174" s="27"/>
      <c r="L174" s="27"/>
      <c r="M174" s="18"/>
      <c r="N174" s="27"/>
      <c r="O174" s="27"/>
      <c r="P174" s="18"/>
      <c r="Q174" s="27"/>
      <c r="R174" s="18"/>
      <c r="S174" s="18"/>
      <c r="T174" s="18"/>
      <c r="U174" s="18"/>
      <c r="V174" s="18"/>
      <c r="W174" s="105"/>
      <c r="X174" s="105"/>
      <c r="Y174" s="18"/>
      <c r="Z174" s="105"/>
      <c r="AA174" s="105"/>
      <c r="AB174" s="18"/>
      <c r="AC174" s="105"/>
      <c r="AD174" s="105"/>
      <c r="AE174" s="18"/>
      <c r="AF174" s="105"/>
      <c r="AG174" s="105"/>
      <c r="AH174" s="105"/>
      <c r="AI174" s="105"/>
      <c r="AJ174" s="105"/>
      <c r="AK174" s="105"/>
      <c r="AL174" s="105"/>
      <c r="AM174" s="18"/>
      <c r="AN174" s="105"/>
      <c r="AO174" s="105"/>
      <c r="AP174" s="105"/>
      <c r="AQ174" s="18"/>
      <c r="AR174" s="105"/>
      <c r="AS174" s="105"/>
      <c r="AT174" s="105"/>
      <c r="AU174" s="18"/>
      <c r="AV174" s="105"/>
      <c r="AW174" s="105"/>
      <c r="AX174" s="18"/>
      <c r="AY174" s="105"/>
      <c r="AZ174" s="105"/>
      <c r="BA174" s="105"/>
      <c r="BB174" s="105"/>
      <c r="BC174" s="18"/>
      <c r="BD174" s="89"/>
      <c r="BE174" s="89"/>
      <c r="BF174" s="89"/>
      <c r="BG174" s="89"/>
      <c r="BH174" s="89"/>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c r="CL174" s="20"/>
      <c r="CM174" s="20"/>
      <c r="CN174" s="20"/>
      <c r="CO174" s="20"/>
      <c r="CP174" s="20"/>
      <c r="CQ174" s="20"/>
      <c r="CR174" s="20"/>
      <c r="CS174" s="20"/>
      <c r="CT174" s="20"/>
      <c r="CU174" s="20"/>
      <c r="CV174" s="20"/>
      <c r="CW174" s="20"/>
      <c r="CX174" s="20"/>
      <c r="CY174" s="20"/>
      <c r="CZ174" s="20"/>
      <c r="DA174" s="20"/>
      <c r="DB174" s="20"/>
      <c r="DC174" s="20"/>
      <c r="DD174" s="20"/>
      <c r="DE174" s="20"/>
      <c r="DF174" s="20"/>
      <c r="DG174" s="20"/>
      <c r="DH174" s="20"/>
      <c r="DI174" s="20"/>
      <c r="DJ174" s="20"/>
      <c r="DK174" s="20"/>
      <c r="DL174" s="20"/>
      <c r="DM174" s="20"/>
      <c r="DN174" s="20"/>
      <c r="DO174" s="20"/>
      <c r="DP174" s="20"/>
      <c r="DQ174" s="20"/>
      <c r="DR174" s="20"/>
      <c r="DS174" s="20"/>
      <c r="DT174" s="20"/>
      <c r="DU174" s="20"/>
      <c r="DV174" s="20"/>
      <c r="DW174" s="20"/>
      <c r="DX174" s="20"/>
      <c r="DY174" s="20"/>
      <c r="DZ174" s="20"/>
      <c r="EA174" s="20"/>
      <c r="EB174" s="20"/>
      <c r="EC174" s="20"/>
      <c r="ED174" s="20"/>
      <c r="EE174" s="20"/>
      <c r="EF174" s="20"/>
      <c r="EG174" s="20"/>
      <c r="EH174" s="20"/>
      <c r="EI174" s="20"/>
      <c r="EJ174" s="20"/>
      <c r="EK174" s="20"/>
      <c r="EL174" s="20"/>
      <c r="EM174" s="20"/>
      <c r="EN174" s="20"/>
      <c r="EO174" s="20"/>
      <c r="EP174" s="20"/>
      <c r="EQ174" s="20"/>
      <c r="ER174" s="20"/>
      <c r="ES174" s="20"/>
      <c r="ET174" s="20"/>
      <c r="EU174" s="20"/>
      <c r="EV174" s="20"/>
      <c r="EW174" s="20"/>
      <c r="EX174" s="20"/>
      <c r="EY174" s="20"/>
      <c r="EZ174" s="20"/>
      <c r="FA174" s="20"/>
      <c r="FB174" s="20"/>
      <c r="FC174" s="20"/>
      <c r="FD174" s="20"/>
      <c r="FE174" s="20"/>
      <c r="FF174" s="20"/>
      <c r="FG174" s="20"/>
      <c r="FH174" s="20"/>
      <c r="FI174" s="20"/>
      <c r="FJ174" s="20"/>
      <c r="FK174" s="20"/>
      <c r="FL174" s="20"/>
      <c r="FM174" s="20"/>
      <c r="FN174" s="20"/>
      <c r="FO174" s="20"/>
      <c r="FP174" s="20"/>
      <c r="FQ174" s="20"/>
      <c r="FR174" s="20"/>
      <c r="FS174" s="20"/>
      <c r="FT174" s="20"/>
      <c r="FU174" s="20"/>
      <c r="FV174" s="20"/>
      <c r="FW174" s="20"/>
      <c r="FX174" s="20"/>
      <c r="FY174" s="20"/>
      <c r="FZ174" s="20"/>
      <c r="GA174" s="20"/>
      <c r="GB174" s="20"/>
      <c r="GC174" s="20"/>
      <c r="GD174" s="20"/>
      <c r="GE174" s="20"/>
      <c r="GF174" s="20"/>
      <c r="GG174" s="20"/>
      <c r="GH174" s="20"/>
      <c r="GI174" s="20"/>
      <c r="GJ174" s="20"/>
      <c r="GK174" s="20"/>
      <c r="GL174" s="20"/>
      <c r="GM174" s="20"/>
      <c r="GN174" s="20"/>
      <c r="GO174" s="20"/>
      <c r="GP174" s="20"/>
      <c r="GQ174" s="20"/>
      <c r="GR174" s="20"/>
      <c r="GS174" s="20"/>
      <c r="GT174" s="20"/>
      <c r="GU174" s="20"/>
      <c r="GV174" s="20"/>
      <c r="GW174" s="20"/>
      <c r="GX174" s="20"/>
      <c r="GY174" s="20"/>
      <c r="GZ174" s="20"/>
      <c r="HA174" s="20"/>
      <c r="HB174" s="20"/>
      <c r="HC174" s="20"/>
      <c r="HD174" s="20"/>
      <c r="HE174" s="20"/>
      <c r="HF174" s="20"/>
      <c r="HG174" s="20"/>
      <c r="HH174" s="20"/>
      <c r="HI174" s="20"/>
      <c r="HJ174" s="20"/>
      <c r="HK174" s="20"/>
      <c r="HL174" s="20"/>
      <c r="HM174" s="20"/>
      <c r="HN174" s="20"/>
      <c r="HO174" s="20"/>
      <c r="HP174" s="20"/>
      <c r="HQ174" s="20"/>
      <c r="HR174" s="20"/>
      <c r="HS174" s="20"/>
      <c r="HT174" s="20"/>
      <c r="HU174" s="20"/>
      <c r="HV174" s="20"/>
      <c r="HW174" s="20"/>
      <c r="HX174" s="20"/>
      <c r="HY174" s="20"/>
      <c r="HZ174" s="20"/>
      <c r="IA174" s="20"/>
      <c r="IB174" s="20"/>
      <c r="IC174" s="20"/>
      <c r="ID174" s="20"/>
      <c r="IE174" s="20"/>
      <c r="IF174" s="20"/>
      <c r="IG174" s="20"/>
      <c r="IH174" s="20"/>
      <c r="II174" s="20"/>
      <c r="IJ174" s="20"/>
      <c r="IK174" s="20"/>
      <c r="IL174" s="20"/>
      <c r="IM174" s="20"/>
      <c r="IN174" s="20"/>
      <c r="IO174" s="20"/>
      <c r="IP174" s="20"/>
      <c r="IQ174" s="20"/>
      <c r="IR174" s="20"/>
      <c r="IS174" s="20"/>
      <c r="IT174" s="20"/>
      <c r="IU174" s="20"/>
      <c r="IV174" s="20"/>
      <c r="IW174" s="20"/>
      <c r="IX174" s="20"/>
      <c r="IY174" s="20"/>
      <c r="IZ174" s="20"/>
      <c r="JA174" s="20"/>
      <c r="JB174" s="20"/>
      <c r="JC174" s="20"/>
      <c r="JD174" s="20"/>
      <c r="JE174" s="20"/>
      <c r="JF174" s="20"/>
      <c r="JG174" s="20"/>
      <c r="JH174" s="20"/>
      <c r="JI174" s="20"/>
    </row>
    <row r="175" spans="1:269">
      <c r="A175" s="61"/>
      <c r="B175" s="20"/>
      <c r="C175" s="20"/>
      <c r="D175" s="27"/>
      <c r="E175" s="27"/>
      <c r="F175" s="27"/>
      <c r="G175" s="18"/>
      <c r="H175" s="27"/>
      <c r="I175" s="27"/>
      <c r="J175" s="18"/>
      <c r="K175" s="27"/>
      <c r="L175" s="27"/>
      <c r="M175" s="18"/>
      <c r="N175" s="27"/>
      <c r="O175" s="27"/>
      <c r="P175" s="18"/>
      <c r="Q175" s="27"/>
      <c r="R175" s="18"/>
      <c r="S175" s="18"/>
      <c r="T175" s="18"/>
      <c r="U175" s="18"/>
      <c r="V175" s="18"/>
      <c r="W175" s="105"/>
      <c r="X175" s="105"/>
      <c r="Y175" s="18"/>
      <c r="Z175" s="105"/>
      <c r="AA175" s="105"/>
      <c r="AB175" s="18"/>
      <c r="AC175" s="105"/>
      <c r="AD175" s="105"/>
      <c r="AE175" s="18"/>
      <c r="AF175" s="105"/>
      <c r="AG175" s="105"/>
      <c r="AH175" s="105"/>
      <c r="AI175" s="105"/>
      <c r="AJ175" s="105"/>
      <c r="AK175" s="105"/>
      <c r="AL175" s="105"/>
      <c r="AM175" s="18"/>
      <c r="AN175" s="105"/>
      <c r="AO175" s="105"/>
      <c r="AP175" s="105"/>
      <c r="AQ175" s="18"/>
      <c r="AR175" s="105"/>
      <c r="AS175" s="105"/>
      <c r="AT175" s="105"/>
      <c r="AU175" s="18"/>
      <c r="AV175" s="105"/>
      <c r="AW175" s="105"/>
      <c r="AX175" s="18"/>
      <c r="AY175" s="105"/>
      <c r="AZ175" s="105"/>
      <c r="BA175" s="105"/>
      <c r="BB175" s="105"/>
      <c r="BC175" s="18"/>
      <c r="BD175" s="89"/>
      <c r="BE175" s="89"/>
      <c r="BF175" s="89"/>
      <c r="BG175" s="89"/>
      <c r="BH175" s="89"/>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c r="EE175" s="20"/>
      <c r="EF175" s="20"/>
      <c r="EG175" s="20"/>
      <c r="EH175" s="20"/>
      <c r="EI175" s="20"/>
      <c r="EJ175" s="20"/>
      <c r="EK175" s="20"/>
      <c r="EL175" s="20"/>
      <c r="EM175" s="20"/>
      <c r="EN175" s="20"/>
      <c r="EO175" s="20"/>
      <c r="EP175" s="20"/>
      <c r="EQ175" s="20"/>
      <c r="ER175" s="20"/>
      <c r="ES175" s="20"/>
      <c r="ET175" s="20"/>
      <c r="EU175" s="20"/>
      <c r="EV175" s="20"/>
      <c r="EW175" s="20"/>
      <c r="EX175" s="20"/>
      <c r="EY175" s="20"/>
      <c r="EZ175" s="20"/>
      <c r="FA175" s="20"/>
      <c r="FB175" s="20"/>
      <c r="FC175" s="20"/>
      <c r="FD175" s="20"/>
      <c r="FE175" s="20"/>
      <c r="FF175" s="20"/>
      <c r="FG175" s="20"/>
      <c r="FH175" s="20"/>
      <c r="FI175" s="20"/>
      <c r="FJ175" s="20"/>
      <c r="FK175" s="20"/>
      <c r="FL175" s="20"/>
      <c r="FM175" s="20"/>
      <c r="FN175" s="20"/>
      <c r="FO175" s="20"/>
      <c r="FP175" s="20"/>
      <c r="FQ175" s="20"/>
      <c r="FR175" s="20"/>
      <c r="FS175" s="20"/>
      <c r="FT175" s="20"/>
      <c r="FU175" s="20"/>
      <c r="FV175" s="20"/>
      <c r="FW175" s="20"/>
      <c r="FX175" s="20"/>
      <c r="FY175" s="20"/>
      <c r="FZ175" s="20"/>
      <c r="GA175" s="20"/>
      <c r="GB175" s="20"/>
      <c r="GC175" s="20"/>
      <c r="GD175" s="20"/>
      <c r="GE175" s="20"/>
      <c r="GF175" s="20"/>
      <c r="GG175" s="20"/>
      <c r="GH175" s="20"/>
      <c r="GI175" s="20"/>
      <c r="GJ175" s="20"/>
      <c r="GK175" s="20"/>
      <c r="GL175" s="20"/>
      <c r="GM175" s="20"/>
      <c r="GN175" s="20"/>
      <c r="GO175" s="20"/>
      <c r="GP175" s="20"/>
      <c r="GQ175" s="20"/>
      <c r="GR175" s="20"/>
      <c r="GS175" s="20"/>
      <c r="GT175" s="20"/>
      <c r="GU175" s="20"/>
      <c r="GV175" s="20"/>
      <c r="GW175" s="20"/>
      <c r="GX175" s="20"/>
      <c r="GY175" s="20"/>
      <c r="GZ175" s="20"/>
      <c r="HA175" s="20"/>
      <c r="HB175" s="20"/>
      <c r="HC175" s="20"/>
      <c r="HD175" s="20"/>
      <c r="HE175" s="20"/>
      <c r="HF175" s="20"/>
      <c r="HG175" s="20"/>
      <c r="HH175" s="20"/>
      <c r="HI175" s="20"/>
      <c r="HJ175" s="20"/>
      <c r="HK175" s="20"/>
      <c r="HL175" s="20"/>
      <c r="HM175" s="20"/>
      <c r="HN175" s="20"/>
      <c r="HO175" s="20"/>
      <c r="HP175" s="20"/>
      <c r="HQ175" s="20"/>
      <c r="HR175" s="20"/>
      <c r="HS175" s="20"/>
      <c r="HT175" s="20"/>
      <c r="HU175" s="20"/>
      <c r="HV175" s="20"/>
      <c r="HW175" s="20"/>
      <c r="HX175" s="20"/>
      <c r="HY175" s="20"/>
      <c r="HZ175" s="20"/>
      <c r="IA175" s="20"/>
      <c r="IB175" s="20"/>
      <c r="IC175" s="20"/>
      <c r="ID175" s="20"/>
      <c r="IE175" s="20"/>
      <c r="IF175" s="20"/>
      <c r="IG175" s="20"/>
      <c r="IH175" s="20"/>
      <c r="II175" s="20"/>
      <c r="IJ175" s="20"/>
      <c r="IK175" s="20"/>
      <c r="IL175" s="20"/>
      <c r="IM175" s="20"/>
      <c r="IN175" s="20"/>
      <c r="IO175" s="20"/>
      <c r="IP175" s="20"/>
      <c r="IQ175" s="20"/>
      <c r="IR175" s="20"/>
      <c r="IS175" s="20"/>
      <c r="IT175" s="20"/>
      <c r="IU175" s="20"/>
      <c r="IV175" s="20"/>
      <c r="IW175" s="20"/>
      <c r="IX175" s="20"/>
      <c r="IY175" s="20"/>
      <c r="IZ175" s="20"/>
      <c r="JA175" s="20"/>
      <c r="JB175" s="20"/>
      <c r="JC175" s="20"/>
      <c r="JD175" s="20"/>
      <c r="JE175" s="20"/>
      <c r="JF175" s="20"/>
      <c r="JG175" s="20"/>
      <c r="JH175" s="20"/>
      <c r="JI175" s="20"/>
    </row>
    <row r="176" spans="1:269">
      <c r="A176" s="61"/>
      <c r="B176" s="20"/>
      <c r="C176" s="20"/>
      <c r="D176" s="27"/>
      <c r="E176" s="27"/>
      <c r="F176" s="27"/>
      <c r="G176" s="18"/>
      <c r="H176" s="27"/>
      <c r="I176" s="27"/>
      <c r="J176" s="18"/>
      <c r="K176" s="27"/>
      <c r="L176" s="27"/>
      <c r="M176" s="18"/>
      <c r="N176" s="27"/>
      <c r="O176" s="27"/>
      <c r="P176" s="18"/>
      <c r="Q176" s="27"/>
      <c r="R176" s="18"/>
      <c r="S176" s="18"/>
      <c r="T176" s="18"/>
      <c r="U176" s="18"/>
      <c r="V176" s="18"/>
      <c r="W176" s="105"/>
      <c r="X176" s="105"/>
      <c r="Y176" s="18"/>
      <c r="Z176" s="105"/>
      <c r="AA176" s="105"/>
      <c r="AB176" s="18"/>
      <c r="AC176" s="105"/>
      <c r="AD176" s="105"/>
      <c r="AE176" s="18"/>
      <c r="AF176" s="105"/>
      <c r="AG176" s="105"/>
      <c r="AH176" s="105"/>
      <c r="AI176" s="105"/>
      <c r="AJ176" s="105"/>
      <c r="AK176" s="105"/>
      <c r="AL176" s="105"/>
      <c r="AM176" s="18"/>
      <c r="AN176" s="105"/>
      <c r="AO176" s="105"/>
      <c r="AP176" s="105"/>
      <c r="AQ176" s="18"/>
      <c r="AR176" s="105"/>
      <c r="AS176" s="105"/>
      <c r="AT176" s="105"/>
      <c r="AU176" s="18"/>
      <c r="AV176" s="105"/>
      <c r="AW176" s="105"/>
      <c r="AX176" s="18"/>
      <c r="AY176" s="105"/>
      <c r="AZ176" s="105"/>
      <c r="BA176" s="105"/>
      <c r="BB176" s="105"/>
      <c r="BC176" s="18"/>
      <c r="BD176" s="89"/>
      <c r="BE176" s="89"/>
      <c r="BF176" s="89"/>
      <c r="BG176" s="89"/>
      <c r="BH176" s="89"/>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H176" s="20"/>
      <c r="GI176" s="20"/>
      <c r="GJ176" s="20"/>
      <c r="GK176" s="20"/>
      <c r="GL176" s="20"/>
      <c r="GM176" s="20"/>
      <c r="GN176" s="20"/>
      <c r="GO176" s="20"/>
      <c r="GP176" s="20"/>
      <c r="GQ176" s="20"/>
      <c r="GR176" s="20"/>
      <c r="GS176" s="20"/>
      <c r="GT176" s="20"/>
      <c r="GU176" s="20"/>
      <c r="GV176" s="20"/>
      <c r="GW176" s="20"/>
      <c r="GX176" s="20"/>
      <c r="GY176" s="20"/>
      <c r="GZ176" s="20"/>
      <c r="HA176" s="20"/>
      <c r="HB176" s="20"/>
      <c r="HC176" s="20"/>
      <c r="HD176" s="20"/>
      <c r="HE176" s="20"/>
      <c r="HF176" s="20"/>
      <c r="HG176" s="20"/>
      <c r="HH176" s="20"/>
      <c r="HI176" s="20"/>
      <c r="HJ176" s="20"/>
      <c r="HK176" s="20"/>
      <c r="HL176" s="20"/>
      <c r="HM176" s="20"/>
      <c r="HN176" s="20"/>
      <c r="HO176" s="20"/>
      <c r="HP176" s="20"/>
      <c r="HQ176" s="20"/>
      <c r="HR176" s="20"/>
      <c r="HS176" s="20"/>
      <c r="HT176" s="20"/>
      <c r="HU176" s="20"/>
      <c r="HV176" s="20"/>
      <c r="HW176" s="20"/>
      <c r="HX176" s="20"/>
      <c r="HY176" s="20"/>
      <c r="HZ176" s="20"/>
      <c r="IA176" s="20"/>
      <c r="IB176" s="20"/>
      <c r="IC176" s="20"/>
      <c r="ID176" s="20"/>
      <c r="IE176" s="20"/>
      <c r="IF176" s="20"/>
      <c r="IG176" s="20"/>
      <c r="IH176" s="20"/>
      <c r="II176" s="20"/>
      <c r="IJ176" s="20"/>
      <c r="IK176" s="20"/>
      <c r="IL176" s="20"/>
      <c r="IM176" s="20"/>
      <c r="IN176" s="20"/>
      <c r="IO176" s="20"/>
      <c r="IP176" s="20"/>
      <c r="IQ176" s="20"/>
      <c r="IR176" s="20"/>
      <c r="IS176" s="20"/>
      <c r="IT176" s="20"/>
      <c r="IU176" s="20"/>
      <c r="IV176" s="20"/>
      <c r="IW176" s="20"/>
      <c r="IX176" s="20"/>
      <c r="IY176" s="20"/>
      <c r="IZ176" s="20"/>
      <c r="JA176" s="20"/>
      <c r="JB176" s="20"/>
      <c r="JC176" s="20"/>
      <c r="JD176" s="20"/>
      <c r="JE176" s="20"/>
      <c r="JF176" s="20"/>
      <c r="JG176" s="20"/>
      <c r="JH176" s="20"/>
      <c r="JI176" s="20"/>
    </row>
    <row r="177" spans="1:269">
      <c r="A177" s="61"/>
      <c r="B177" s="20"/>
      <c r="C177" s="20"/>
      <c r="D177" s="27"/>
      <c r="E177" s="27"/>
      <c r="F177" s="27"/>
      <c r="G177" s="18"/>
      <c r="H177" s="27"/>
      <c r="I177" s="27"/>
      <c r="J177" s="18"/>
      <c r="K177" s="27"/>
      <c r="L177" s="27"/>
      <c r="M177" s="18"/>
      <c r="N177" s="27"/>
      <c r="O177" s="27"/>
      <c r="P177" s="18"/>
      <c r="Q177" s="27"/>
      <c r="R177" s="18"/>
      <c r="S177" s="18"/>
      <c r="T177" s="18"/>
      <c r="U177" s="18"/>
      <c r="V177" s="18"/>
      <c r="W177" s="105"/>
      <c r="X177" s="105"/>
      <c r="Y177" s="18"/>
      <c r="Z177" s="105"/>
      <c r="AA177" s="105"/>
      <c r="AB177" s="18"/>
      <c r="AC177" s="105"/>
      <c r="AD177" s="105"/>
      <c r="AE177" s="18"/>
      <c r="AF177" s="105"/>
      <c r="AG177" s="105"/>
      <c r="AH177" s="105"/>
      <c r="AI177" s="105"/>
      <c r="AJ177" s="105"/>
      <c r="AK177" s="105"/>
      <c r="AL177" s="105"/>
      <c r="AM177" s="18"/>
      <c r="AN177" s="105"/>
      <c r="AO177" s="105"/>
      <c r="AP177" s="105"/>
      <c r="AQ177" s="18"/>
      <c r="AR177" s="105"/>
      <c r="AS177" s="105"/>
      <c r="AT177" s="105"/>
      <c r="AU177" s="18"/>
      <c r="AV177" s="105"/>
      <c r="AW177" s="105"/>
      <c r="AX177" s="18"/>
      <c r="AY177" s="105"/>
      <c r="AZ177" s="105"/>
      <c r="BA177" s="105"/>
      <c r="BB177" s="105"/>
      <c r="BC177" s="18"/>
      <c r="BD177" s="89"/>
      <c r="BE177" s="89"/>
      <c r="BF177" s="89"/>
      <c r="BG177" s="89"/>
      <c r="BH177" s="89"/>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c r="DA177" s="20"/>
      <c r="DB177" s="20"/>
      <c r="DC177" s="20"/>
      <c r="DD177" s="20"/>
      <c r="DE177" s="20"/>
      <c r="DF177" s="20"/>
      <c r="DG177" s="20"/>
      <c r="DH177" s="20"/>
      <c r="DI177" s="20"/>
      <c r="DJ177" s="20"/>
      <c r="DK177" s="20"/>
      <c r="DL177" s="20"/>
      <c r="DM177" s="20"/>
      <c r="DN177" s="20"/>
      <c r="DO177" s="20"/>
      <c r="DP177" s="20"/>
      <c r="DQ177" s="20"/>
      <c r="DR177" s="20"/>
      <c r="DS177" s="20"/>
      <c r="DT177" s="20"/>
      <c r="DU177" s="20"/>
      <c r="DV177" s="20"/>
      <c r="DW177" s="20"/>
      <c r="DX177" s="20"/>
      <c r="DY177" s="20"/>
      <c r="DZ177" s="20"/>
      <c r="EA177" s="20"/>
      <c r="EB177" s="20"/>
      <c r="EC177" s="20"/>
      <c r="ED177" s="20"/>
      <c r="EE177" s="20"/>
      <c r="EF177" s="20"/>
      <c r="EG177" s="20"/>
      <c r="EH177" s="20"/>
      <c r="EI177" s="20"/>
      <c r="EJ177" s="20"/>
      <c r="EK177" s="20"/>
      <c r="EL177" s="20"/>
      <c r="EM177" s="20"/>
      <c r="EN177" s="20"/>
      <c r="EO177" s="20"/>
      <c r="EP177" s="20"/>
      <c r="EQ177" s="20"/>
      <c r="ER177" s="20"/>
      <c r="ES177" s="20"/>
      <c r="ET177" s="20"/>
      <c r="EU177" s="20"/>
      <c r="EV177" s="20"/>
      <c r="EW177" s="20"/>
      <c r="EX177" s="20"/>
      <c r="EY177" s="20"/>
      <c r="EZ177" s="20"/>
      <c r="FA177" s="20"/>
      <c r="FB177" s="20"/>
      <c r="FC177" s="20"/>
      <c r="FD177" s="20"/>
      <c r="FE177" s="20"/>
      <c r="FF177" s="20"/>
      <c r="FG177" s="20"/>
      <c r="FH177" s="20"/>
      <c r="FI177" s="20"/>
      <c r="FJ177" s="20"/>
      <c r="FK177" s="20"/>
      <c r="FL177" s="20"/>
      <c r="FM177" s="20"/>
      <c r="FN177" s="20"/>
      <c r="FO177" s="20"/>
      <c r="FP177" s="20"/>
      <c r="FQ177" s="20"/>
      <c r="FR177" s="20"/>
      <c r="FS177" s="20"/>
      <c r="FT177" s="20"/>
      <c r="FU177" s="20"/>
      <c r="FV177" s="20"/>
      <c r="FW177" s="20"/>
      <c r="FX177" s="20"/>
      <c r="FY177" s="20"/>
      <c r="FZ177" s="20"/>
      <c r="GA177" s="20"/>
      <c r="GB177" s="20"/>
      <c r="GC177" s="20"/>
      <c r="GD177" s="20"/>
      <c r="GE177" s="20"/>
      <c r="GF177" s="20"/>
      <c r="GG177" s="20"/>
      <c r="GH177" s="20"/>
      <c r="GI177" s="20"/>
      <c r="GJ177" s="20"/>
      <c r="GK177" s="20"/>
      <c r="GL177" s="20"/>
      <c r="GM177" s="20"/>
      <c r="GN177" s="20"/>
      <c r="GO177" s="20"/>
      <c r="GP177" s="20"/>
      <c r="GQ177" s="20"/>
      <c r="GR177" s="20"/>
      <c r="GS177" s="20"/>
      <c r="GT177" s="20"/>
      <c r="GU177" s="20"/>
      <c r="GV177" s="20"/>
      <c r="GW177" s="20"/>
      <c r="GX177" s="20"/>
      <c r="GY177" s="20"/>
      <c r="GZ177" s="20"/>
      <c r="HA177" s="20"/>
      <c r="HB177" s="20"/>
      <c r="HC177" s="20"/>
      <c r="HD177" s="20"/>
      <c r="HE177" s="20"/>
      <c r="HF177" s="20"/>
      <c r="HG177" s="20"/>
      <c r="HH177" s="20"/>
      <c r="HI177" s="20"/>
      <c r="HJ177" s="20"/>
      <c r="HK177" s="20"/>
      <c r="HL177" s="20"/>
      <c r="HM177" s="20"/>
      <c r="HN177" s="20"/>
      <c r="HO177" s="20"/>
      <c r="HP177" s="20"/>
      <c r="HQ177" s="20"/>
      <c r="HR177" s="20"/>
      <c r="HS177" s="20"/>
      <c r="HT177" s="20"/>
      <c r="HU177" s="20"/>
      <c r="HV177" s="20"/>
      <c r="HW177" s="20"/>
      <c r="HX177" s="20"/>
      <c r="HY177" s="20"/>
      <c r="HZ177" s="20"/>
      <c r="IA177" s="20"/>
      <c r="IB177" s="20"/>
      <c r="IC177" s="20"/>
      <c r="ID177" s="20"/>
      <c r="IE177" s="20"/>
      <c r="IF177" s="20"/>
      <c r="IG177" s="20"/>
      <c r="IH177" s="20"/>
      <c r="II177" s="20"/>
      <c r="IJ177" s="20"/>
      <c r="IK177" s="20"/>
      <c r="IL177" s="20"/>
      <c r="IM177" s="20"/>
      <c r="IN177" s="20"/>
      <c r="IO177" s="20"/>
      <c r="IP177" s="20"/>
      <c r="IQ177" s="20"/>
      <c r="IR177" s="20"/>
      <c r="IS177" s="20"/>
      <c r="IT177" s="20"/>
      <c r="IU177" s="20"/>
      <c r="IV177" s="20"/>
      <c r="IW177" s="20"/>
      <c r="IX177" s="20"/>
      <c r="IY177" s="20"/>
      <c r="IZ177" s="20"/>
      <c r="JA177" s="20"/>
      <c r="JB177" s="20"/>
      <c r="JC177" s="20"/>
      <c r="JD177" s="20"/>
      <c r="JE177" s="20"/>
      <c r="JF177" s="20"/>
      <c r="JG177" s="20"/>
      <c r="JH177" s="20"/>
      <c r="JI177" s="20"/>
    </row>
    <row r="178" spans="1:269">
      <c r="A178" s="61"/>
      <c r="B178" s="20"/>
      <c r="C178" s="20"/>
      <c r="D178" s="27"/>
      <c r="E178" s="27"/>
      <c r="F178" s="27"/>
      <c r="G178" s="18"/>
      <c r="H178" s="27"/>
      <c r="I178" s="27"/>
      <c r="J178" s="18"/>
      <c r="K178" s="27"/>
      <c r="L178" s="27"/>
      <c r="M178" s="18"/>
      <c r="N178" s="27"/>
      <c r="O178" s="27"/>
      <c r="P178" s="18"/>
      <c r="Q178" s="27"/>
      <c r="R178" s="18"/>
      <c r="S178" s="18"/>
      <c r="T178" s="18"/>
      <c r="U178" s="18"/>
      <c r="V178" s="18"/>
      <c r="W178" s="105"/>
      <c r="X178" s="105"/>
      <c r="Y178" s="18"/>
      <c r="Z178" s="105"/>
      <c r="AA178" s="105"/>
      <c r="AB178" s="18"/>
      <c r="AC178" s="105"/>
      <c r="AD178" s="105"/>
      <c r="AE178" s="18"/>
      <c r="AF178" s="105"/>
      <c r="AG178" s="105"/>
      <c r="AH178" s="105"/>
      <c r="AI178" s="105"/>
      <c r="AJ178" s="105"/>
      <c r="AK178" s="105"/>
      <c r="AL178" s="105"/>
      <c r="AM178" s="18"/>
      <c r="AN178" s="105"/>
      <c r="AO178" s="105"/>
      <c r="AP178" s="105"/>
      <c r="AQ178" s="18"/>
      <c r="AR178" s="105"/>
      <c r="AS178" s="105"/>
      <c r="AT178" s="105"/>
      <c r="AU178" s="18"/>
      <c r="AV178" s="105"/>
      <c r="AW178" s="105"/>
      <c r="AX178" s="18"/>
      <c r="AY178" s="105"/>
      <c r="AZ178" s="105"/>
      <c r="BA178" s="105"/>
      <c r="BB178" s="105"/>
      <c r="BC178" s="18"/>
      <c r="BD178" s="89"/>
      <c r="BE178" s="89"/>
      <c r="BF178" s="89"/>
      <c r="BG178" s="89"/>
      <c r="BH178" s="89"/>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20"/>
      <c r="DH178" s="20"/>
      <c r="DI178" s="20"/>
      <c r="DJ178" s="20"/>
      <c r="DK178" s="20"/>
      <c r="DL178" s="20"/>
      <c r="DM178" s="20"/>
      <c r="DN178" s="20"/>
      <c r="DO178" s="20"/>
      <c r="DP178" s="20"/>
      <c r="DQ178" s="20"/>
      <c r="DR178" s="20"/>
      <c r="DS178" s="20"/>
      <c r="DT178" s="20"/>
      <c r="DU178" s="20"/>
      <c r="DV178" s="20"/>
      <c r="DW178" s="20"/>
      <c r="DX178" s="20"/>
      <c r="DY178" s="20"/>
      <c r="DZ178" s="20"/>
      <c r="EA178" s="20"/>
      <c r="EB178" s="20"/>
      <c r="EC178" s="20"/>
      <c r="ED178" s="20"/>
      <c r="EE178" s="20"/>
      <c r="EF178" s="20"/>
      <c r="EG178" s="20"/>
      <c r="EH178" s="20"/>
      <c r="EI178" s="20"/>
      <c r="EJ178" s="20"/>
      <c r="EK178" s="20"/>
      <c r="EL178" s="20"/>
      <c r="EM178" s="20"/>
      <c r="EN178" s="20"/>
      <c r="EO178" s="20"/>
      <c r="EP178" s="20"/>
      <c r="EQ178" s="20"/>
      <c r="ER178" s="20"/>
      <c r="ES178" s="20"/>
      <c r="ET178" s="20"/>
      <c r="EU178" s="20"/>
      <c r="EV178" s="20"/>
      <c r="EW178" s="20"/>
      <c r="EX178" s="20"/>
      <c r="EY178" s="20"/>
      <c r="EZ178" s="20"/>
      <c r="FA178" s="20"/>
      <c r="FB178" s="20"/>
      <c r="FC178" s="20"/>
      <c r="FD178" s="20"/>
      <c r="FE178" s="20"/>
      <c r="FF178" s="20"/>
      <c r="FG178" s="20"/>
      <c r="FH178" s="20"/>
      <c r="FI178" s="20"/>
      <c r="FJ178" s="20"/>
      <c r="FK178" s="20"/>
      <c r="FL178" s="20"/>
      <c r="FM178" s="20"/>
      <c r="FN178" s="20"/>
      <c r="FO178" s="20"/>
      <c r="FP178" s="20"/>
      <c r="FQ178" s="20"/>
      <c r="FR178" s="20"/>
      <c r="FS178" s="20"/>
      <c r="FT178" s="20"/>
      <c r="FU178" s="20"/>
      <c r="FV178" s="20"/>
      <c r="FW178" s="20"/>
      <c r="FX178" s="20"/>
      <c r="FY178" s="20"/>
      <c r="FZ178" s="20"/>
      <c r="GA178" s="20"/>
      <c r="GB178" s="20"/>
      <c r="GC178" s="20"/>
      <c r="GD178" s="20"/>
      <c r="GE178" s="20"/>
      <c r="GF178" s="20"/>
      <c r="GG178" s="20"/>
      <c r="GH178" s="20"/>
      <c r="GI178" s="20"/>
      <c r="GJ178" s="20"/>
      <c r="GK178" s="20"/>
      <c r="GL178" s="20"/>
      <c r="GM178" s="20"/>
      <c r="GN178" s="20"/>
      <c r="GO178" s="20"/>
      <c r="GP178" s="20"/>
      <c r="GQ178" s="20"/>
      <c r="GR178" s="20"/>
      <c r="GS178" s="20"/>
      <c r="GT178" s="20"/>
      <c r="GU178" s="20"/>
      <c r="GV178" s="20"/>
      <c r="GW178" s="20"/>
      <c r="GX178" s="20"/>
      <c r="GY178" s="20"/>
      <c r="GZ178" s="20"/>
      <c r="HA178" s="20"/>
      <c r="HB178" s="20"/>
      <c r="HC178" s="20"/>
      <c r="HD178" s="20"/>
      <c r="HE178" s="20"/>
      <c r="HF178" s="20"/>
      <c r="HG178" s="20"/>
      <c r="HH178" s="20"/>
      <c r="HI178" s="20"/>
      <c r="HJ178" s="20"/>
      <c r="HK178" s="20"/>
      <c r="HL178" s="20"/>
      <c r="HM178" s="20"/>
      <c r="HN178" s="20"/>
      <c r="HO178" s="20"/>
      <c r="HP178" s="20"/>
      <c r="HQ178" s="20"/>
      <c r="HR178" s="20"/>
      <c r="HS178" s="20"/>
      <c r="HT178" s="20"/>
      <c r="HU178" s="20"/>
      <c r="HV178" s="20"/>
      <c r="HW178" s="20"/>
      <c r="HX178" s="20"/>
      <c r="HY178" s="20"/>
      <c r="HZ178" s="20"/>
      <c r="IA178" s="20"/>
      <c r="IB178" s="20"/>
      <c r="IC178" s="20"/>
      <c r="ID178" s="20"/>
      <c r="IE178" s="20"/>
      <c r="IF178" s="20"/>
      <c r="IG178" s="20"/>
      <c r="IH178" s="20"/>
      <c r="II178" s="20"/>
      <c r="IJ178" s="20"/>
      <c r="IK178" s="20"/>
      <c r="IL178" s="20"/>
      <c r="IM178" s="20"/>
      <c r="IN178" s="20"/>
      <c r="IO178" s="20"/>
      <c r="IP178" s="20"/>
      <c r="IQ178" s="20"/>
      <c r="IR178" s="20"/>
      <c r="IS178" s="20"/>
      <c r="IT178" s="20"/>
      <c r="IU178" s="20"/>
      <c r="IV178" s="20"/>
      <c r="IW178" s="20"/>
      <c r="IX178" s="20"/>
      <c r="IY178" s="20"/>
      <c r="IZ178" s="20"/>
      <c r="JA178" s="20"/>
      <c r="JB178" s="20"/>
      <c r="JC178" s="20"/>
      <c r="JD178" s="20"/>
      <c r="JE178" s="20"/>
      <c r="JF178" s="20"/>
      <c r="JG178" s="20"/>
      <c r="JH178" s="20"/>
      <c r="JI178" s="20"/>
    </row>
    <row r="179" spans="1:269">
      <c r="A179" s="61"/>
      <c r="B179" s="20"/>
      <c r="C179" s="20"/>
      <c r="D179" s="27"/>
      <c r="E179" s="27"/>
      <c r="F179" s="27"/>
      <c r="G179" s="18"/>
      <c r="H179" s="27"/>
      <c r="I179" s="27"/>
      <c r="J179" s="18"/>
      <c r="K179" s="27"/>
      <c r="L179" s="27"/>
      <c r="M179" s="18"/>
      <c r="N179" s="27"/>
      <c r="O179" s="27"/>
      <c r="P179" s="18"/>
      <c r="Q179" s="27"/>
      <c r="R179" s="18"/>
      <c r="S179" s="18"/>
      <c r="T179" s="18"/>
      <c r="U179" s="18"/>
      <c r="V179" s="18"/>
      <c r="W179" s="105"/>
      <c r="X179" s="105"/>
      <c r="Y179" s="18"/>
      <c r="Z179" s="105"/>
      <c r="AA179" s="105"/>
      <c r="AB179" s="18"/>
      <c r="AC179" s="105"/>
      <c r="AD179" s="105"/>
      <c r="AE179" s="18"/>
      <c r="AF179" s="105"/>
      <c r="AG179" s="105"/>
      <c r="AH179" s="105"/>
      <c r="AI179" s="105"/>
      <c r="AJ179" s="105"/>
      <c r="AK179" s="105"/>
      <c r="AL179" s="105"/>
      <c r="AM179" s="18"/>
      <c r="AN179" s="105"/>
      <c r="AO179" s="105"/>
      <c r="AP179" s="105"/>
      <c r="AQ179" s="18"/>
      <c r="AR179" s="105"/>
      <c r="AS179" s="105"/>
      <c r="AT179" s="105"/>
      <c r="AU179" s="18"/>
      <c r="AV179" s="105"/>
      <c r="AW179" s="105"/>
      <c r="AX179" s="18"/>
      <c r="AY179" s="105"/>
      <c r="AZ179" s="105"/>
      <c r="BA179" s="105"/>
      <c r="BB179" s="105"/>
      <c r="BC179" s="18"/>
      <c r="BD179" s="89"/>
      <c r="BE179" s="89"/>
      <c r="BF179" s="89"/>
      <c r="BG179" s="89"/>
      <c r="BH179" s="89"/>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c r="DV179" s="20"/>
      <c r="DW179" s="20"/>
      <c r="DX179" s="20"/>
      <c r="DY179" s="20"/>
      <c r="DZ179" s="20"/>
      <c r="EA179" s="20"/>
      <c r="EB179" s="20"/>
      <c r="EC179" s="20"/>
      <c r="ED179" s="20"/>
      <c r="EE179" s="20"/>
      <c r="EF179" s="20"/>
      <c r="EG179" s="20"/>
      <c r="EH179" s="20"/>
      <c r="EI179" s="20"/>
      <c r="EJ179" s="20"/>
      <c r="EK179" s="20"/>
      <c r="EL179" s="20"/>
      <c r="EM179" s="20"/>
      <c r="EN179" s="20"/>
      <c r="EO179" s="20"/>
      <c r="EP179" s="20"/>
      <c r="EQ179" s="20"/>
      <c r="ER179" s="20"/>
      <c r="ES179" s="20"/>
      <c r="ET179" s="20"/>
      <c r="EU179" s="20"/>
      <c r="EV179" s="20"/>
      <c r="EW179" s="20"/>
      <c r="EX179" s="20"/>
      <c r="EY179" s="20"/>
      <c r="EZ179" s="20"/>
      <c r="FA179" s="20"/>
      <c r="FB179" s="20"/>
      <c r="FC179" s="20"/>
      <c r="FD179" s="20"/>
      <c r="FE179" s="20"/>
      <c r="FF179" s="20"/>
      <c r="FG179" s="20"/>
      <c r="FH179" s="20"/>
      <c r="FI179" s="20"/>
      <c r="FJ179" s="20"/>
      <c r="FK179" s="20"/>
      <c r="FL179" s="20"/>
      <c r="FM179" s="20"/>
      <c r="FN179" s="20"/>
      <c r="FO179" s="20"/>
      <c r="FP179" s="20"/>
      <c r="FQ179" s="20"/>
      <c r="FR179" s="20"/>
      <c r="FS179" s="20"/>
      <c r="FT179" s="20"/>
      <c r="FU179" s="20"/>
      <c r="FV179" s="20"/>
      <c r="FW179" s="20"/>
      <c r="FX179" s="20"/>
      <c r="FY179" s="20"/>
      <c r="FZ179" s="20"/>
      <c r="GA179" s="20"/>
      <c r="GB179" s="20"/>
      <c r="GC179" s="20"/>
      <c r="GD179" s="20"/>
      <c r="GE179" s="20"/>
      <c r="GF179" s="20"/>
      <c r="GG179" s="20"/>
      <c r="GH179" s="20"/>
      <c r="GI179" s="20"/>
      <c r="GJ179" s="20"/>
      <c r="GK179" s="20"/>
      <c r="GL179" s="20"/>
      <c r="GM179" s="20"/>
      <c r="GN179" s="20"/>
      <c r="GO179" s="20"/>
      <c r="GP179" s="20"/>
      <c r="GQ179" s="20"/>
      <c r="GR179" s="20"/>
      <c r="GS179" s="20"/>
      <c r="GT179" s="20"/>
      <c r="GU179" s="20"/>
      <c r="GV179" s="20"/>
      <c r="GW179" s="20"/>
      <c r="GX179" s="20"/>
      <c r="GY179" s="20"/>
      <c r="GZ179" s="20"/>
      <c r="HA179" s="20"/>
      <c r="HB179" s="20"/>
      <c r="HC179" s="20"/>
      <c r="HD179" s="20"/>
      <c r="HE179" s="20"/>
      <c r="HF179" s="20"/>
      <c r="HG179" s="20"/>
      <c r="HH179" s="20"/>
      <c r="HI179" s="20"/>
      <c r="HJ179" s="20"/>
      <c r="HK179" s="20"/>
      <c r="HL179" s="20"/>
      <c r="HM179" s="20"/>
      <c r="HN179" s="20"/>
      <c r="HO179" s="20"/>
      <c r="HP179" s="20"/>
      <c r="HQ179" s="20"/>
      <c r="HR179" s="20"/>
      <c r="HS179" s="20"/>
      <c r="HT179" s="20"/>
      <c r="HU179" s="20"/>
      <c r="HV179" s="20"/>
      <c r="HW179" s="20"/>
      <c r="HX179" s="20"/>
      <c r="HY179" s="20"/>
      <c r="HZ179" s="20"/>
      <c r="IA179" s="20"/>
      <c r="IB179" s="20"/>
      <c r="IC179" s="20"/>
      <c r="ID179" s="20"/>
      <c r="IE179" s="20"/>
      <c r="IF179" s="20"/>
      <c r="IG179" s="20"/>
      <c r="IH179" s="20"/>
      <c r="II179" s="20"/>
      <c r="IJ179" s="20"/>
      <c r="IK179" s="20"/>
      <c r="IL179" s="20"/>
      <c r="IM179" s="20"/>
      <c r="IN179" s="20"/>
      <c r="IO179" s="20"/>
      <c r="IP179" s="20"/>
      <c r="IQ179" s="20"/>
      <c r="IR179" s="20"/>
      <c r="IS179" s="20"/>
      <c r="IT179" s="20"/>
      <c r="IU179" s="20"/>
      <c r="IV179" s="20"/>
      <c r="IW179" s="20"/>
      <c r="IX179" s="20"/>
      <c r="IY179" s="20"/>
      <c r="IZ179" s="20"/>
      <c r="JA179" s="20"/>
      <c r="JB179" s="20"/>
      <c r="JC179" s="20"/>
      <c r="JD179" s="20"/>
      <c r="JE179" s="20"/>
      <c r="JF179" s="20"/>
      <c r="JG179" s="20"/>
      <c r="JH179" s="20"/>
      <c r="JI179" s="20"/>
    </row>
    <row r="180" spans="1:269">
      <c r="A180" s="61"/>
      <c r="B180" s="20"/>
      <c r="C180" s="20"/>
      <c r="D180" s="27"/>
      <c r="E180" s="27"/>
      <c r="F180" s="27"/>
      <c r="G180" s="18"/>
      <c r="H180" s="27"/>
      <c r="I180" s="27"/>
      <c r="J180" s="18"/>
      <c r="K180" s="27"/>
      <c r="L180" s="27"/>
      <c r="M180" s="18"/>
      <c r="N180" s="27"/>
      <c r="O180" s="27"/>
      <c r="P180" s="18"/>
      <c r="Q180" s="27"/>
      <c r="R180" s="18"/>
      <c r="S180" s="18"/>
      <c r="T180" s="18"/>
      <c r="U180" s="18"/>
      <c r="V180" s="18"/>
      <c r="W180" s="105"/>
      <c r="X180" s="105"/>
      <c r="Y180" s="18"/>
      <c r="Z180" s="105"/>
      <c r="AA180" s="105"/>
      <c r="AB180" s="18"/>
      <c r="AC180" s="105"/>
      <c r="AD180" s="105"/>
      <c r="AE180" s="18"/>
      <c r="AF180" s="105"/>
      <c r="AG180" s="105"/>
      <c r="AH180" s="105"/>
      <c r="AI180" s="105"/>
      <c r="AJ180" s="105"/>
      <c r="AK180" s="105"/>
      <c r="AL180" s="105"/>
      <c r="AM180" s="18"/>
      <c r="AN180" s="105"/>
      <c r="AO180" s="105"/>
      <c r="AP180" s="105"/>
      <c r="AQ180" s="18"/>
      <c r="AR180" s="105"/>
      <c r="AS180" s="105"/>
      <c r="AT180" s="105"/>
      <c r="AU180" s="18"/>
      <c r="AV180" s="105"/>
      <c r="AW180" s="105"/>
      <c r="AX180" s="18"/>
      <c r="AY180" s="105"/>
      <c r="AZ180" s="105"/>
      <c r="BA180" s="105"/>
      <c r="BB180" s="105"/>
      <c r="BC180" s="18"/>
      <c r="BD180" s="89"/>
      <c r="BE180" s="89"/>
      <c r="BF180" s="89"/>
      <c r="BG180" s="89"/>
      <c r="BH180" s="89"/>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c r="DU180" s="20"/>
      <c r="DV180" s="20"/>
      <c r="DW180" s="20"/>
      <c r="DX180" s="20"/>
      <c r="DY180" s="20"/>
      <c r="DZ180" s="20"/>
      <c r="EA180" s="20"/>
      <c r="EB180" s="20"/>
      <c r="EC180" s="20"/>
      <c r="ED180" s="20"/>
      <c r="EE180" s="20"/>
      <c r="EF180" s="20"/>
      <c r="EG180" s="20"/>
      <c r="EH180" s="20"/>
      <c r="EI180" s="20"/>
      <c r="EJ180" s="20"/>
      <c r="EK180" s="20"/>
      <c r="EL180" s="20"/>
      <c r="EM180" s="20"/>
      <c r="EN180" s="20"/>
      <c r="EO180" s="20"/>
      <c r="EP180" s="20"/>
      <c r="EQ180" s="20"/>
      <c r="ER180" s="20"/>
      <c r="ES180" s="20"/>
      <c r="ET180" s="20"/>
      <c r="EU180" s="20"/>
      <c r="EV180" s="20"/>
      <c r="EW180" s="20"/>
      <c r="EX180" s="20"/>
      <c r="EY180" s="20"/>
      <c r="EZ180" s="20"/>
      <c r="FA180" s="20"/>
      <c r="FB180" s="20"/>
      <c r="FC180" s="20"/>
      <c r="FD180" s="20"/>
      <c r="FE180" s="20"/>
      <c r="FF180" s="20"/>
      <c r="FG180" s="20"/>
      <c r="FH180" s="20"/>
      <c r="FI180" s="20"/>
      <c r="FJ180" s="20"/>
      <c r="FK180" s="20"/>
      <c r="FL180" s="20"/>
      <c r="FM180" s="20"/>
      <c r="FN180" s="20"/>
      <c r="FO180" s="20"/>
      <c r="FP180" s="20"/>
      <c r="FQ180" s="20"/>
      <c r="FR180" s="20"/>
      <c r="FS180" s="20"/>
      <c r="FT180" s="20"/>
      <c r="FU180" s="20"/>
      <c r="FV180" s="20"/>
      <c r="FW180" s="20"/>
      <c r="FX180" s="20"/>
      <c r="FY180" s="20"/>
      <c r="FZ180" s="20"/>
      <c r="GA180" s="20"/>
      <c r="GB180" s="20"/>
      <c r="GC180" s="20"/>
      <c r="GD180" s="20"/>
      <c r="GE180" s="20"/>
      <c r="GF180" s="20"/>
      <c r="GG180" s="20"/>
      <c r="GH180" s="20"/>
      <c r="GI180" s="20"/>
      <c r="GJ180" s="20"/>
      <c r="GK180" s="20"/>
      <c r="GL180" s="20"/>
      <c r="GM180" s="20"/>
      <c r="GN180" s="20"/>
      <c r="GO180" s="20"/>
      <c r="GP180" s="20"/>
      <c r="GQ180" s="20"/>
      <c r="GR180" s="20"/>
      <c r="GS180" s="20"/>
      <c r="GT180" s="20"/>
      <c r="GU180" s="20"/>
      <c r="GV180" s="20"/>
      <c r="GW180" s="20"/>
      <c r="GX180" s="20"/>
      <c r="GY180" s="20"/>
      <c r="GZ180" s="20"/>
      <c r="HA180" s="20"/>
      <c r="HB180" s="20"/>
      <c r="HC180" s="20"/>
      <c r="HD180" s="20"/>
      <c r="HE180" s="20"/>
      <c r="HF180" s="20"/>
      <c r="HG180" s="20"/>
      <c r="HH180" s="20"/>
      <c r="HI180" s="20"/>
      <c r="HJ180" s="20"/>
      <c r="HK180" s="20"/>
      <c r="HL180" s="20"/>
      <c r="HM180" s="20"/>
      <c r="HN180" s="20"/>
      <c r="HO180" s="20"/>
      <c r="HP180" s="20"/>
      <c r="HQ180" s="20"/>
      <c r="HR180" s="20"/>
      <c r="HS180" s="20"/>
      <c r="HT180" s="20"/>
      <c r="HU180" s="20"/>
      <c r="HV180" s="20"/>
      <c r="HW180" s="20"/>
      <c r="HX180" s="20"/>
      <c r="HY180" s="20"/>
      <c r="HZ180" s="20"/>
      <c r="IA180" s="20"/>
      <c r="IB180" s="20"/>
      <c r="IC180" s="20"/>
      <c r="ID180" s="20"/>
      <c r="IE180" s="20"/>
      <c r="IF180" s="20"/>
      <c r="IG180" s="20"/>
      <c r="IH180" s="20"/>
      <c r="II180" s="20"/>
      <c r="IJ180" s="20"/>
      <c r="IK180" s="20"/>
      <c r="IL180" s="20"/>
      <c r="IM180" s="20"/>
      <c r="IN180" s="20"/>
      <c r="IO180" s="20"/>
      <c r="IP180" s="20"/>
      <c r="IQ180" s="20"/>
      <c r="IR180" s="20"/>
      <c r="IS180" s="20"/>
      <c r="IT180" s="20"/>
      <c r="IU180" s="20"/>
      <c r="IV180" s="20"/>
      <c r="IW180" s="20"/>
      <c r="IX180" s="20"/>
      <c r="IY180" s="20"/>
      <c r="IZ180" s="20"/>
      <c r="JA180" s="20"/>
      <c r="JB180" s="20"/>
      <c r="JC180" s="20"/>
      <c r="JD180" s="20"/>
      <c r="JE180" s="20"/>
      <c r="JF180" s="20"/>
      <c r="JG180" s="20"/>
      <c r="JH180" s="20"/>
      <c r="JI180" s="20"/>
    </row>
    <row r="181" spans="1:269">
      <c r="A181" s="61" ph="1"/>
      <c r="B181" s="20" ph="1"/>
      <c r="C181" s="20" ph="1"/>
      <c r="D181" s="27" ph="1"/>
      <c r="E181" s="27" ph="1"/>
      <c r="F181" s="27" ph="1"/>
      <c r="G181" s="18" ph="1"/>
      <c r="H181" s="27" ph="1"/>
      <c r="I181" s="27" ph="1"/>
      <c r="J181" s="18" ph="1"/>
      <c r="K181" s="27" ph="1"/>
      <c r="L181" s="27" ph="1"/>
      <c r="M181" s="18" ph="1"/>
      <c r="N181" s="27" ph="1"/>
      <c r="O181" s="27" ph="1"/>
      <c r="P181" s="18" ph="1"/>
      <c r="Q181" s="27" ph="1"/>
      <c r="R181" s="18" ph="1"/>
      <c r="S181" s="18" ph="1"/>
      <c r="T181" s="18" ph="1"/>
      <c r="U181" s="18" ph="1"/>
      <c r="V181" s="18" ph="1"/>
      <c r="W181" s="105" ph="1"/>
      <c r="X181" s="105" ph="1"/>
      <c r="Y181" s="18" ph="1"/>
      <c r="Z181" s="105" ph="1"/>
      <c r="AA181" s="105" ph="1"/>
      <c r="AB181" s="18" ph="1"/>
      <c r="AC181" s="105" ph="1"/>
      <c r="AD181" s="105" ph="1"/>
      <c r="AE181" s="18" ph="1"/>
      <c r="AF181" s="105" ph="1"/>
      <c r="AG181" s="105" ph="1"/>
      <c r="AH181" s="105" ph="1"/>
      <c r="AI181" s="105" ph="1"/>
      <c r="AJ181" s="105" ph="1"/>
      <c r="AK181" s="105" ph="1"/>
      <c r="AL181" s="105" ph="1"/>
      <c r="AM181" s="18" ph="1"/>
      <c r="AN181" s="105" ph="1"/>
      <c r="AO181" s="105" ph="1"/>
      <c r="AP181" s="105" ph="1"/>
      <c r="AQ181" s="18" ph="1"/>
      <c r="AR181" s="105" ph="1"/>
      <c r="AS181" s="105" ph="1"/>
      <c r="AT181" s="105" ph="1"/>
      <c r="AU181" s="18" ph="1"/>
      <c r="AV181" s="105" ph="1"/>
      <c r="AW181" s="105" ph="1"/>
      <c r="AX181" s="18" ph="1"/>
      <c r="AY181" s="105" ph="1"/>
      <c r="AZ181" s="105" ph="1"/>
      <c r="BA181" s="105" ph="1"/>
      <c r="BB181" s="105" ph="1"/>
      <c r="BC181" s="18" ph="1"/>
      <c r="BD181" s="89"/>
      <c r="BE181" s="89"/>
      <c r="BF181" s="89"/>
      <c r="BG181" s="89"/>
      <c r="BH181" s="89"/>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c r="DU181" s="20"/>
      <c r="DV181" s="20"/>
      <c r="DW181" s="20"/>
      <c r="DX181" s="20"/>
      <c r="DY181" s="20"/>
      <c r="DZ181" s="20"/>
      <c r="EA181" s="20"/>
      <c r="EB181" s="20"/>
      <c r="EC181" s="20"/>
      <c r="ED181" s="20"/>
      <c r="EE181" s="20"/>
      <c r="EF181" s="20"/>
      <c r="EG181" s="20"/>
      <c r="EH181" s="20"/>
      <c r="EI181" s="20"/>
      <c r="EJ181" s="20"/>
      <c r="EK181" s="20"/>
      <c r="EL181" s="20"/>
      <c r="EM181" s="20"/>
      <c r="EN181" s="20"/>
      <c r="EO181" s="20"/>
      <c r="EP181" s="20"/>
      <c r="EQ181" s="20"/>
      <c r="ER181" s="20"/>
      <c r="ES181" s="20"/>
      <c r="ET181" s="20"/>
      <c r="EU181" s="20"/>
      <c r="EV181" s="20"/>
      <c r="EW181" s="20"/>
      <c r="EX181" s="20"/>
      <c r="EY181" s="20"/>
      <c r="EZ181" s="20"/>
      <c r="FA181" s="20"/>
      <c r="FB181" s="20"/>
      <c r="FC181" s="20"/>
      <c r="FD181" s="20"/>
      <c r="FE181" s="20"/>
      <c r="FF181" s="20"/>
      <c r="FG181" s="20"/>
      <c r="FH181" s="20"/>
      <c r="FI181" s="20"/>
      <c r="FJ181" s="20"/>
      <c r="FK181" s="20"/>
      <c r="FL181" s="20"/>
      <c r="FM181" s="20"/>
      <c r="FN181" s="20"/>
      <c r="FO181" s="20"/>
      <c r="FP181" s="20"/>
      <c r="FQ181" s="20"/>
      <c r="FR181" s="20"/>
      <c r="FS181" s="20"/>
      <c r="FT181" s="20"/>
      <c r="FU181" s="20"/>
      <c r="FV181" s="20"/>
      <c r="FW181" s="20"/>
      <c r="FX181" s="20"/>
      <c r="FY181" s="20"/>
      <c r="FZ181" s="20"/>
      <c r="GA181" s="20"/>
      <c r="GB181" s="20"/>
      <c r="GC181" s="20"/>
      <c r="GD181" s="20"/>
      <c r="GE181" s="20"/>
      <c r="GF181" s="20"/>
      <c r="GG181" s="20"/>
      <c r="GH181" s="20"/>
      <c r="GI181" s="20"/>
      <c r="GJ181" s="20"/>
      <c r="GK181" s="20"/>
      <c r="GL181" s="20"/>
      <c r="GM181" s="20"/>
      <c r="GN181" s="20"/>
      <c r="GO181" s="20"/>
      <c r="GP181" s="20"/>
      <c r="GQ181" s="20"/>
      <c r="GR181" s="20"/>
      <c r="GS181" s="20"/>
      <c r="GT181" s="20"/>
      <c r="GU181" s="20"/>
      <c r="GV181" s="20"/>
      <c r="GW181" s="20"/>
      <c r="GX181" s="20"/>
      <c r="GY181" s="20"/>
      <c r="GZ181" s="20"/>
      <c r="HA181" s="20"/>
      <c r="HB181" s="20"/>
      <c r="HC181" s="20"/>
      <c r="HD181" s="20"/>
      <c r="HE181" s="20"/>
      <c r="HF181" s="20"/>
      <c r="HG181" s="20"/>
      <c r="HH181" s="20"/>
      <c r="HI181" s="20"/>
      <c r="HJ181" s="20"/>
      <c r="HK181" s="20"/>
      <c r="HL181" s="20"/>
      <c r="HM181" s="20"/>
      <c r="HN181" s="20"/>
      <c r="HO181" s="20"/>
      <c r="HP181" s="20"/>
      <c r="HQ181" s="20"/>
      <c r="HR181" s="20"/>
      <c r="HS181" s="20"/>
      <c r="HT181" s="20"/>
      <c r="HU181" s="20"/>
      <c r="HV181" s="20"/>
      <c r="HW181" s="20"/>
      <c r="HX181" s="20"/>
      <c r="HY181" s="20"/>
      <c r="HZ181" s="20"/>
      <c r="IA181" s="20"/>
      <c r="IB181" s="20"/>
      <c r="IC181" s="20"/>
      <c r="ID181" s="20"/>
      <c r="IE181" s="20"/>
      <c r="IF181" s="20"/>
      <c r="IG181" s="20"/>
      <c r="IH181" s="20"/>
      <c r="II181" s="20"/>
      <c r="IJ181" s="20"/>
      <c r="IK181" s="20"/>
      <c r="IL181" s="20"/>
      <c r="IM181" s="20"/>
      <c r="IN181" s="20"/>
      <c r="IO181" s="20"/>
      <c r="IP181" s="20"/>
      <c r="IQ181" s="20"/>
      <c r="IR181" s="20"/>
      <c r="IS181" s="20"/>
      <c r="IT181" s="20"/>
      <c r="IU181" s="20"/>
      <c r="IV181" s="20"/>
      <c r="IW181" s="20"/>
      <c r="IX181" s="20"/>
      <c r="IY181" s="20"/>
      <c r="IZ181" s="20"/>
      <c r="JA181" s="20"/>
      <c r="JB181" s="20"/>
      <c r="JC181" s="20"/>
      <c r="JD181" s="20"/>
      <c r="JE181" s="20"/>
      <c r="JF181" s="20"/>
      <c r="JG181" s="20"/>
      <c r="JH181" s="20"/>
      <c r="JI181" s="20"/>
    </row>
    <row r="182" spans="1:269">
      <c r="A182" s="61"/>
      <c r="B182" s="20"/>
      <c r="C182" s="20"/>
      <c r="D182" s="27"/>
      <c r="E182" s="27"/>
      <c r="F182" s="27"/>
      <c r="G182" s="18"/>
      <c r="H182" s="27"/>
      <c r="I182" s="27"/>
      <c r="J182" s="18"/>
      <c r="K182" s="27"/>
      <c r="L182" s="27"/>
      <c r="M182" s="18"/>
      <c r="N182" s="27"/>
      <c r="O182" s="27"/>
      <c r="P182" s="18"/>
      <c r="Q182" s="27"/>
      <c r="R182" s="18"/>
      <c r="S182" s="18"/>
      <c r="T182" s="18"/>
      <c r="U182" s="18"/>
      <c r="V182" s="18"/>
      <c r="W182" s="105"/>
      <c r="X182" s="105"/>
      <c r="Y182" s="18"/>
      <c r="Z182" s="105"/>
      <c r="AA182" s="105"/>
      <c r="AB182" s="18"/>
      <c r="AC182" s="105"/>
      <c r="AD182" s="105"/>
      <c r="AE182" s="18"/>
      <c r="AF182" s="105"/>
      <c r="AG182" s="105"/>
      <c r="AH182" s="105"/>
      <c r="AI182" s="105"/>
      <c r="AJ182" s="105"/>
      <c r="AK182" s="105"/>
      <c r="AL182" s="105"/>
      <c r="AM182" s="18"/>
      <c r="AN182" s="105"/>
      <c r="AO182" s="105"/>
      <c r="AP182" s="105"/>
      <c r="AQ182" s="18"/>
      <c r="AR182" s="105"/>
      <c r="AS182" s="105"/>
      <c r="AT182" s="105"/>
      <c r="AU182" s="18"/>
      <c r="AV182" s="105"/>
      <c r="AW182" s="105"/>
      <c r="AX182" s="18"/>
      <c r="AY182" s="105"/>
      <c r="AZ182" s="105"/>
      <c r="BA182" s="105"/>
      <c r="BB182" s="105"/>
      <c r="BC182" s="18"/>
      <c r="BD182" s="89"/>
      <c r="BE182" s="89"/>
      <c r="BF182" s="89"/>
      <c r="BG182" s="89"/>
      <c r="BH182" s="89"/>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c r="DU182" s="20"/>
      <c r="DV182" s="20"/>
      <c r="DW182" s="20"/>
      <c r="DX182" s="20"/>
      <c r="DY182" s="20"/>
      <c r="DZ182" s="20"/>
      <c r="EA182" s="20"/>
      <c r="EB182" s="20"/>
      <c r="EC182" s="20"/>
      <c r="ED182" s="20"/>
      <c r="EE182" s="20"/>
      <c r="EF182" s="20"/>
      <c r="EG182" s="20"/>
      <c r="EH182" s="20"/>
      <c r="EI182" s="20"/>
      <c r="EJ182" s="20"/>
      <c r="EK182" s="20"/>
      <c r="EL182" s="20"/>
      <c r="EM182" s="20"/>
      <c r="EN182" s="20"/>
      <c r="EO182" s="20"/>
      <c r="EP182" s="20"/>
      <c r="EQ182" s="20"/>
      <c r="ER182" s="20"/>
      <c r="ES182" s="20"/>
      <c r="ET182" s="20"/>
      <c r="EU182" s="20"/>
      <c r="EV182" s="20"/>
      <c r="EW182" s="20"/>
      <c r="EX182" s="20"/>
      <c r="EY182" s="20"/>
      <c r="EZ182" s="20"/>
      <c r="FA182" s="20"/>
      <c r="FB182" s="20"/>
      <c r="FC182" s="20"/>
      <c r="FD182" s="20"/>
      <c r="FE182" s="20"/>
      <c r="FF182" s="20"/>
      <c r="FG182" s="20"/>
      <c r="FH182" s="20"/>
      <c r="FI182" s="20"/>
      <c r="FJ182" s="20"/>
      <c r="FK182" s="20"/>
      <c r="FL182" s="20"/>
      <c r="FM182" s="20"/>
      <c r="FN182" s="20"/>
      <c r="FO182" s="20"/>
      <c r="FP182" s="20"/>
      <c r="FQ182" s="20"/>
      <c r="FR182" s="20"/>
      <c r="FS182" s="20"/>
      <c r="FT182" s="20"/>
      <c r="FU182" s="20"/>
      <c r="FV182" s="20"/>
      <c r="FW182" s="20"/>
      <c r="FX182" s="20"/>
      <c r="FY182" s="20"/>
      <c r="FZ182" s="20"/>
      <c r="GA182" s="20"/>
      <c r="GB182" s="20"/>
      <c r="GC182" s="20"/>
      <c r="GD182" s="20"/>
      <c r="GE182" s="20"/>
      <c r="GF182" s="20"/>
      <c r="GG182" s="20"/>
      <c r="GH182" s="20"/>
      <c r="GI182" s="20"/>
      <c r="GJ182" s="20"/>
      <c r="GK182" s="20"/>
      <c r="GL182" s="20"/>
      <c r="GM182" s="20"/>
      <c r="GN182" s="20"/>
      <c r="GO182" s="20"/>
      <c r="GP182" s="20"/>
      <c r="GQ182" s="20"/>
      <c r="GR182" s="20"/>
      <c r="GS182" s="20"/>
      <c r="GT182" s="20"/>
      <c r="GU182" s="20"/>
      <c r="GV182" s="20"/>
      <c r="GW182" s="20"/>
      <c r="GX182" s="20"/>
      <c r="GY182" s="20"/>
      <c r="GZ182" s="20"/>
      <c r="HA182" s="20"/>
      <c r="HB182" s="20"/>
      <c r="HC182" s="20"/>
      <c r="HD182" s="20"/>
      <c r="HE182" s="20"/>
      <c r="HF182" s="20"/>
      <c r="HG182" s="20"/>
      <c r="HH182" s="20"/>
      <c r="HI182" s="20"/>
      <c r="HJ182" s="20"/>
      <c r="HK182" s="20"/>
      <c r="HL182" s="20"/>
      <c r="HM182" s="20"/>
      <c r="HN182" s="20"/>
      <c r="HO182" s="20"/>
      <c r="HP182" s="20"/>
      <c r="HQ182" s="20"/>
      <c r="HR182" s="20"/>
      <c r="HS182" s="20"/>
      <c r="HT182" s="20"/>
      <c r="HU182" s="20"/>
      <c r="HV182" s="20"/>
      <c r="HW182" s="20"/>
      <c r="HX182" s="20"/>
      <c r="HY182" s="20"/>
      <c r="HZ182" s="20"/>
      <c r="IA182" s="20"/>
      <c r="IB182" s="20"/>
      <c r="IC182" s="20"/>
      <c r="ID182" s="20"/>
      <c r="IE182" s="20"/>
      <c r="IF182" s="20"/>
      <c r="IG182" s="20"/>
      <c r="IH182" s="20"/>
      <c r="II182" s="20"/>
      <c r="IJ182" s="20"/>
      <c r="IK182" s="20"/>
      <c r="IL182" s="20"/>
      <c r="IM182" s="20"/>
      <c r="IN182" s="20"/>
      <c r="IO182" s="20"/>
      <c r="IP182" s="20"/>
      <c r="IQ182" s="20"/>
      <c r="IR182" s="20"/>
      <c r="IS182" s="20"/>
      <c r="IT182" s="20"/>
      <c r="IU182" s="20"/>
      <c r="IV182" s="20"/>
      <c r="IW182" s="20"/>
      <c r="IX182" s="20"/>
      <c r="IY182" s="20"/>
      <c r="IZ182" s="20"/>
      <c r="JA182" s="20"/>
      <c r="JB182" s="20"/>
      <c r="JC182" s="20"/>
      <c r="JD182" s="20"/>
      <c r="JE182" s="20"/>
      <c r="JF182" s="20"/>
      <c r="JG182" s="20"/>
      <c r="JH182" s="20"/>
      <c r="JI182" s="20"/>
    </row>
    <row r="183" spans="1:269">
      <c r="A183" s="61"/>
      <c r="B183" s="20"/>
      <c r="C183" s="20"/>
      <c r="D183" s="27"/>
      <c r="E183" s="27"/>
      <c r="F183" s="27"/>
      <c r="G183" s="18"/>
      <c r="H183" s="27"/>
      <c r="I183" s="27"/>
      <c r="J183" s="18"/>
      <c r="K183" s="27"/>
      <c r="L183" s="27"/>
      <c r="M183" s="18"/>
      <c r="N183" s="27"/>
      <c r="O183" s="27"/>
      <c r="P183" s="18"/>
      <c r="Q183" s="27"/>
      <c r="R183" s="18"/>
      <c r="S183" s="18"/>
      <c r="T183" s="18"/>
      <c r="U183" s="18"/>
      <c r="V183" s="18"/>
      <c r="W183" s="105"/>
      <c r="X183" s="105"/>
      <c r="Y183" s="18"/>
      <c r="Z183" s="105"/>
      <c r="AA183" s="105"/>
      <c r="AB183" s="18"/>
      <c r="AC183" s="105"/>
      <c r="AD183" s="105"/>
      <c r="AE183" s="18"/>
      <c r="AF183" s="105"/>
      <c r="AG183" s="105"/>
      <c r="AH183" s="105"/>
      <c r="AI183" s="105"/>
      <c r="AJ183" s="105"/>
      <c r="AK183" s="105"/>
      <c r="AL183" s="105"/>
      <c r="AM183" s="18"/>
      <c r="AN183" s="105"/>
      <c r="AO183" s="105"/>
      <c r="AP183" s="105"/>
      <c r="AQ183" s="18"/>
      <c r="AR183" s="105"/>
      <c r="AS183" s="105"/>
      <c r="AT183" s="105"/>
      <c r="AU183" s="18"/>
      <c r="AV183" s="105"/>
      <c r="AW183" s="105"/>
      <c r="AX183" s="18"/>
      <c r="AY183" s="105"/>
      <c r="AZ183" s="105"/>
      <c r="BA183" s="105"/>
      <c r="BB183" s="105"/>
      <c r="BC183" s="18"/>
      <c r="BD183" s="89"/>
      <c r="BE183" s="89"/>
      <c r="BF183" s="89"/>
      <c r="BG183" s="89"/>
      <c r="BH183" s="89"/>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c r="DU183" s="20"/>
      <c r="DV183" s="20"/>
      <c r="DW183" s="20"/>
      <c r="DX183" s="20"/>
      <c r="DY183" s="20"/>
      <c r="DZ183" s="20"/>
      <c r="EA183" s="20"/>
      <c r="EB183" s="20"/>
      <c r="EC183" s="20"/>
      <c r="ED183" s="20"/>
      <c r="EE183" s="20"/>
      <c r="EF183" s="20"/>
      <c r="EG183" s="20"/>
      <c r="EH183" s="20"/>
      <c r="EI183" s="20"/>
      <c r="EJ183" s="20"/>
      <c r="EK183" s="20"/>
      <c r="EL183" s="20"/>
      <c r="EM183" s="20"/>
      <c r="EN183" s="20"/>
      <c r="EO183" s="20"/>
      <c r="EP183" s="20"/>
      <c r="EQ183" s="20"/>
      <c r="ER183" s="20"/>
      <c r="ES183" s="20"/>
      <c r="ET183" s="20"/>
      <c r="EU183" s="20"/>
      <c r="EV183" s="20"/>
      <c r="EW183" s="20"/>
      <c r="EX183" s="20"/>
      <c r="EY183" s="20"/>
      <c r="EZ183" s="20"/>
      <c r="FA183" s="20"/>
      <c r="FB183" s="20"/>
      <c r="FC183" s="20"/>
      <c r="FD183" s="20"/>
      <c r="FE183" s="20"/>
      <c r="FF183" s="20"/>
      <c r="FG183" s="20"/>
      <c r="FH183" s="20"/>
      <c r="FI183" s="20"/>
      <c r="FJ183" s="20"/>
      <c r="FK183" s="20"/>
      <c r="FL183" s="20"/>
      <c r="FM183" s="20"/>
      <c r="FN183" s="20"/>
      <c r="FO183" s="20"/>
      <c r="FP183" s="20"/>
      <c r="FQ183" s="20"/>
      <c r="FR183" s="20"/>
      <c r="FS183" s="20"/>
      <c r="FT183" s="20"/>
      <c r="FU183" s="20"/>
      <c r="FV183" s="20"/>
      <c r="FW183" s="20"/>
      <c r="FX183" s="20"/>
      <c r="FY183" s="20"/>
      <c r="FZ183" s="20"/>
      <c r="GA183" s="20"/>
      <c r="GB183" s="20"/>
      <c r="GC183" s="20"/>
      <c r="GD183" s="20"/>
      <c r="GE183" s="20"/>
      <c r="GF183" s="20"/>
      <c r="GG183" s="20"/>
      <c r="GH183" s="20"/>
      <c r="GI183" s="20"/>
      <c r="GJ183" s="20"/>
      <c r="GK183" s="20"/>
      <c r="GL183" s="20"/>
      <c r="GM183" s="20"/>
      <c r="GN183" s="20"/>
      <c r="GO183" s="20"/>
      <c r="GP183" s="20"/>
      <c r="GQ183" s="20"/>
      <c r="GR183" s="20"/>
      <c r="GS183" s="20"/>
      <c r="GT183" s="20"/>
      <c r="GU183" s="20"/>
      <c r="GV183" s="20"/>
      <c r="GW183" s="20"/>
      <c r="GX183" s="20"/>
      <c r="GY183" s="20"/>
      <c r="GZ183" s="20"/>
      <c r="HA183" s="20"/>
      <c r="HB183" s="20"/>
      <c r="HC183" s="20"/>
      <c r="HD183" s="20"/>
      <c r="HE183" s="20"/>
      <c r="HF183" s="20"/>
      <c r="HG183" s="20"/>
      <c r="HH183" s="20"/>
      <c r="HI183" s="20"/>
      <c r="HJ183" s="20"/>
      <c r="HK183" s="20"/>
      <c r="HL183" s="20"/>
      <c r="HM183" s="20"/>
      <c r="HN183" s="20"/>
      <c r="HO183" s="20"/>
      <c r="HP183" s="20"/>
      <c r="HQ183" s="20"/>
      <c r="HR183" s="20"/>
      <c r="HS183" s="20"/>
      <c r="HT183" s="20"/>
      <c r="HU183" s="20"/>
      <c r="HV183" s="20"/>
      <c r="HW183" s="20"/>
      <c r="HX183" s="20"/>
      <c r="HY183" s="20"/>
      <c r="HZ183" s="20"/>
      <c r="IA183" s="20"/>
      <c r="IB183" s="20"/>
      <c r="IC183" s="20"/>
      <c r="ID183" s="20"/>
      <c r="IE183" s="20"/>
      <c r="IF183" s="20"/>
      <c r="IG183" s="20"/>
      <c r="IH183" s="20"/>
      <c r="II183" s="20"/>
      <c r="IJ183" s="20"/>
      <c r="IK183" s="20"/>
      <c r="IL183" s="20"/>
      <c r="IM183" s="20"/>
      <c r="IN183" s="20"/>
      <c r="IO183" s="20"/>
      <c r="IP183" s="20"/>
      <c r="IQ183" s="20"/>
      <c r="IR183" s="20"/>
      <c r="IS183" s="20"/>
      <c r="IT183" s="20"/>
      <c r="IU183" s="20"/>
      <c r="IV183" s="20"/>
      <c r="IW183" s="20"/>
      <c r="IX183" s="20"/>
      <c r="IY183" s="20"/>
      <c r="IZ183" s="20"/>
      <c r="JA183" s="20"/>
      <c r="JB183" s="20"/>
      <c r="JC183" s="20"/>
      <c r="JD183" s="20"/>
      <c r="JE183" s="20"/>
      <c r="JF183" s="20"/>
      <c r="JG183" s="20"/>
      <c r="JH183" s="20"/>
      <c r="JI183" s="20"/>
    </row>
    <row r="184" spans="1:269">
      <c r="A184" s="61"/>
      <c r="B184" s="20"/>
      <c r="C184" s="20"/>
      <c r="D184" s="27"/>
      <c r="E184" s="27"/>
      <c r="F184" s="27"/>
      <c r="G184" s="18"/>
      <c r="H184" s="27"/>
      <c r="I184" s="27"/>
      <c r="J184" s="18"/>
      <c r="K184" s="27"/>
      <c r="L184" s="27"/>
      <c r="M184" s="18"/>
      <c r="N184" s="27"/>
      <c r="O184" s="27"/>
      <c r="P184" s="18"/>
      <c r="Q184" s="27"/>
      <c r="R184" s="18"/>
      <c r="S184" s="18"/>
      <c r="T184" s="18"/>
      <c r="U184" s="18"/>
      <c r="V184" s="18"/>
      <c r="W184" s="105"/>
      <c r="X184" s="105"/>
      <c r="Y184" s="18"/>
      <c r="Z184" s="105"/>
      <c r="AA184" s="105"/>
      <c r="AB184" s="18"/>
      <c r="AC184" s="105"/>
      <c r="AD184" s="105"/>
      <c r="AE184" s="18"/>
      <c r="AF184" s="105"/>
      <c r="AG184" s="105"/>
      <c r="AH184" s="105"/>
      <c r="AI184" s="105"/>
      <c r="AJ184" s="105"/>
      <c r="AK184" s="105"/>
      <c r="AL184" s="105"/>
      <c r="AM184" s="18"/>
      <c r="AN184" s="105"/>
      <c r="AO184" s="105"/>
      <c r="AP184" s="105"/>
      <c r="AQ184" s="18"/>
      <c r="AR184" s="105"/>
      <c r="AS184" s="105"/>
      <c r="AT184" s="105"/>
      <c r="AU184" s="18"/>
      <c r="AV184" s="105"/>
      <c r="AW184" s="105"/>
      <c r="AX184" s="18"/>
      <c r="AY184" s="105"/>
      <c r="AZ184" s="105"/>
      <c r="BA184" s="105"/>
      <c r="BB184" s="105"/>
      <c r="BC184" s="18"/>
      <c r="BD184" s="89"/>
      <c r="BE184" s="89"/>
      <c r="BF184" s="89"/>
      <c r="BG184" s="89"/>
      <c r="BH184" s="89"/>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c r="DU184" s="20"/>
      <c r="DV184" s="20"/>
      <c r="DW184" s="20"/>
      <c r="DX184" s="20"/>
      <c r="DY184" s="20"/>
      <c r="DZ184" s="20"/>
      <c r="EA184" s="20"/>
      <c r="EB184" s="20"/>
      <c r="EC184" s="20"/>
      <c r="ED184" s="20"/>
      <c r="EE184" s="20"/>
      <c r="EF184" s="20"/>
      <c r="EG184" s="20"/>
      <c r="EH184" s="20"/>
      <c r="EI184" s="20"/>
      <c r="EJ184" s="20"/>
      <c r="EK184" s="20"/>
      <c r="EL184" s="20"/>
      <c r="EM184" s="20"/>
      <c r="EN184" s="20"/>
      <c r="EO184" s="20"/>
      <c r="EP184" s="20"/>
      <c r="EQ184" s="20"/>
      <c r="ER184" s="20"/>
      <c r="ES184" s="20"/>
      <c r="ET184" s="20"/>
      <c r="EU184" s="20"/>
      <c r="EV184" s="20"/>
      <c r="EW184" s="20"/>
      <c r="EX184" s="20"/>
      <c r="EY184" s="20"/>
      <c r="EZ184" s="20"/>
      <c r="FA184" s="20"/>
      <c r="FB184" s="20"/>
      <c r="FC184" s="20"/>
      <c r="FD184" s="20"/>
      <c r="FE184" s="20"/>
      <c r="FF184" s="20"/>
      <c r="FG184" s="20"/>
      <c r="FH184" s="20"/>
      <c r="FI184" s="20"/>
      <c r="FJ184" s="20"/>
      <c r="FK184" s="20"/>
      <c r="FL184" s="20"/>
      <c r="FM184" s="20"/>
      <c r="FN184" s="20"/>
      <c r="FO184" s="20"/>
      <c r="FP184" s="20"/>
      <c r="FQ184" s="20"/>
      <c r="FR184" s="20"/>
      <c r="FS184" s="20"/>
      <c r="FT184" s="20"/>
      <c r="FU184" s="20"/>
      <c r="FV184" s="20"/>
      <c r="FW184" s="20"/>
      <c r="FX184" s="20"/>
      <c r="FY184" s="20"/>
      <c r="FZ184" s="20"/>
      <c r="GA184" s="20"/>
      <c r="GB184" s="20"/>
      <c r="GC184" s="20"/>
      <c r="GD184" s="20"/>
      <c r="GE184" s="20"/>
      <c r="GF184" s="20"/>
      <c r="GG184" s="20"/>
      <c r="GH184" s="20"/>
      <c r="GI184" s="20"/>
      <c r="GJ184" s="20"/>
      <c r="GK184" s="20"/>
      <c r="GL184" s="20"/>
      <c r="GM184" s="20"/>
      <c r="GN184" s="20"/>
      <c r="GO184" s="20"/>
      <c r="GP184" s="20"/>
      <c r="GQ184" s="20"/>
      <c r="GR184" s="20"/>
      <c r="GS184" s="20"/>
      <c r="GT184" s="20"/>
      <c r="GU184" s="20"/>
      <c r="GV184" s="20"/>
      <c r="GW184" s="20"/>
      <c r="GX184" s="20"/>
      <c r="GY184" s="20"/>
      <c r="GZ184" s="20"/>
      <c r="HA184" s="20"/>
      <c r="HB184" s="20"/>
      <c r="HC184" s="20"/>
      <c r="HD184" s="20"/>
      <c r="HE184" s="20"/>
      <c r="HF184" s="20"/>
      <c r="HG184" s="20"/>
      <c r="HH184" s="20"/>
      <c r="HI184" s="20"/>
      <c r="HJ184" s="20"/>
      <c r="HK184" s="20"/>
      <c r="HL184" s="20"/>
      <c r="HM184" s="20"/>
      <c r="HN184" s="20"/>
      <c r="HO184" s="20"/>
      <c r="HP184" s="20"/>
      <c r="HQ184" s="20"/>
      <c r="HR184" s="20"/>
      <c r="HS184" s="20"/>
      <c r="HT184" s="20"/>
      <c r="HU184" s="20"/>
      <c r="HV184" s="20"/>
      <c r="HW184" s="20"/>
      <c r="HX184" s="20"/>
      <c r="HY184" s="20"/>
      <c r="HZ184" s="20"/>
      <c r="IA184" s="20"/>
      <c r="IB184" s="20"/>
      <c r="IC184" s="20"/>
      <c r="ID184" s="20"/>
      <c r="IE184" s="20"/>
      <c r="IF184" s="20"/>
      <c r="IG184" s="20"/>
      <c r="IH184" s="20"/>
      <c r="II184" s="20"/>
      <c r="IJ184" s="20"/>
      <c r="IK184" s="20"/>
      <c r="IL184" s="20"/>
      <c r="IM184" s="20"/>
      <c r="IN184" s="20"/>
      <c r="IO184" s="20"/>
      <c r="IP184" s="20"/>
      <c r="IQ184" s="20"/>
      <c r="IR184" s="20"/>
      <c r="IS184" s="20"/>
      <c r="IT184" s="20"/>
      <c r="IU184" s="20"/>
      <c r="IV184" s="20"/>
      <c r="IW184" s="20"/>
      <c r="IX184" s="20"/>
      <c r="IY184" s="20"/>
      <c r="IZ184" s="20"/>
      <c r="JA184" s="20"/>
      <c r="JB184" s="20"/>
      <c r="JC184" s="20"/>
      <c r="JD184" s="20"/>
      <c r="JE184" s="20"/>
      <c r="JF184" s="20"/>
      <c r="JG184" s="20"/>
      <c r="JH184" s="20"/>
      <c r="JI184" s="20"/>
    </row>
    <row r="185" spans="1:269">
      <c r="A185" s="61"/>
      <c r="B185" s="20"/>
      <c r="C185" s="20"/>
      <c r="D185" s="27"/>
      <c r="E185" s="27"/>
      <c r="F185" s="27"/>
      <c r="G185" s="18"/>
      <c r="H185" s="27"/>
      <c r="I185" s="27"/>
      <c r="J185" s="18"/>
      <c r="K185" s="27"/>
      <c r="L185" s="27"/>
      <c r="M185" s="18"/>
      <c r="N185" s="27"/>
      <c r="O185" s="27"/>
      <c r="P185" s="18"/>
      <c r="Q185" s="27"/>
      <c r="R185" s="18"/>
      <c r="S185" s="18"/>
      <c r="T185" s="18"/>
      <c r="U185" s="18"/>
      <c r="V185" s="18"/>
      <c r="W185" s="105"/>
      <c r="X185" s="105"/>
      <c r="Y185" s="18"/>
      <c r="Z185" s="105"/>
      <c r="AA185" s="105"/>
      <c r="AB185" s="18"/>
      <c r="AC185" s="105"/>
      <c r="AD185" s="105"/>
      <c r="AE185" s="18"/>
      <c r="AF185" s="105"/>
      <c r="AG185" s="105"/>
      <c r="AH185" s="105"/>
      <c r="AI185" s="105"/>
      <c r="AJ185" s="105"/>
      <c r="AK185" s="105"/>
      <c r="AL185" s="105"/>
      <c r="AM185" s="18"/>
      <c r="AN185" s="105"/>
      <c r="AO185" s="105"/>
      <c r="AP185" s="105"/>
      <c r="AQ185" s="18"/>
      <c r="AR185" s="105"/>
      <c r="AS185" s="105"/>
      <c r="AT185" s="105"/>
      <c r="AU185" s="18"/>
      <c r="AV185" s="105"/>
      <c r="AW185" s="105"/>
      <c r="AX185" s="18"/>
      <c r="AY185" s="105"/>
      <c r="AZ185" s="105"/>
      <c r="BA185" s="105"/>
      <c r="BB185" s="105"/>
      <c r="BC185" s="18"/>
      <c r="BD185" s="89"/>
      <c r="BE185" s="89"/>
      <c r="BF185" s="89"/>
      <c r="BG185" s="89"/>
      <c r="BH185" s="89"/>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c r="DU185" s="20"/>
      <c r="DV185" s="20"/>
      <c r="DW185" s="20"/>
      <c r="DX185" s="20"/>
      <c r="DY185" s="20"/>
      <c r="DZ185" s="20"/>
      <c r="EA185" s="20"/>
      <c r="EB185" s="20"/>
      <c r="EC185" s="20"/>
      <c r="ED185" s="20"/>
      <c r="EE185" s="20"/>
      <c r="EF185" s="20"/>
      <c r="EG185" s="20"/>
      <c r="EH185" s="20"/>
      <c r="EI185" s="20"/>
      <c r="EJ185" s="20"/>
      <c r="EK185" s="20"/>
      <c r="EL185" s="20"/>
      <c r="EM185" s="20"/>
      <c r="EN185" s="20"/>
      <c r="EO185" s="20"/>
      <c r="EP185" s="20"/>
      <c r="EQ185" s="20"/>
      <c r="ER185" s="20"/>
      <c r="ES185" s="20"/>
      <c r="ET185" s="20"/>
      <c r="EU185" s="20"/>
      <c r="EV185" s="20"/>
      <c r="EW185" s="20"/>
      <c r="EX185" s="20"/>
      <c r="EY185" s="20"/>
      <c r="EZ185" s="20"/>
      <c r="FA185" s="20"/>
      <c r="FB185" s="20"/>
      <c r="FC185" s="20"/>
      <c r="FD185" s="20"/>
      <c r="FE185" s="20"/>
      <c r="FF185" s="20"/>
      <c r="FG185" s="20"/>
      <c r="FH185" s="20"/>
      <c r="FI185" s="20"/>
      <c r="FJ185" s="20"/>
      <c r="FK185" s="20"/>
      <c r="FL185" s="20"/>
      <c r="FM185" s="20"/>
      <c r="FN185" s="20"/>
      <c r="FO185" s="20"/>
      <c r="FP185" s="20"/>
      <c r="FQ185" s="20"/>
      <c r="FR185" s="20"/>
      <c r="FS185" s="20"/>
      <c r="FT185" s="20"/>
      <c r="FU185" s="20"/>
      <c r="FV185" s="20"/>
      <c r="FW185" s="20"/>
      <c r="FX185" s="20"/>
      <c r="FY185" s="20"/>
      <c r="FZ185" s="20"/>
      <c r="GA185" s="20"/>
      <c r="GB185" s="20"/>
      <c r="GC185" s="20"/>
      <c r="GD185" s="20"/>
      <c r="GE185" s="20"/>
      <c r="GF185" s="20"/>
      <c r="GG185" s="20"/>
      <c r="GH185" s="20"/>
      <c r="GI185" s="20"/>
      <c r="GJ185" s="20"/>
      <c r="GK185" s="20"/>
      <c r="GL185" s="20"/>
      <c r="GM185" s="20"/>
      <c r="GN185" s="20"/>
      <c r="GO185" s="20"/>
      <c r="GP185" s="20"/>
      <c r="GQ185" s="20"/>
      <c r="GR185" s="20"/>
      <c r="GS185" s="20"/>
      <c r="GT185" s="20"/>
      <c r="GU185" s="20"/>
      <c r="GV185" s="20"/>
      <c r="GW185" s="20"/>
      <c r="GX185" s="20"/>
      <c r="GY185" s="20"/>
      <c r="GZ185" s="20"/>
      <c r="HA185" s="20"/>
      <c r="HB185" s="20"/>
      <c r="HC185" s="20"/>
      <c r="HD185" s="20"/>
      <c r="HE185" s="20"/>
      <c r="HF185" s="20"/>
      <c r="HG185" s="20"/>
      <c r="HH185" s="20"/>
      <c r="HI185" s="20"/>
      <c r="HJ185" s="20"/>
      <c r="HK185" s="20"/>
      <c r="HL185" s="20"/>
      <c r="HM185" s="20"/>
      <c r="HN185" s="20"/>
      <c r="HO185" s="20"/>
      <c r="HP185" s="20"/>
      <c r="HQ185" s="20"/>
      <c r="HR185" s="20"/>
      <c r="HS185" s="20"/>
      <c r="HT185" s="20"/>
      <c r="HU185" s="20"/>
      <c r="HV185" s="20"/>
      <c r="HW185" s="20"/>
      <c r="HX185" s="20"/>
      <c r="HY185" s="20"/>
      <c r="HZ185" s="20"/>
      <c r="IA185" s="20"/>
      <c r="IB185" s="20"/>
      <c r="IC185" s="20"/>
      <c r="ID185" s="20"/>
      <c r="IE185" s="20"/>
      <c r="IF185" s="20"/>
      <c r="IG185" s="20"/>
      <c r="IH185" s="20"/>
      <c r="II185" s="20"/>
      <c r="IJ185" s="20"/>
      <c r="IK185" s="20"/>
      <c r="IL185" s="20"/>
      <c r="IM185" s="20"/>
      <c r="IN185" s="20"/>
      <c r="IO185" s="20"/>
      <c r="IP185" s="20"/>
      <c r="IQ185" s="20"/>
      <c r="IR185" s="20"/>
      <c r="IS185" s="20"/>
      <c r="IT185" s="20"/>
      <c r="IU185" s="20"/>
      <c r="IV185" s="20"/>
      <c r="IW185" s="20"/>
      <c r="IX185" s="20"/>
      <c r="IY185" s="20"/>
      <c r="IZ185" s="20"/>
      <c r="JA185" s="20"/>
      <c r="JB185" s="20"/>
      <c r="JC185" s="20"/>
      <c r="JD185" s="20"/>
      <c r="JE185" s="20"/>
      <c r="JF185" s="20"/>
      <c r="JG185" s="20"/>
      <c r="JH185" s="20"/>
      <c r="JI185" s="20"/>
    </row>
    <row r="186" spans="1:269">
      <c r="A186" s="61"/>
      <c r="B186" s="20"/>
      <c r="C186" s="20"/>
      <c r="D186" s="27"/>
      <c r="E186" s="27"/>
      <c r="F186" s="27"/>
      <c r="G186" s="18"/>
      <c r="H186" s="27"/>
      <c r="I186" s="27"/>
      <c r="J186" s="18"/>
      <c r="K186" s="27"/>
      <c r="L186" s="27"/>
      <c r="M186" s="18"/>
      <c r="N186" s="27"/>
      <c r="O186" s="27"/>
      <c r="P186" s="18"/>
      <c r="Q186" s="27"/>
      <c r="R186" s="18"/>
      <c r="S186" s="18"/>
      <c r="T186" s="18"/>
      <c r="U186" s="18"/>
      <c r="V186" s="18"/>
      <c r="W186" s="105"/>
      <c r="X186" s="105"/>
      <c r="Y186" s="18"/>
      <c r="Z186" s="105"/>
      <c r="AA186" s="105"/>
      <c r="AB186" s="18"/>
      <c r="AC186" s="105"/>
      <c r="AD186" s="105"/>
      <c r="AE186" s="18"/>
      <c r="AF186" s="105"/>
      <c r="AG186" s="105"/>
      <c r="AH186" s="105"/>
      <c r="AI186" s="105"/>
      <c r="AJ186" s="105"/>
      <c r="AK186" s="105"/>
      <c r="AL186" s="105"/>
      <c r="AM186" s="18"/>
      <c r="AN186" s="105"/>
      <c r="AO186" s="105"/>
      <c r="AP186" s="105"/>
      <c r="AQ186" s="18"/>
      <c r="AR186" s="105"/>
      <c r="AS186" s="105"/>
      <c r="AT186" s="105"/>
      <c r="AU186" s="18"/>
      <c r="AV186" s="105"/>
      <c r="AW186" s="105"/>
      <c r="AX186" s="18"/>
      <c r="AY186" s="105"/>
      <c r="AZ186" s="105"/>
      <c r="BA186" s="105"/>
      <c r="BB186" s="105"/>
      <c r="BC186" s="18"/>
      <c r="BD186" s="89"/>
      <c r="BE186" s="89"/>
      <c r="BF186" s="89"/>
      <c r="BG186" s="89"/>
      <c r="BH186" s="89"/>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c r="DU186" s="20"/>
      <c r="DV186" s="20"/>
      <c r="DW186" s="20"/>
      <c r="DX186" s="20"/>
      <c r="DY186" s="20"/>
      <c r="DZ186" s="20"/>
      <c r="EA186" s="20"/>
      <c r="EB186" s="20"/>
      <c r="EC186" s="20"/>
      <c r="ED186" s="20"/>
      <c r="EE186" s="20"/>
      <c r="EF186" s="20"/>
      <c r="EG186" s="20"/>
      <c r="EH186" s="20"/>
      <c r="EI186" s="20"/>
      <c r="EJ186" s="20"/>
      <c r="EK186" s="20"/>
      <c r="EL186" s="20"/>
      <c r="EM186" s="20"/>
      <c r="EN186" s="20"/>
      <c r="EO186" s="20"/>
      <c r="EP186" s="20"/>
      <c r="EQ186" s="20"/>
      <c r="ER186" s="20"/>
      <c r="ES186" s="20"/>
      <c r="ET186" s="20"/>
      <c r="EU186" s="20"/>
      <c r="EV186" s="20"/>
      <c r="EW186" s="20"/>
      <c r="EX186" s="20"/>
      <c r="EY186" s="20"/>
      <c r="EZ186" s="20"/>
      <c r="FA186" s="20"/>
      <c r="FB186" s="20"/>
      <c r="FC186" s="20"/>
      <c r="FD186" s="20"/>
      <c r="FE186" s="20"/>
      <c r="FF186" s="20"/>
      <c r="FG186" s="20"/>
      <c r="FH186" s="20"/>
      <c r="FI186" s="20"/>
      <c r="FJ186" s="20"/>
      <c r="FK186" s="20"/>
      <c r="FL186" s="20"/>
      <c r="FM186" s="20"/>
      <c r="FN186" s="20"/>
      <c r="FO186" s="20"/>
      <c r="FP186" s="20"/>
      <c r="FQ186" s="20"/>
      <c r="FR186" s="20"/>
      <c r="FS186" s="20"/>
      <c r="FT186" s="20"/>
      <c r="FU186" s="20"/>
      <c r="FV186" s="20"/>
      <c r="FW186" s="20"/>
      <c r="FX186" s="20"/>
      <c r="FY186" s="20"/>
      <c r="FZ186" s="20"/>
      <c r="GA186" s="20"/>
      <c r="GB186" s="20"/>
      <c r="GC186" s="20"/>
      <c r="GD186" s="20"/>
      <c r="GE186" s="20"/>
      <c r="GF186" s="20"/>
      <c r="GG186" s="20"/>
      <c r="GH186" s="20"/>
      <c r="GI186" s="20"/>
      <c r="GJ186" s="20"/>
      <c r="GK186" s="20"/>
      <c r="GL186" s="20"/>
      <c r="GM186" s="20"/>
      <c r="GN186" s="20"/>
      <c r="GO186" s="20"/>
      <c r="GP186" s="20"/>
      <c r="GQ186" s="20"/>
      <c r="GR186" s="20"/>
      <c r="GS186" s="20"/>
      <c r="GT186" s="20"/>
      <c r="GU186" s="20"/>
      <c r="GV186" s="20"/>
      <c r="GW186" s="20"/>
      <c r="GX186" s="20"/>
      <c r="GY186" s="20"/>
      <c r="GZ186" s="20"/>
      <c r="HA186" s="20"/>
      <c r="HB186" s="20"/>
      <c r="HC186" s="20"/>
      <c r="HD186" s="20"/>
      <c r="HE186" s="20"/>
      <c r="HF186" s="20"/>
      <c r="HG186" s="20"/>
      <c r="HH186" s="20"/>
      <c r="HI186" s="20"/>
      <c r="HJ186" s="20"/>
      <c r="HK186" s="20"/>
      <c r="HL186" s="20"/>
      <c r="HM186" s="20"/>
      <c r="HN186" s="20"/>
      <c r="HO186" s="20"/>
      <c r="HP186" s="20"/>
      <c r="HQ186" s="20"/>
      <c r="HR186" s="20"/>
      <c r="HS186" s="20"/>
      <c r="HT186" s="20"/>
      <c r="HU186" s="20"/>
      <c r="HV186" s="20"/>
      <c r="HW186" s="20"/>
      <c r="HX186" s="20"/>
      <c r="HY186" s="20"/>
      <c r="HZ186" s="20"/>
      <c r="IA186" s="20"/>
      <c r="IB186" s="20"/>
      <c r="IC186" s="20"/>
      <c r="ID186" s="20"/>
      <c r="IE186" s="20"/>
      <c r="IF186" s="20"/>
      <c r="IG186" s="20"/>
      <c r="IH186" s="20"/>
      <c r="II186" s="20"/>
      <c r="IJ186" s="20"/>
      <c r="IK186" s="20"/>
      <c r="IL186" s="20"/>
      <c r="IM186" s="20"/>
      <c r="IN186" s="20"/>
      <c r="IO186" s="20"/>
      <c r="IP186" s="20"/>
      <c r="IQ186" s="20"/>
      <c r="IR186" s="20"/>
      <c r="IS186" s="20"/>
      <c r="IT186" s="20"/>
      <c r="IU186" s="20"/>
      <c r="IV186" s="20"/>
      <c r="IW186" s="20"/>
      <c r="IX186" s="20"/>
      <c r="IY186" s="20"/>
      <c r="IZ186" s="20"/>
      <c r="JA186" s="20"/>
      <c r="JB186" s="20"/>
      <c r="JC186" s="20"/>
      <c r="JD186" s="20"/>
      <c r="JE186" s="20"/>
      <c r="JF186" s="20"/>
      <c r="JG186" s="20"/>
      <c r="JH186" s="20"/>
      <c r="JI186" s="20"/>
    </row>
    <row r="187" spans="1:269">
      <c r="A187" s="61"/>
      <c r="B187" s="20"/>
      <c r="C187" s="20"/>
      <c r="D187" s="27"/>
      <c r="E187" s="27"/>
      <c r="F187" s="27"/>
      <c r="G187" s="18"/>
      <c r="H187" s="27"/>
      <c r="I187" s="27"/>
      <c r="J187" s="18"/>
      <c r="K187" s="27"/>
      <c r="L187" s="27"/>
      <c r="M187" s="18"/>
      <c r="N187" s="27"/>
      <c r="O187" s="27"/>
      <c r="P187" s="18"/>
      <c r="Q187" s="27"/>
      <c r="R187" s="18"/>
      <c r="S187" s="18"/>
      <c r="T187" s="18"/>
      <c r="U187" s="18"/>
      <c r="V187" s="18"/>
      <c r="W187" s="105"/>
      <c r="X187" s="105"/>
      <c r="Y187" s="18"/>
      <c r="Z187" s="105"/>
      <c r="AA187" s="105"/>
      <c r="AB187" s="18"/>
      <c r="AC187" s="105"/>
      <c r="AD187" s="105"/>
      <c r="AE187" s="18"/>
      <c r="AF187" s="105"/>
      <c r="AG187" s="105"/>
      <c r="AH187" s="105"/>
      <c r="AI187" s="105"/>
      <c r="AJ187" s="105"/>
      <c r="AK187" s="105"/>
      <c r="AL187" s="105"/>
      <c r="AM187" s="18"/>
      <c r="AN187" s="105"/>
      <c r="AO187" s="105"/>
      <c r="AP187" s="105"/>
      <c r="AQ187" s="18"/>
      <c r="AR187" s="105"/>
      <c r="AS187" s="105"/>
      <c r="AT187" s="105"/>
      <c r="AU187" s="18"/>
      <c r="AV187" s="105"/>
      <c r="AW187" s="105"/>
      <c r="AX187" s="18"/>
      <c r="AY187" s="105"/>
      <c r="AZ187" s="105"/>
      <c r="BA187" s="105"/>
      <c r="BB187" s="105"/>
      <c r="BC187" s="18"/>
      <c r="BD187" s="89"/>
      <c r="BE187" s="89"/>
      <c r="BF187" s="89"/>
      <c r="BG187" s="89"/>
      <c r="BH187" s="89"/>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c r="DV187" s="20"/>
      <c r="DW187" s="20"/>
      <c r="DX187" s="20"/>
      <c r="DY187" s="20"/>
      <c r="DZ187" s="20"/>
      <c r="EA187" s="20"/>
      <c r="EB187" s="20"/>
      <c r="EC187" s="20"/>
      <c r="ED187" s="20"/>
      <c r="EE187" s="20"/>
      <c r="EF187" s="20"/>
      <c r="EG187" s="20"/>
      <c r="EH187" s="20"/>
      <c r="EI187" s="20"/>
      <c r="EJ187" s="20"/>
      <c r="EK187" s="20"/>
      <c r="EL187" s="20"/>
      <c r="EM187" s="20"/>
      <c r="EN187" s="20"/>
      <c r="EO187" s="20"/>
      <c r="EP187" s="20"/>
      <c r="EQ187" s="20"/>
      <c r="ER187" s="20"/>
      <c r="ES187" s="20"/>
      <c r="ET187" s="20"/>
      <c r="EU187" s="20"/>
      <c r="EV187" s="20"/>
      <c r="EW187" s="20"/>
      <c r="EX187" s="20"/>
      <c r="EY187" s="20"/>
      <c r="EZ187" s="20"/>
      <c r="FA187" s="20"/>
      <c r="FB187" s="20"/>
      <c r="FC187" s="20"/>
      <c r="FD187" s="20"/>
      <c r="FE187" s="20"/>
      <c r="FF187" s="20"/>
      <c r="FG187" s="20"/>
      <c r="FH187" s="20"/>
      <c r="FI187" s="20"/>
      <c r="FJ187" s="20"/>
      <c r="FK187" s="20"/>
      <c r="FL187" s="20"/>
      <c r="FM187" s="20"/>
      <c r="FN187" s="20"/>
      <c r="FO187" s="20"/>
      <c r="FP187" s="20"/>
      <c r="FQ187" s="20"/>
      <c r="FR187" s="20"/>
      <c r="FS187" s="20"/>
      <c r="FT187" s="20"/>
      <c r="FU187" s="20"/>
      <c r="FV187" s="20"/>
      <c r="FW187" s="20"/>
      <c r="FX187" s="20"/>
      <c r="FY187" s="20"/>
      <c r="FZ187" s="20"/>
      <c r="GA187" s="20"/>
      <c r="GB187" s="20"/>
      <c r="GC187" s="20"/>
      <c r="GD187" s="20"/>
      <c r="GE187" s="20"/>
      <c r="GF187" s="20"/>
      <c r="GG187" s="20"/>
      <c r="GH187" s="20"/>
      <c r="GI187" s="20"/>
      <c r="GJ187" s="20"/>
      <c r="GK187" s="20"/>
      <c r="GL187" s="20"/>
      <c r="GM187" s="20"/>
      <c r="GN187" s="20"/>
      <c r="GO187" s="20"/>
      <c r="GP187" s="20"/>
      <c r="GQ187" s="20"/>
      <c r="GR187" s="20"/>
      <c r="GS187" s="20"/>
      <c r="GT187" s="20"/>
      <c r="GU187" s="20"/>
      <c r="GV187" s="20"/>
      <c r="GW187" s="20"/>
      <c r="GX187" s="20"/>
      <c r="GY187" s="20"/>
      <c r="GZ187" s="20"/>
      <c r="HA187" s="20"/>
      <c r="HB187" s="20"/>
      <c r="HC187" s="20"/>
      <c r="HD187" s="20"/>
      <c r="HE187" s="20"/>
      <c r="HF187" s="20"/>
      <c r="HG187" s="20"/>
      <c r="HH187" s="20"/>
      <c r="HI187" s="20"/>
      <c r="HJ187" s="20"/>
      <c r="HK187" s="20"/>
      <c r="HL187" s="20"/>
      <c r="HM187" s="20"/>
      <c r="HN187" s="20"/>
      <c r="HO187" s="20"/>
      <c r="HP187" s="20"/>
      <c r="HQ187" s="20"/>
      <c r="HR187" s="20"/>
      <c r="HS187" s="20"/>
      <c r="HT187" s="20"/>
      <c r="HU187" s="20"/>
      <c r="HV187" s="20"/>
      <c r="HW187" s="20"/>
      <c r="HX187" s="20"/>
      <c r="HY187" s="20"/>
      <c r="HZ187" s="20"/>
      <c r="IA187" s="20"/>
      <c r="IB187" s="20"/>
      <c r="IC187" s="20"/>
      <c r="ID187" s="20"/>
      <c r="IE187" s="20"/>
      <c r="IF187" s="20"/>
      <c r="IG187" s="20"/>
      <c r="IH187" s="20"/>
      <c r="II187" s="20"/>
      <c r="IJ187" s="20"/>
      <c r="IK187" s="20"/>
      <c r="IL187" s="20"/>
      <c r="IM187" s="20"/>
      <c r="IN187" s="20"/>
      <c r="IO187" s="20"/>
      <c r="IP187" s="20"/>
      <c r="IQ187" s="20"/>
      <c r="IR187" s="20"/>
      <c r="IS187" s="20"/>
      <c r="IT187" s="20"/>
      <c r="IU187" s="20"/>
      <c r="IV187" s="20"/>
      <c r="IW187" s="20"/>
      <c r="IX187" s="20"/>
      <c r="IY187" s="20"/>
      <c r="IZ187" s="20"/>
      <c r="JA187" s="20"/>
      <c r="JB187" s="20"/>
      <c r="JC187" s="20"/>
      <c r="JD187" s="20"/>
      <c r="JE187" s="20"/>
      <c r="JF187" s="20"/>
      <c r="JG187" s="20"/>
      <c r="JH187" s="20"/>
      <c r="JI187" s="20"/>
    </row>
    <row r="188" spans="1:269">
      <c r="A188" s="61"/>
      <c r="B188" s="20"/>
      <c r="C188" s="20"/>
      <c r="D188" s="27"/>
      <c r="E188" s="27"/>
      <c r="F188" s="27"/>
      <c r="G188" s="18"/>
      <c r="H188" s="27"/>
      <c r="I188" s="27"/>
      <c r="J188" s="18"/>
      <c r="K188" s="27"/>
      <c r="L188" s="27"/>
      <c r="M188" s="18"/>
      <c r="N188" s="27"/>
      <c r="O188" s="27"/>
      <c r="P188" s="18"/>
      <c r="Q188" s="27"/>
      <c r="R188" s="18"/>
      <c r="S188" s="18"/>
      <c r="T188" s="18"/>
      <c r="U188" s="18"/>
      <c r="V188" s="18"/>
      <c r="W188" s="105"/>
      <c r="X188" s="105"/>
      <c r="Y188" s="18"/>
      <c r="Z188" s="105"/>
      <c r="AA188" s="105"/>
      <c r="AB188" s="18"/>
      <c r="AC188" s="105"/>
      <c r="AD188" s="105"/>
      <c r="AE188" s="18"/>
      <c r="AF188" s="105"/>
      <c r="AG188" s="105"/>
      <c r="AH188" s="105"/>
      <c r="AI188" s="105"/>
      <c r="AJ188" s="105"/>
      <c r="AK188" s="105"/>
      <c r="AL188" s="105"/>
      <c r="AM188" s="18"/>
      <c r="AN188" s="105"/>
      <c r="AO188" s="105"/>
      <c r="AP188" s="105"/>
      <c r="AQ188" s="18"/>
      <c r="AR188" s="105"/>
      <c r="AS188" s="105"/>
      <c r="AT188" s="105"/>
      <c r="AU188" s="18"/>
      <c r="AV188" s="105"/>
      <c r="AW188" s="105"/>
      <c r="AX188" s="18"/>
      <c r="AY188" s="105"/>
      <c r="AZ188" s="105"/>
      <c r="BA188" s="105"/>
      <c r="BB188" s="105"/>
      <c r="BC188" s="18"/>
      <c r="BD188" s="89"/>
      <c r="BE188" s="89"/>
      <c r="BF188" s="89"/>
      <c r="BG188" s="89"/>
      <c r="BH188" s="89"/>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c r="DU188" s="20"/>
      <c r="DV188" s="20"/>
      <c r="DW188" s="20"/>
      <c r="DX188" s="20"/>
      <c r="DY188" s="20"/>
      <c r="DZ188" s="20"/>
      <c r="EA188" s="20"/>
      <c r="EB188" s="20"/>
      <c r="EC188" s="20"/>
      <c r="ED188" s="20"/>
      <c r="EE188" s="20"/>
      <c r="EF188" s="20"/>
      <c r="EG188" s="20"/>
      <c r="EH188" s="20"/>
      <c r="EI188" s="20"/>
      <c r="EJ188" s="20"/>
      <c r="EK188" s="20"/>
      <c r="EL188" s="20"/>
      <c r="EM188" s="20"/>
      <c r="EN188" s="20"/>
      <c r="EO188" s="20"/>
      <c r="EP188" s="20"/>
      <c r="EQ188" s="20"/>
      <c r="ER188" s="20"/>
      <c r="ES188" s="20"/>
      <c r="ET188" s="20"/>
      <c r="EU188" s="20"/>
      <c r="EV188" s="20"/>
      <c r="EW188" s="20"/>
      <c r="EX188" s="20"/>
      <c r="EY188" s="20"/>
      <c r="EZ188" s="20"/>
      <c r="FA188" s="20"/>
      <c r="FB188" s="20"/>
      <c r="FC188" s="20"/>
      <c r="FD188" s="20"/>
      <c r="FE188" s="20"/>
      <c r="FF188" s="20"/>
      <c r="FG188" s="20"/>
      <c r="FH188" s="20"/>
      <c r="FI188" s="20"/>
      <c r="FJ188" s="20"/>
      <c r="FK188" s="20"/>
      <c r="FL188" s="20"/>
      <c r="FM188" s="20"/>
      <c r="FN188" s="20"/>
      <c r="FO188" s="20"/>
      <c r="FP188" s="20"/>
      <c r="FQ188" s="20"/>
      <c r="FR188" s="20"/>
      <c r="FS188" s="20"/>
      <c r="FT188" s="20"/>
      <c r="FU188" s="20"/>
      <c r="FV188" s="20"/>
      <c r="FW188" s="20"/>
      <c r="FX188" s="20"/>
      <c r="FY188" s="20"/>
      <c r="FZ188" s="20"/>
      <c r="GA188" s="20"/>
      <c r="GB188" s="20"/>
      <c r="GC188" s="20"/>
      <c r="GD188" s="20"/>
      <c r="GE188" s="20"/>
      <c r="GF188" s="20"/>
      <c r="GG188" s="20"/>
      <c r="GH188" s="20"/>
      <c r="GI188" s="20"/>
      <c r="GJ188" s="20"/>
      <c r="GK188" s="20"/>
      <c r="GL188" s="20"/>
      <c r="GM188" s="20"/>
      <c r="GN188" s="20"/>
      <c r="GO188" s="20"/>
      <c r="GP188" s="20"/>
      <c r="GQ188" s="20"/>
      <c r="GR188" s="20"/>
      <c r="GS188" s="20"/>
      <c r="GT188" s="20"/>
      <c r="GU188" s="20"/>
      <c r="GV188" s="20"/>
      <c r="GW188" s="20"/>
      <c r="GX188" s="20"/>
      <c r="GY188" s="20"/>
      <c r="GZ188" s="20"/>
      <c r="HA188" s="20"/>
      <c r="HB188" s="20"/>
      <c r="HC188" s="20"/>
      <c r="HD188" s="20"/>
      <c r="HE188" s="20"/>
      <c r="HF188" s="20"/>
      <c r="HG188" s="20"/>
      <c r="HH188" s="20"/>
      <c r="HI188" s="20"/>
      <c r="HJ188" s="20"/>
      <c r="HK188" s="20"/>
      <c r="HL188" s="20"/>
      <c r="HM188" s="20"/>
      <c r="HN188" s="20"/>
      <c r="HO188" s="20"/>
      <c r="HP188" s="20"/>
      <c r="HQ188" s="20"/>
      <c r="HR188" s="20"/>
      <c r="HS188" s="20"/>
      <c r="HT188" s="20"/>
      <c r="HU188" s="20"/>
      <c r="HV188" s="20"/>
      <c r="HW188" s="20"/>
      <c r="HX188" s="20"/>
      <c r="HY188" s="20"/>
      <c r="HZ188" s="20"/>
      <c r="IA188" s="20"/>
      <c r="IB188" s="20"/>
      <c r="IC188" s="20"/>
      <c r="ID188" s="20"/>
      <c r="IE188" s="20"/>
      <c r="IF188" s="20"/>
      <c r="IG188" s="20"/>
      <c r="IH188" s="20"/>
      <c r="II188" s="20"/>
      <c r="IJ188" s="20"/>
      <c r="IK188" s="20"/>
      <c r="IL188" s="20"/>
      <c r="IM188" s="20"/>
      <c r="IN188" s="20"/>
      <c r="IO188" s="20"/>
      <c r="IP188" s="20"/>
      <c r="IQ188" s="20"/>
      <c r="IR188" s="20"/>
      <c r="IS188" s="20"/>
      <c r="IT188" s="20"/>
      <c r="IU188" s="20"/>
      <c r="IV188" s="20"/>
      <c r="IW188" s="20"/>
      <c r="IX188" s="20"/>
      <c r="IY188" s="20"/>
      <c r="IZ188" s="20"/>
      <c r="JA188" s="20"/>
      <c r="JB188" s="20"/>
      <c r="JC188" s="20"/>
      <c r="JD188" s="20"/>
      <c r="JE188" s="20"/>
      <c r="JF188" s="20"/>
      <c r="JG188" s="20"/>
      <c r="JH188" s="20"/>
      <c r="JI188" s="20"/>
    </row>
    <row r="189" spans="1:269">
      <c r="A189" s="61"/>
      <c r="B189" s="20"/>
      <c r="C189" s="20"/>
      <c r="D189" s="27"/>
      <c r="E189" s="27"/>
      <c r="F189" s="27"/>
      <c r="G189" s="18"/>
      <c r="H189" s="27"/>
      <c r="I189" s="27"/>
      <c r="J189" s="18"/>
      <c r="K189" s="27"/>
      <c r="L189" s="27"/>
      <c r="M189" s="18"/>
      <c r="N189" s="27"/>
      <c r="O189" s="27"/>
      <c r="P189" s="18"/>
      <c r="Q189" s="27"/>
      <c r="R189" s="18"/>
      <c r="S189" s="18"/>
      <c r="T189" s="18"/>
      <c r="U189" s="18"/>
      <c r="V189" s="18"/>
      <c r="W189" s="105"/>
      <c r="X189" s="105"/>
      <c r="Y189" s="18"/>
      <c r="Z189" s="105"/>
      <c r="AA189" s="105"/>
      <c r="AB189" s="18"/>
      <c r="AC189" s="105"/>
      <c r="AD189" s="105"/>
      <c r="AE189" s="18"/>
      <c r="AF189" s="105"/>
      <c r="AG189" s="105"/>
      <c r="AH189" s="105"/>
      <c r="AI189" s="105"/>
      <c r="AJ189" s="105"/>
      <c r="AK189" s="105"/>
      <c r="AL189" s="105"/>
      <c r="AM189" s="18"/>
      <c r="AN189" s="105"/>
      <c r="AO189" s="105"/>
      <c r="AP189" s="105"/>
      <c r="AQ189" s="18"/>
      <c r="AR189" s="105"/>
      <c r="AS189" s="105"/>
      <c r="AT189" s="105"/>
      <c r="AU189" s="18"/>
      <c r="AV189" s="105"/>
      <c r="AW189" s="105"/>
      <c r="AX189" s="18"/>
      <c r="AY189" s="105"/>
      <c r="AZ189" s="105"/>
      <c r="BA189" s="105"/>
      <c r="BB189" s="105"/>
      <c r="BC189" s="18"/>
      <c r="BD189" s="89"/>
      <c r="BE189" s="89"/>
      <c r="BF189" s="89"/>
      <c r="BG189" s="89"/>
      <c r="BH189" s="89"/>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c r="DU189" s="20"/>
      <c r="DV189" s="20"/>
      <c r="DW189" s="20"/>
      <c r="DX189" s="20"/>
      <c r="DY189" s="20"/>
      <c r="DZ189" s="20"/>
      <c r="EA189" s="20"/>
      <c r="EB189" s="20"/>
      <c r="EC189" s="20"/>
      <c r="ED189" s="20"/>
      <c r="EE189" s="20"/>
      <c r="EF189" s="20"/>
      <c r="EG189" s="20"/>
      <c r="EH189" s="20"/>
      <c r="EI189" s="20"/>
      <c r="EJ189" s="20"/>
      <c r="EK189" s="20"/>
      <c r="EL189" s="20"/>
      <c r="EM189" s="20"/>
      <c r="EN189" s="20"/>
      <c r="EO189" s="20"/>
      <c r="EP189" s="20"/>
      <c r="EQ189" s="20"/>
      <c r="ER189" s="20"/>
      <c r="ES189" s="20"/>
      <c r="ET189" s="20"/>
      <c r="EU189" s="20"/>
      <c r="EV189" s="20"/>
      <c r="EW189" s="20"/>
      <c r="EX189" s="20"/>
      <c r="EY189" s="20"/>
      <c r="EZ189" s="20"/>
      <c r="FA189" s="20"/>
      <c r="FB189" s="20"/>
      <c r="FC189" s="20"/>
      <c r="FD189" s="20"/>
      <c r="FE189" s="20"/>
      <c r="FF189" s="20"/>
      <c r="FG189" s="20"/>
      <c r="FH189" s="20"/>
      <c r="FI189" s="20"/>
      <c r="FJ189" s="20"/>
      <c r="FK189" s="20"/>
      <c r="FL189" s="20"/>
      <c r="FM189" s="20"/>
      <c r="FN189" s="20"/>
      <c r="FO189" s="20"/>
      <c r="FP189" s="20"/>
      <c r="FQ189" s="20"/>
      <c r="FR189" s="20"/>
      <c r="FS189" s="20"/>
      <c r="FT189" s="20"/>
      <c r="FU189" s="20"/>
      <c r="FV189" s="20"/>
      <c r="FW189" s="20"/>
      <c r="FX189" s="20"/>
      <c r="FY189" s="20"/>
      <c r="FZ189" s="20"/>
      <c r="GA189" s="20"/>
      <c r="GB189" s="20"/>
      <c r="GC189" s="20"/>
      <c r="GD189" s="20"/>
      <c r="GE189" s="20"/>
      <c r="GF189" s="20"/>
      <c r="GG189" s="20"/>
      <c r="GH189" s="20"/>
      <c r="GI189" s="20"/>
      <c r="GJ189" s="20"/>
      <c r="GK189" s="20"/>
      <c r="GL189" s="20"/>
      <c r="GM189" s="20"/>
      <c r="GN189" s="20"/>
      <c r="GO189" s="20"/>
      <c r="GP189" s="20"/>
      <c r="GQ189" s="20"/>
      <c r="GR189" s="20"/>
      <c r="GS189" s="20"/>
      <c r="GT189" s="20"/>
      <c r="GU189" s="20"/>
      <c r="GV189" s="20"/>
      <c r="GW189" s="20"/>
      <c r="GX189" s="20"/>
      <c r="GY189" s="20"/>
      <c r="GZ189" s="20"/>
      <c r="HA189" s="20"/>
      <c r="HB189" s="20"/>
      <c r="HC189" s="20"/>
      <c r="HD189" s="20"/>
      <c r="HE189" s="20"/>
      <c r="HF189" s="20"/>
      <c r="HG189" s="20"/>
      <c r="HH189" s="20"/>
      <c r="HI189" s="20"/>
      <c r="HJ189" s="20"/>
      <c r="HK189" s="20"/>
      <c r="HL189" s="20"/>
      <c r="HM189" s="20"/>
      <c r="HN189" s="20"/>
      <c r="HO189" s="20"/>
      <c r="HP189" s="20"/>
      <c r="HQ189" s="20"/>
      <c r="HR189" s="20"/>
      <c r="HS189" s="20"/>
      <c r="HT189" s="20"/>
      <c r="HU189" s="20"/>
      <c r="HV189" s="20"/>
      <c r="HW189" s="20"/>
      <c r="HX189" s="20"/>
      <c r="HY189" s="20"/>
      <c r="HZ189" s="20"/>
      <c r="IA189" s="20"/>
      <c r="IB189" s="20"/>
      <c r="IC189" s="20"/>
      <c r="ID189" s="20"/>
      <c r="IE189" s="20"/>
      <c r="IF189" s="20"/>
      <c r="IG189" s="20"/>
      <c r="IH189" s="20"/>
      <c r="II189" s="20"/>
      <c r="IJ189" s="20"/>
      <c r="IK189" s="20"/>
      <c r="IL189" s="20"/>
      <c r="IM189" s="20"/>
      <c r="IN189" s="20"/>
      <c r="IO189" s="20"/>
      <c r="IP189" s="20"/>
      <c r="IQ189" s="20"/>
      <c r="IR189" s="20"/>
      <c r="IS189" s="20"/>
      <c r="IT189" s="20"/>
      <c r="IU189" s="20"/>
      <c r="IV189" s="20"/>
      <c r="IW189" s="20"/>
      <c r="IX189" s="20"/>
      <c r="IY189" s="20"/>
      <c r="IZ189" s="20"/>
      <c r="JA189" s="20"/>
      <c r="JB189" s="20"/>
      <c r="JC189" s="20"/>
      <c r="JD189" s="20"/>
      <c r="JE189" s="20"/>
      <c r="JF189" s="20"/>
      <c r="JG189" s="20"/>
      <c r="JH189" s="20"/>
      <c r="JI189" s="20"/>
    </row>
    <row r="190" spans="1:269">
      <c r="A190" s="61" ph="1"/>
      <c r="B190" s="20" ph="1"/>
      <c r="C190" s="20" ph="1"/>
      <c r="D190" s="27" ph="1"/>
      <c r="E190" s="27" ph="1"/>
      <c r="F190" s="27" ph="1"/>
      <c r="G190" s="18" ph="1"/>
      <c r="H190" s="27" ph="1"/>
      <c r="I190" s="27" ph="1"/>
      <c r="J190" s="18" ph="1"/>
      <c r="K190" s="27" ph="1"/>
      <c r="L190" s="27" ph="1"/>
      <c r="M190" s="18" ph="1"/>
      <c r="N190" s="27" ph="1"/>
      <c r="O190" s="27" ph="1"/>
      <c r="P190" s="18" ph="1"/>
      <c r="Q190" s="27" ph="1"/>
      <c r="R190" s="18" ph="1"/>
      <c r="S190" s="18" ph="1"/>
      <c r="T190" s="18" ph="1"/>
      <c r="U190" s="18" ph="1"/>
      <c r="V190" s="18" ph="1"/>
      <c r="W190" s="105" ph="1"/>
      <c r="X190" s="105" ph="1"/>
      <c r="Y190" s="18" ph="1"/>
      <c r="Z190" s="105" ph="1"/>
      <c r="AA190" s="105" ph="1"/>
      <c r="AB190" s="18" ph="1"/>
      <c r="AC190" s="105" ph="1"/>
      <c r="AD190" s="105" ph="1"/>
      <c r="AE190" s="18" ph="1"/>
      <c r="AF190" s="105" ph="1"/>
      <c r="AG190" s="105" ph="1"/>
      <c r="AH190" s="105" ph="1"/>
      <c r="AI190" s="105" ph="1"/>
      <c r="AJ190" s="105" ph="1"/>
      <c r="AK190" s="105" ph="1"/>
      <c r="AL190" s="105" ph="1"/>
      <c r="AM190" s="18" ph="1"/>
      <c r="AN190" s="105" ph="1"/>
      <c r="AO190" s="105" ph="1"/>
      <c r="AP190" s="105" ph="1"/>
      <c r="AQ190" s="18" ph="1"/>
      <c r="AR190" s="105" ph="1"/>
      <c r="AS190" s="105" ph="1"/>
      <c r="AT190" s="105" ph="1"/>
      <c r="AU190" s="18" ph="1"/>
      <c r="AV190" s="105" ph="1"/>
      <c r="AW190" s="105" ph="1"/>
      <c r="AX190" s="18" ph="1"/>
      <c r="AY190" s="105" ph="1"/>
      <c r="AZ190" s="105" ph="1"/>
      <c r="BA190" s="105" ph="1"/>
      <c r="BB190" s="105" ph="1"/>
      <c r="BC190" s="18" ph="1"/>
      <c r="BD190" s="89"/>
      <c r="BE190" s="89"/>
      <c r="BF190" s="89"/>
      <c r="BG190" s="89"/>
      <c r="BH190" s="89"/>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c r="DU190" s="20"/>
      <c r="DV190" s="20"/>
      <c r="DW190" s="20"/>
      <c r="DX190" s="20"/>
      <c r="DY190" s="20"/>
      <c r="DZ190" s="20"/>
      <c r="EA190" s="20"/>
      <c r="EB190" s="20"/>
      <c r="EC190" s="20"/>
      <c r="ED190" s="20"/>
      <c r="EE190" s="20"/>
      <c r="EF190" s="20"/>
      <c r="EG190" s="20"/>
      <c r="EH190" s="20"/>
      <c r="EI190" s="20"/>
      <c r="EJ190" s="20"/>
      <c r="EK190" s="20"/>
      <c r="EL190" s="20"/>
      <c r="EM190" s="20"/>
      <c r="EN190" s="20"/>
      <c r="EO190" s="20"/>
      <c r="EP190" s="20"/>
      <c r="EQ190" s="20"/>
      <c r="ER190" s="20"/>
      <c r="ES190" s="20"/>
      <c r="ET190" s="20"/>
      <c r="EU190" s="20"/>
      <c r="EV190" s="20"/>
      <c r="EW190" s="20"/>
      <c r="EX190" s="20"/>
      <c r="EY190" s="20"/>
      <c r="EZ190" s="20"/>
      <c r="FA190" s="20"/>
      <c r="FB190" s="20"/>
      <c r="FC190" s="20"/>
      <c r="FD190" s="20"/>
      <c r="FE190" s="20"/>
      <c r="FF190" s="20"/>
      <c r="FG190" s="20"/>
      <c r="FH190" s="20"/>
      <c r="FI190" s="20"/>
      <c r="FJ190" s="20"/>
      <c r="FK190" s="20"/>
      <c r="FL190" s="20"/>
      <c r="FM190" s="20"/>
      <c r="FN190" s="20"/>
      <c r="FO190" s="20"/>
      <c r="FP190" s="20"/>
      <c r="FQ190" s="20"/>
      <c r="FR190" s="20"/>
      <c r="FS190" s="20"/>
      <c r="FT190" s="20"/>
      <c r="FU190" s="20"/>
      <c r="FV190" s="20"/>
      <c r="FW190" s="20"/>
      <c r="FX190" s="20"/>
      <c r="FY190" s="20"/>
      <c r="FZ190" s="20"/>
      <c r="GA190" s="20"/>
      <c r="GB190" s="20"/>
      <c r="GC190" s="20"/>
      <c r="GD190" s="20"/>
      <c r="GE190" s="20"/>
      <c r="GF190" s="20"/>
      <c r="GG190" s="20"/>
      <c r="GH190" s="20"/>
      <c r="GI190" s="20"/>
      <c r="GJ190" s="20"/>
      <c r="GK190" s="20"/>
      <c r="GL190" s="20"/>
      <c r="GM190" s="20"/>
      <c r="GN190" s="20"/>
      <c r="GO190" s="20"/>
      <c r="GP190" s="20"/>
      <c r="GQ190" s="20"/>
      <c r="GR190" s="20"/>
      <c r="GS190" s="20"/>
      <c r="GT190" s="20"/>
      <c r="GU190" s="20"/>
      <c r="GV190" s="20"/>
      <c r="GW190" s="20"/>
      <c r="GX190" s="20"/>
      <c r="GY190" s="20"/>
      <c r="GZ190" s="20"/>
      <c r="HA190" s="20"/>
      <c r="HB190" s="20"/>
      <c r="HC190" s="20"/>
      <c r="HD190" s="20"/>
      <c r="HE190" s="20"/>
      <c r="HF190" s="20"/>
      <c r="HG190" s="20"/>
      <c r="HH190" s="20"/>
      <c r="HI190" s="20"/>
      <c r="HJ190" s="20"/>
      <c r="HK190" s="20"/>
      <c r="HL190" s="20"/>
      <c r="HM190" s="20"/>
      <c r="HN190" s="20"/>
      <c r="HO190" s="20"/>
      <c r="HP190" s="20"/>
      <c r="HQ190" s="20"/>
      <c r="HR190" s="20"/>
      <c r="HS190" s="20"/>
      <c r="HT190" s="20"/>
      <c r="HU190" s="20"/>
      <c r="HV190" s="20"/>
      <c r="HW190" s="20"/>
      <c r="HX190" s="20"/>
      <c r="HY190" s="20"/>
      <c r="HZ190" s="20"/>
      <c r="IA190" s="20"/>
      <c r="IB190" s="20"/>
      <c r="IC190" s="20"/>
      <c r="ID190" s="20"/>
      <c r="IE190" s="20"/>
      <c r="IF190" s="20"/>
      <c r="IG190" s="20"/>
      <c r="IH190" s="20"/>
      <c r="II190" s="20"/>
      <c r="IJ190" s="20"/>
      <c r="IK190" s="20"/>
      <c r="IL190" s="20"/>
      <c r="IM190" s="20"/>
      <c r="IN190" s="20"/>
      <c r="IO190" s="20"/>
      <c r="IP190" s="20"/>
      <c r="IQ190" s="20"/>
      <c r="IR190" s="20"/>
      <c r="IS190" s="20"/>
      <c r="IT190" s="20"/>
      <c r="IU190" s="20"/>
      <c r="IV190" s="20"/>
      <c r="IW190" s="20"/>
      <c r="IX190" s="20"/>
      <c r="IY190" s="20"/>
      <c r="IZ190" s="20"/>
      <c r="JA190" s="20"/>
      <c r="JB190" s="20"/>
      <c r="JC190" s="20"/>
      <c r="JD190" s="20"/>
      <c r="JE190" s="20"/>
      <c r="JF190" s="20"/>
      <c r="JG190" s="20"/>
      <c r="JH190" s="20"/>
      <c r="JI190" s="20"/>
    </row>
    <row r="191" spans="1:269">
      <c r="A191" s="61"/>
      <c r="B191" s="20"/>
      <c r="C191" s="20"/>
      <c r="D191" s="27"/>
      <c r="E191" s="27"/>
      <c r="F191" s="27"/>
      <c r="G191" s="18"/>
      <c r="H191" s="27"/>
      <c r="I191" s="27"/>
      <c r="J191" s="18"/>
      <c r="K191" s="27"/>
      <c r="L191" s="27"/>
      <c r="M191" s="18"/>
      <c r="N191" s="27"/>
      <c r="O191" s="27"/>
      <c r="P191" s="18"/>
      <c r="Q191" s="27"/>
      <c r="R191" s="18"/>
      <c r="S191" s="18"/>
      <c r="T191" s="18"/>
      <c r="U191" s="18"/>
      <c r="V191" s="18"/>
      <c r="W191" s="105"/>
      <c r="X191" s="105"/>
      <c r="Y191" s="18"/>
      <c r="Z191" s="105"/>
      <c r="AA191" s="105"/>
      <c r="AB191" s="18"/>
      <c r="AC191" s="105"/>
      <c r="AD191" s="105"/>
      <c r="AE191" s="18"/>
      <c r="AF191" s="105"/>
      <c r="AG191" s="105"/>
      <c r="AH191" s="105"/>
      <c r="AI191" s="105"/>
      <c r="AJ191" s="105"/>
      <c r="AK191" s="105"/>
      <c r="AL191" s="105"/>
      <c r="AM191" s="18"/>
      <c r="AN191" s="105"/>
      <c r="AO191" s="105"/>
      <c r="AP191" s="105"/>
      <c r="AQ191" s="18"/>
      <c r="AR191" s="105"/>
      <c r="AS191" s="105"/>
      <c r="AT191" s="105"/>
      <c r="AU191" s="18"/>
      <c r="AV191" s="105"/>
      <c r="AW191" s="105"/>
      <c r="AX191" s="18"/>
      <c r="AY191" s="105"/>
      <c r="AZ191" s="105"/>
      <c r="BA191" s="105"/>
      <c r="BB191" s="105"/>
      <c r="BC191" s="18"/>
      <c r="BD191" s="89"/>
      <c r="BE191" s="89"/>
      <c r="BF191" s="89"/>
      <c r="BG191" s="89"/>
      <c r="BH191" s="89"/>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c r="DU191" s="20"/>
      <c r="DV191" s="20"/>
      <c r="DW191" s="20"/>
      <c r="DX191" s="20"/>
      <c r="DY191" s="20"/>
      <c r="DZ191" s="20"/>
      <c r="EA191" s="20"/>
      <c r="EB191" s="20"/>
      <c r="EC191" s="20"/>
      <c r="ED191" s="20"/>
      <c r="EE191" s="20"/>
      <c r="EF191" s="20"/>
      <c r="EG191" s="20"/>
      <c r="EH191" s="20"/>
      <c r="EI191" s="20"/>
      <c r="EJ191" s="20"/>
      <c r="EK191" s="20"/>
      <c r="EL191" s="20"/>
      <c r="EM191" s="20"/>
      <c r="EN191" s="20"/>
      <c r="EO191" s="20"/>
      <c r="EP191" s="20"/>
      <c r="EQ191" s="20"/>
      <c r="ER191" s="20"/>
      <c r="ES191" s="20"/>
      <c r="ET191" s="20"/>
      <c r="EU191" s="20"/>
      <c r="EV191" s="20"/>
      <c r="EW191" s="20"/>
      <c r="EX191" s="20"/>
      <c r="EY191" s="20"/>
      <c r="EZ191" s="20"/>
      <c r="FA191" s="20"/>
      <c r="FB191" s="20"/>
      <c r="FC191" s="20"/>
      <c r="FD191" s="20"/>
      <c r="FE191" s="20"/>
      <c r="FF191" s="20"/>
      <c r="FG191" s="20"/>
      <c r="FH191" s="20"/>
      <c r="FI191" s="20"/>
      <c r="FJ191" s="20"/>
      <c r="FK191" s="20"/>
      <c r="FL191" s="20"/>
      <c r="FM191" s="20"/>
      <c r="FN191" s="20"/>
      <c r="FO191" s="20"/>
      <c r="FP191" s="20"/>
      <c r="FQ191" s="20"/>
      <c r="FR191" s="20"/>
      <c r="FS191" s="20"/>
      <c r="FT191" s="20"/>
      <c r="FU191" s="20"/>
      <c r="FV191" s="20"/>
      <c r="FW191" s="20"/>
      <c r="FX191" s="20"/>
      <c r="FY191" s="20"/>
      <c r="FZ191" s="20"/>
      <c r="GA191" s="20"/>
      <c r="GB191" s="20"/>
      <c r="GC191" s="20"/>
      <c r="GD191" s="20"/>
      <c r="GE191" s="20"/>
      <c r="GF191" s="20"/>
      <c r="GG191" s="20"/>
      <c r="GH191" s="20"/>
      <c r="GI191" s="20"/>
      <c r="GJ191" s="20"/>
      <c r="GK191" s="20"/>
      <c r="GL191" s="20"/>
      <c r="GM191" s="20"/>
      <c r="GN191" s="20"/>
      <c r="GO191" s="20"/>
      <c r="GP191" s="20"/>
      <c r="GQ191" s="20"/>
      <c r="GR191" s="20"/>
      <c r="GS191" s="20"/>
      <c r="GT191" s="20"/>
      <c r="GU191" s="20"/>
      <c r="GV191" s="20"/>
      <c r="GW191" s="20"/>
      <c r="GX191" s="20"/>
      <c r="GY191" s="20"/>
      <c r="GZ191" s="20"/>
      <c r="HA191" s="20"/>
      <c r="HB191" s="20"/>
      <c r="HC191" s="20"/>
      <c r="HD191" s="20"/>
      <c r="HE191" s="20"/>
      <c r="HF191" s="20"/>
      <c r="HG191" s="20"/>
      <c r="HH191" s="20"/>
      <c r="HI191" s="20"/>
      <c r="HJ191" s="20"/>
      <c r="HK191" s="20"/>
      <c r="HL191" s="20"/>
      <c r="HM191" s="20"/>
      <c r="HN191" s="20"/>
      <c r="HO191" s="20"/>
      <c r="HP191" s="20"/>
      <c r="HQ191" s="20"/>
      <c r="HR191" s="20"/>
      <c r="HS191" s="20"/>
      <c r="HT191" s="20"/>
      <c r="HU191" s="20"/>
      <c r="HV191" s="20"/>
      <c r="HW191" s="20"/>
      <c r="HX191" s="20"/>
      <c r="HY191" s="20"/>
      <c r="HZ191" s="20"/>
      <c r="IA191" s="20"/>
      <c r="IB191" s="20"/>
      <c r="IC191" s="20"/>
      <c r="ID191" s="20"/>
      <c r="IE191" s="20"/>
      <c r="IF191" s="20"/>
      <c r="IG191" s="20"/>
      <c r="IH191" s="20"/>
      <c r="II191" s="20"/>
      <c r="IJ191" s="20"/>
      <c r="IK191" s="20"/>
      <c r="IL191" s="20"/>
      <c r="IM191" s="20"/>
      <c r="IN191" s="20"/>
      <c r="IO191" s="20"/>
      <c r="IP191" s="20"/>
      <c r="IQ191" s="20"/>
      <c r="IR191" s="20"/>
      <c r="IS191" s="20"/>
      <c r="IT191" s="20"/>
      <c r="IU191" s="20"/>
      <c r="IV191" s="20"/>
      <c r="IW191" s="20"/>
      <c r="IX191" s="20"/>
      <c r="IY191" s="20"/>
      <c r="IZ191" s="20"/>
      <c r="JA191" s="20"/>
      <c r="JB191" s="20"/>
      <c r="JC191" s="20"/>
      <c r="JD191" s="20"/>
      <c r="JE191" s="20"/>
      <c r="JF191" s="20"/>
      <c r="JG191" s="20"/>
      <c r="JH191" s="20"/>
      <c r="JI191" s="20"/>
    </row>
    <row r="192" spans="1:269">
      <c r="A192" s="61" ph="1"/>
      <c r="B192" s="20" ph="1"/>
      <c r="C192" s="20" ph="1"/>
      <c r="D192" s="27" ph="1"/>
      <c r="E192" s="27" ph="1"/>
      <c r="F192" s="27" ph="1"/>
      <c r="G192" s="18" ph="1"/>
      <c r="H192" s="27" ph="1"/>
      <c r="I192" s="27" ph="1"/>
      <c r="J192" s="18" ph="1"/>
      <c r="K192" s="27" ph="1"/>
      <c r="L192" s="27" ph="1"/>
      <c r="M192" s="18" ph="1"/>
      <c r="N192" s="27" ph="1"/>
      <c r="O192" s="27" ph="1"/>
      <c r="P192" s="18" ph="1"/>
      <c r="Q192" s="27" ph="1"/>
      <c r="R192" s="18" ph="1"/>
      <c r="S192" s="18" ph="1"/>
      <c r="T192" s="18" ph="1"/>
      <c r="U192" s="18" ph="1"/>
      <c r="V192" s="18" ph="1"/>
      <c r="W192" s="105" ph="1"/>
      <c r="X192" s="105" ph="1"/>
      <c r="Y192" s="18" ph="1"/>
      <c r="Z192" s="105" ph="1"/>
      <c r="AA192" s="105" ph="1"/>
      <c r="AB192" s="18" ph="1"/>
      <c r="AC192" s="105" ph="1"/>
      <c r="AD192" s="105" ph="1"/>
      <c r="AE192" s="18" ph="1"/>
      <c r="AF192" s="105" ph="1"/>
      <c r="AG192" s="105" ph="1"/>
      <c r="AH192" s="105" ph="1"/>
      <c r="AI192" s="105" ph="1"/>
      <c r="AJ192" s="105" ph="1"/>
      <c r="AK192" s="105" ph="1"/>
      <c r="AL192" s="105" ph="1"/>
      <c r="AM192" s="18" ph="1"/>
      <c r="AN192" s="105" ph="1"/>
      <c r="AO192" s="105" ph="1"/>
      <c r="AP192" s="105" ph="1"/>
      <c r="AQ192" s="18" ph="1"/>
      <c r="AR192" s="105" ph="1"/>
      <c r="AS192" s="105" ph="1"/>
      <c r="AT192" s="105" ph="1"/>
      <c r="AU192" s="18" ph="1"/>
      <c r="AV192" s="105" ph="1"/>
      <c r="AW192" s="105" ph="1"/>
      <c r="AX192" s="18" ph="1"/>
      <c r="AY192" s="105" ph="1"/>
      <c r="AZ192" s="105" ph="1"/>
      <c r="BA192" s="105" ph="1"/>
      <c r="BB192" s="105" ph="1"/>
      <c r="BC192" s="18" ph="1"/>
      <c r="BD192" s="89"/>
      <c r="BE192" s="89"/>
      <c r="BF192" s="89"/>
      <c r="BG192" s="89"/>
      <c r="BH192" s="89"/>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c r="EE192" s="20"/>
      <c r="EF192" s="20"/>
      <c r="EG192" s="20"/>
      <c r="EH192" s="20"/>
      <c r="EI192" s="20"/>
      <c r="EJ192" s="20"/>
      <c r="EK192" s="20"/>
      <c r="EL192" s="20"/>
      <c r="EM192" s="20"/>
      <c r="EN192" s="20"/>
      <c r="EO192" s="20"/>
      <c r="EP192" s="20"/>
      <c r="EQ192" s="20"/>
      <c r="ER192" s="20"/>
      <c r="ES192" s="20"/>
      <c r="ET192" s="20"/>
      <c r="EU192" s="20"/>
      <c r="EV192" s="20"/>
      <c r="EW192" s="20"/>
      <c r="EX192" s="20"/>
      <c r="EY192" s="20"/>
      <c r="EZ192" s="20"/>
      <c r="FA192" s="20"/>
      <c r="FB192" s="20"/>
      <c r="FC192" s="20"/>
      <c r="FD192" s="20"/>
      <c r="FE192" s="20"/>
      <c r="FF192" s="20"/>
      <c r="FG192" s="20"/>
      <c r="FH192" s="20"/>
      <c r="FI192" s="20"/>
      <c r="FJ192" s="20"/>
      <c r="FK192" s="20"/>
      <c r="FL192" s="20"/>
      <c r="FM192" s="20"/>
      <c r="FN192" s="20"/>
      <c r="FO192" s="20"/>
      <c r="FP192" s="20"/>
      <c r="FQ192" s="20"/>
      <c r="FR192" s="20"/>
      <c r="FS192" s="20"/>
      <c r="FT192" s="20"/>
      <c r="FU192" s="20"/>
      <c r="FV192" s="20"/>
      <c r="FW192" s="20"/>
      <c r="FX192" s="20"/>
      <c r="FY192" s="20"/>
      <c r="FZ192" s="20"/>
      <c r="GA192" s="20"/>
      <c r="GB192" s="20"/>
      <c r="GC192" s="20"/>
      <c r="GD192" s="20"/>
      <c r="GE192" s="20"/>
      <c r="GF192" s="20"/>
      <c r="GG192" s="20"/>
      <c r="GH192" s="20"/>
      <c r="GI192" s="20"/>
      <c r="GJ192" s="20"/>
      <c r="GK192" s="20"/>
      <c r="GL192" s="20"/>
      <c r="GM192" s="20"/>
      <c r="GN192" s="20"/>
      <c r="GO192" s="20"/>
      <c r="GP192" s="20"/>
      <c r="GQ192" s="20"/>
      <c r="GR192" s="20"/>
      <c r="GS192" s="20"/>
      <c r="GT192" s="20"/>
      <c r="GU192" s="20"/>
      <c r="GV192" s="20"/>
      <c r="GW192" s="20"/>
      <c r="GX192" s="20"/>
      <c r="GY192" s="20"/>
      <c r="GZ192" s="20"/>
      <c r="HA192" s="20"/>
      <c r="HB192" s="20"/>
      <c r="HC192" s="20"/>
      <c r="HD192" s="20"/>
      <c r="HE192" s="20"/>
      <c r="HF192" s="20"/>
      <c r="HG192" s="20"/>
      <c r="HH192" s="20"/>
      <c r="HI192" s="20"/>
      <c r="HJ192" s="20"/>
      <c r="HK192" s="20"/>
      <c r="HL192" s="20"/>
      <c r="HM192" s="20"/>
      <c r="HN192" s="20"/>
      <c r="HO192" s="20"/>
      <c r="HP192" s="20"/>
      <c r="HQ192" s="20"/>
      <c r="HR192" s="20"/>
      <c r="HS192" s="20"/>
      <c r="HT192" s="20"/>
      <c r="HU192" s="20"/>
      <c r="HV192" s="20"/>
      <c r="HW192" s="20"/>
      <c r="HX192" s="20"/>
      <c r="HY192" s="20"/>
      <c r="HZ192" s="20"/>
      <c r="IA192" s="20"/>
      <c r="IB192" s="20"/>
      <c r="IC192" s="20"/>
      <c r="ID192" s="20"/>
      <c r="IE192" s="20"/>
      <c r="IF192" s="20"/>
      <c r="IG192" s="20"/>
      <c r="IH192" s="20"/>
      <c r="II192" s="20"/>
      <c r="IJ192" s="20"/>
      <c r="IK192" s="20"/>
      <c r="IL192" s="20"/>
      <c r="IM192" s="20"/>
      <c r="IN192" s="20"/>
      <c r="IO192" s="20"/>
      <c r="IP192" s="20"/>
      <c r="IQ192" s="20"/>
      <c r="IR192" s="20"/>
      <c r="IS192" s="20"/>
      <c r="IT192" s="20"/>
      <c r="IU192" s="20"/>
      <c r="IV192" s="20"/>
      <c r="IW192" s="20"/>
      <c r="IX192" s="20"/>
      <c r="IY192" s="20"/>
      <c r="IZ192" s="20"/>
      <c r="JA192" s="20"/>
      <c r="JB192" s="20"/>
      <c r="JC192" s="20"/>
      <c r="JD192" s="20"/>
      <c r="JE192" s="20"/>
      <c r="JF192" s="20"/>
      <c r="JG192" s="20"/>
      <c r="JH192" s="20"/>
      <c r="JI192" s="20"/>
    </row>
    <row r="193" spans="1:269">
      <c r="A193" s="61" ph="1"/>
      <c r="B193" s="20" ph="1"/>
      <c r="C193" s="20" ph="1"/>
      <c r="D193" s="27" ph="1"/>
      <c r="E193" s="27" ph="1"/>
      <c r="F193" s="27" ph="1"/>
      <c r="G193" s="18" ph="1"/>
      <c r="H193" s="27" ph="1"/>
      <c r="I193" s="27" ph="1"/>
      <c r="J193" s="18" ph="1"/>
      <c r="K193" s="27" ph="1"/>
      <c r="L193" s="27" ph="1"/>
      <c r="M193" s="18" ph="1"/>
      <c r="N193" s="27" ph="1"/>
      <c r="O193" s="27" ph="1"/>
      <c r="P193" s="18" ph="1"/>
      <c r="Q193" s="27" ph="1"/>
      <c r="R193" s="18" ph="1"/>
      <c r="S193" s="18" ph="1"/>
      <c r="T193" s="18" ph="1"/>
      <c r="U193" s="18" ph="1"/>
      <c r="V193" s="18" ph="1"/>
      <c r="W193" s="105" ph="1"/>
      <c r="X193" s="105" ph="1"/>
      <c r="Y193" s="18" ph="1"/>
      <c r="Z193" s="105" ph="1"/>
      <c r="AA193" s="105" ph="1"/>
      <c r="AB193" s="18" ph="1"/>
      <c r="AC193" s="105" ph="1"/>
      <c r="AD193" s="105" ph="1"/>
      <c r="AE193" s="18" ph="1"/>
      <c r="AF193" s="105" ph="1"/>
      <c r="AG193" s="105" ph="1"/>
      <c r="AH193" s="105" ph="1"/>
      <c r="AI193" s="105" ph="1"/>
      <c r="AJ193" s="105" ph="1"/>
      <c r="AK193" s="105" ph="1"/>
      <c r="AL193" s="105" ph="1"/>
      <c r="AM193" s="18" ph="1"/>
      <c r="AN193" s="105" ph="1"/>
      <c r="AO193" s="105" ph="1"/>
      <c r="AP193" s="105" ph="1"/>
      <c r="AQ193" s="18" ph="1"/>
      <c r="AR193" s="105" ph="1"/>
      <c r="AS193" s="105" ph="1"/>
      <c r="AT193" s="105" ph="1"/>
      <c r="AU193" s="18" ph="1"/>
      <c r="AV193" s="105" ph="1"/>
      <c r="AW193" s="105" ph="1"/>
      <c r="AX193" s="18" ph="1"/>
      <c r="AY193" s="105" ph="1"/>
      <c r="AZ193" s="105" ph="1"/>
      <c r="BA193" s="105" ph="1"/>
      <c r="BB193" s="105" ph="1"/>
      <c r="BC193" s="18" ph="1"/>
      <c r="BD193" s="89"/>
      <c r="BE193" s="89"/>
      <c r="BF193" s="89"/>
      <c r="BG193" s="89"/>
      <c r="BH193" s="89"/>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c r="DU193" s="20"/>
      <c r="DV193" s="20"/>
      <c r="DW193" s="20"/>
      <c r="DX193" s="20"/>
      <c r="DY193" s="20"/>
      <c r="DZ193" s="20"/>
      <c r="EA193" s="20"/>
      <c r="EB193" s="20"/>
      <c r="EC193" s="20"/>
      <c r="ED193" s="20"/>
      <c r="EE193" s="20"/>
      <c r="EF193" s="20"/>
      <c r="EG193" s="20"/>
      <c r="EH193" s="20"/>
      <c r="EI193" s="20"/>
      <c r="EJ193" s="20"/>
      <c r="EK193" s="20"/>
      <c r="EL193" s="20"/>
      <c r="EM193" s="20"/>
      <c r="EN193" s="20"/>
      <c r="EO193" s="20"/>
      <c r="EP193" s="20"/>
      <c r="EQ193" s="20"/>
      <c r="ER193" s="20"/>
      <c r="ES193" s="20"/>
      <c r="ET193" s="20"/>
      <c r="EU193" s="20"/>
      <c r="EV193" s="20"/>
      <c r="EW193" s="20"/>
      <c r="EX193" s="20"/>
      <c r="EY193" s="20"/>
      <c r="EZ193" s="20"/>
      <c r="FA193" s="20"/>
      <c r="FB193" s="20"/>
      <c r="FC193" s="20"/>
      <c r="FD193" s="20"/>
      <c r="FE193" s="20"/>
      <c r="FF193" s="20"/>
      <c r="FG193" s="20"/>
      <c r="FH193" s="20"/>
      <c r="FI193" s="20"/>
      <c r="FJ193" s="20"/>
      <c r="FK193" s="20"/>
      <c r="FL193" s="20"/>
      <c r="FM193" s="20"/>
      <c r="FN193" s="20"/>
      <c r="FO193" s="20"/>
      <c r="FP193" s="20"/>
      <c r="FQ193" s="20"/>
      <c r="FR193" s="20"/>
      <c r="FS193" s="20"/>
      <c r="FT193" s="20"/>
      <c r="FU193" s="20"/>
      <c r="FV193" s="20"/>
      <c r="FW193" s="20"/>
      <c r="FX193" s="20"/>
      <c r="FY193" s="20"/>
      <c r="FZ193" s="20"/>
      <c r="GA193" s="20"/>
      <c r="GB193" s="20"/>
      <c r="GC193" s="20"/>
      <c r="GD193" s="20"/>
      <c r="GE193" s="20"/>
      <c r="GF193" s="20"/>
      <c r="GG193" s="20"/>
      <c r="GH193" s="20"/>
      <c r="GI193" s="20"/>
      <c r="GJ193" s="20"/>
      <c r="GK193" s="20"/>
      <c r="GL193" s="20"/>
      <c r="GM193" s="20"/>
      <c r="GN193" s="20"/>
      <c r="GO193" s="20"/>
      <c r="GP193" s="20"/>
      <c r="GQ193" s="20"/>
      <c r="GR193" s="20"/>
      <c r="GS193" s="20"/>
      <c r="GT193" s="20"/>
      <c r="GU193" s="20"/>
      <c r="GV193" s="20"/>
      <c r="GW193" s="20"/>
      <c r="GX193" s="20"/>
      <c r="GY193" s="20"/>
      <c r="GZ193" s="20"/>
      <c r="HA193" s="20"/>
      <c r="HB193" s="20"/>
      <c r="HC193" s="20"/>
      <c r="HD193" s="20"/>
      <c r="HE193" s="20"/>
      <c r="HF193" s="20"/>
      <c r="HG193" s="20"/>
      <c r="HH193" s="20"/>
      <c r="HI193" s="20"/>
      <c r="HJ193" s="20"/>
      <c r="HK193" s="20"/>
      <c r="HL193" s="20"/>
      <c r="HM193" s="20"/>
      <c r="HN193" s="20"/>
      <c r="HO193" s="20"/>
      <c r="HP193" s="20"/>
      <c r="HQ193" s="20"/>
      <c r="HR193" s="20"/>
      <c r="HS193" s="20"/>
      <c r="HT193" s="20"/>
      <c r="HU193" s="20"/>
      <c r="HV193" s="20"/>
      <c r="HW193" s="20"/>
      <c r="HX193" s="20"/>
      <c r="HY193" s="20"/>
      <c r="HZ193" s="20"/>
      <c r="IA193" s="20"/>
      <c r="IB193" s="20"/>
      <c r="IC193" s="20"/>
      <c r="ID193" s="20"/>
      <c r="IE193" s="20"/>
      <c r="IF193" s="20"/>
      <c r="IG193" s="20"/>
      <c r="IH193" s="20"/>
      <c r="II193" s="20"/>
      <c r="IJ193" s="20"/>
      <c r="IK193" s="20"/>
      <c r="IL193" s="20"/>
      <c r="IM193" s="20"/>
      <c r="IN193" s="20"/>
      <c r="IO193" s="20"/>
      <c r="IP193" s="20"/>
      <c r="IQ193" s="20"/>
      <c r="IR193" s="20"/>
      <c r="IS193" s="20"/>
      <c r="IT193" s="20"/>
      <c r="IU193" s="20"/>
      <c r="IV193" s="20"/>
      <c r="IW193" s="20"/>
      <c r="IX193" s="20"/>
      <c r="IY193" s="20"/>
      <c r="IZ193" s="20"/>
      <c r="JA193" s="20"/>
      <c r="JB193" s="20"/>
      <c r="JC193" s="20"/>
      <c r="JD193" s="20"/>
      <c r="JE193" s="20"/>
      <c r="JF193" s="20"/>
      <c r="JG193" s="20"/>
      <c r="JH193" s="20"/>
      <c r="JI193" s="20"/>
    </row>
    <row r="194" spans="1:269">
      <c r="A194" s="61" ph="1"/>
      <c r="B194" s="20" ph="1"/>
      <c r="C194" s="20" ph="1"/>
      <c r="D194" s="27" ph="1"/>
      <c r="E194" s="27" ph="1"/>
      <c r="F194" s="27" ph="1"/>
      <c r="G194" s="18" ph="1"/>
      <c r="H194" s="27" ph="1"/>
      <c r="I194" s="27" ph="1"/>
      <c r="J194" s="18" ph="1"/>
      <c r="K194" s="27" ph="1"/>
      <c r="L194" s="27" ph="1"/>
      <c r="M194" s="18" ph="1"/>
      <c r="N194" s="27" ph="1"/>
      <c r="O194" s="27" ph="1"/>
      <c r="P194" s="18" ph="1"/>
      <c r="Q194" s="27" ph="1"/>
      <c r="R194" s="18" ph="1"/>
      <c r="S194" s="18" ph="1"/>
      <c r="T194" s="18" ph="1"/>
      <c r="U194" s="18" ph="1"/>
      <c r="V194" s="18" ph="1"/>
      <c r="W194" s="105" ph="1"/>
      <c r="X194" s="105" ph="1"/>
      <c r="Y194" s="18" ph="1"/>
      <c r="Z194" s="105" ph="1"/>
      <c r="AA194" s="105" ph="1"/>
      <c r="AB194" s="18" ph="1"/>
      <c r="AC194" s="105" ph="1"/>
      <c r="AD194" s="105" ph="1"/>
      <c r="AE194" s="18" ph="1"/>
      <c r="AF194" s="105" ph="1"/>
      <c r="AG194" s="105" ph="1"/>
      <c r="AH194" s="105" ph="1"/>
      <c r="AI194" s="105" ph="1"/>
      <c r="AJ194" s="105" ph="1"/>
      <c r="AK194" s="105" ph="1"/>
      <c r="AL194" s="105" ph="1"/>
      <c r="AM194" s="18" ph="1"/>
      <c r="AN194" s="105" ph="1"/>
      <c r="AO194" s="105" ph="1"/>
      <c r="AP194" s="105" ph="1"/>
      <c r="AQ194" s="18" ph="1"/>
      <c r="AR194" s="105" ph="1"/>
      <c r="AS194" s="105" ph="1"/>
      <c r="AT194" s="105" ph="1"/>
      <c r="AU194" s="18" ph="1"/>
      <c r="AV194" s="105" ph="1"/>
      <c r="AW194" s="105" ph="1"/>
      <c r="AX194" s="18" ph="1"/>
      <c r="AY194" s="105" ph="1"/>
      <c r="AZ194" s="105" ph="1"/>
      <c r="BA194" s="105" ph="1"/>
      <c r="BB194" s="105" ph="1"/>
      <c r="BC194" s="18" ph="1"/>
      <c r="BD194" s="89"/>
      <c r="BE194" s="89"/>
      <c r="BF194" s="89"/>
      <c r="BG194" s="89"/>
      <c r="BH194" s="89"/>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c r="DU194" s="20"/>
      <c r="DV194" s="20"/>
      <c r="DW194" s="20"/>
      <c r="DX194" s="20"/>
      <c r="DY194" s="20"/>
      <c r="DZ194" s="20"/>
      <c r="EA194" s="20"/>
      <c r="EB194" s="20"/>
      <c r="EC194" s="20"/>
      <c r="ED194" s="20"/>
      <c r="EE194" s="20"/>
      <c r="EF194" s="20"/>
      <c r="EG194" s="20"/>
      <c r="EH194" s="20"/>
      <c r="EI194" s="20"/>
      <c r="EJ194" s="20"/>
      <c r="EK194" s="20"/>
      <c r="EL194" s="20"/>
      <c r="EM194" s="20"/>
      <c r="EN194" s="20"/>
      <c r="EO194" s="20"/>
      <c r="EP194" s="20"/>
      <c r="EQ194" s="20"/>
      <c r="ER194" s="20"/>
      <c r="ES194" s="20"/>
      <c r="ET194" s="20"/>
      <c r="EU194" s="20"/>
      <c r="EV194" s="20"/>
      <c r="EW194" s="20"/>
      <c r="EX194" s="20"/>
      <c r="EY194" s="20"/>
      <c r="EZ194" s="20"/>
      <c r="FA194" s="20"/>
      <c r="FB194" s="20"/>
      <c r="FC194" s="20"/>
      <c r="FD194" s="20"/>
      <c r="FE194" s="20"/>
      <c r="FF194" s="20"/>
      <c r="FG194" s="20"/>
      <c r="FH194" s="20"/>
      <c r="FI194" s="20"/>
      <c r="FJ194" s="20"/>
      <c r="FK194" s="20"/>
      <c r="FL194" s="20"/>
      <c r="FM194" s="20"/>
      <c r="FN194" s="20"/>
      <c r="FO194" s="20"/>
      <c r="FP194" s="20"/>
      <c r="FQ194" s="20"/>
      <c r="FR194" s="20"/>
      <c r="FS194" s="20"/>
      <c r="FT194" s="20"/>
      <c r="FU194" s="20"/>
      <c r="FV194" s="20"/>
      <c r="FW194" s="20"/>
      <c r="FX194" s="20"/>
      <c r="FY194" s="20"/>
      <c r="FZ194" s="20"/>
      <c r="GA194" s="20"/>
      <c r="GB194" s="20"/>
      <c r="GC194" s="20"/>
      <c r="GD194" s="20"/>
      <c r="GE194" s="20"/>
      <c r="GF194" s="20"/>
      <c r="GG194" s="20"/>
      <c r="GH194" s="20"/>
      <c r="GI194" s="20"/>
      <c r="GJ194" s="20"/>
      <c r="GK194" s="20"/>
      <c r="GL194" s="20"/>
      <c r="GM194" s="20"/>
      <c r="GN194" s="20"/>
      <c r="GO194" s="20"/>
      <c r="GP194" s="20"/>
      <c r="GQ194" s="20"/>
      <c r="GR194" s="20"/>
      <c r="GS194" s="20"/>
      <c r="GT194" s="20"/>
      <c r="GU194" s="20"/>
      <c r="GV194" s="20"/>
      <c r="GW194" s="20"/>
      <c r="GX194" s="20"/>
      <c r="GY194" s="20"/>
      <c r="GZ194" s="20"/>
      <c r="HA194" s="20"/>
      <c r="HB194" s="20"/>
      <c r="HC194" s="20"/>
      <c r="HD194" s="20"/>
      <c r="HE194" s="20"/>
      <c r="HF194" s="20"/>
      <c r="HG194" s="20"/>
      <c r="HH194" s="20"/>
      <c r="HI194" s="20"/>
      <c r="HJ194" s="20"/>
      <c r="HK194" s="20"/>
      <c r="HL194" s="20"/>
      <c r="HM194" s="20"/>
      <c r="HN194" s="20"/>
      <c r="HO194" s="20"/>
      <c r="HP194" s="20"/>
      <c r="HQ194" s="20"/>
      <c r="HR194" s="20"/>
      <c r="HS194" s="20"/>
      <c r="HT194" s="20"/>
      <c r="HU194" s="20"/>
      <c r="HV194" s="20"/>
      <c r="HW194" s="20"/>
      <c r="HX194" s="20"/>
      <c r="HY194" s="20"/>
      <c r="HZ194" s="20"/>
      <c r="IA194" s="20"/>
      <c r="IB194" s="20"/>
      <c r="IC194" s="20"/>
      <c r="ID194" s="20"/>
      <c r="IE194" s="20"/>
      <c r="IF194" s="20"/>
      <c r="IG194" s="20"/>
      <c r="IH194" s="20"/>
      <c r="II194" s="20"/>
      <c r="IJ194" s="20"/>
      <c r="IK194" s="20"/>
      <c r="IL194" s="20"/>
      <c r="IM194" s="20"/>
      <c r="IN194" s="20"/>
      <c r="IO194" s="20"/>
      <c r="IP194" s="20"/>
      <c r="IQ194" s="20"/>
      <c r="IR194" s="20"/>
      <c r="IS194" s="20"/>
      <c r="IT194" s="20"/>
      <c r="IU194" s="20"/>
      <c r="IV194" s="20"/>
      <c r="IW194" s="20"/>
      <c r="IX194" s="20"/>
      <c r="IY194" s="20"/>
      <c r="IZ194" s="20"/>
      <c r="JA194" s="20"/>
      <c r="JB194" s="20"/>
      <c r="JC194" s="20"/>
      <c r="JD194" s="20"/>
      <c r="JE194" s="20"/>
      <c r="JF194" s="20"/>
      <c r="JG194" s="20"/>
      <c r="JH194" s="20"/>
      <c r="JI194" s="20"/>
    </row>
    <row r="195" spans="1:269">
      <c r="A195" s="61" ph="1"/>
      <c r="B195" s="20" ph="1"/>
      <c r="C195" s="20" ph="1"/>
      <c r="D195" s="27" ph="1"/>
      <c r="E195" s="27" ph="1"/>
      <c r="F195" s="27" ph="1"/>
      <c r="G195" s="18" ph="1"/>
      <c r="H195" s="27" ph="1"/>
      <c r="I195" s="27" ph="1"/>
      <c r="J195" s="18" ph="1"/>
      <c r="K195" s="27" ph="1"/>
      <c r="L195" s="27" ph="1"/>
      <c r="M195" s="18" ph="1"/>
      <c r="N195" s="27" ph="1"/>
      <c r="O195" s="27" ph="1"/>
      <c r="P195" s="18" ph="1"/>
      <c r="Q195" s="27" ph="1"/>
      <c r="R195" s="18" ph="1"/>
      <c r="S195" s="18" ph="1"/>
      <c r="T195" s="18" ph="1"/>
      <c r="U195" s="18" ph="1"/>
      <c r="V195" s="18" ph="1"/>
      <c r="W195" s="105" ph="1"/>
      <c r="X195" s="105" ph="1"/>
      <c r="Y195" s="18" ph="1"/>
      <c r="Z195" s="105" ph="1"/>
      <c r="AA195" s="105" ph="1"/>
      <c r="AB195" s="18" ph="1"/>
      <c r="AC195" s="105" ph="1"/>
      <c r="AD195" s="105" ph="1"/>
      <c r="AE195" s="18" ph="1"/>
      <c r="AF195" s="105" ph="1"/>
      <c r="AG195" s="105" ph="1"/>
      <c r="AH195" s="105" ph="1"/>
      <c r="AI195" s="105" ph="1"/>
      <c r="AJ195" s="105" ph="1"/>
      <c r="AK195" s="105" ph="1"/>
      <c r="AL195" s="105" ph="1"/>
      <c r="AM195" s="18" ph="1"/>
      <c r="AN195" s="105" ph="1"/>
      <c r="AO195" s="105" ph="1"/>
      <c r="AP195" s="105" ph="1"/>
      <c r="AQ195" s="18" ph="1"/>
      <c r="AR195" s="105" ph="1"/>
      <c r="AS195" s="105" ph="1"/>
      <c r="AT195" s="105" ph="1"/>
      <c r="AU195" s="18" ph="1"/>
      <c r="AV195" s="105" ph="1"/>
      <c r="AW195" s="105" ph="1"/>
      <c r="AX195" s="18" ph="1"/>
      <c r="AY195" s="105" ph="1"/>
      <c r="AZ195" s="105" ph="1"/>
      <c r="BA195" s="105" ph="1"/>
      <c r="BB195" s="105" ph="1"/>
      <c r="BC195" s="18" ph="1"/>
      <c r="BD195" s="89"/>
      <c r="BE195" s="89"/>
      <c r="BF195" s="89"/>
      <c r="BG195" s="89"/>
      <c r="BH195" s="89"/>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c r="DU195" s="20"/>
      <c r="DV195" s="20"/>
      <c r="DW195" s="20"/>
      <c r="DX195" s="20"/>
      <c r="DY195" s="20"/>
      <c r="DZ195" s="20"/>
      <c r="EA195" s="20"/>
      <c r="EB195" s="20"/>
      <c r="EC195" s="20"/>
      <c r="ED195" s="20"/>
      <c r="EE195" s="20"/>
      <c r="EF195" s="20"/>
      <c r="EG195" s="20"/>
      <c r="EH195" s="20"/>
      <c r="EI195" s="20"/>
      <c r="EJ195" s="20"/>
      <c r="EK195" s="20"/>
      <c r="EL195" s="20"/>
      <c r="EM195" s="20"/>
      <c r="EN195" s="20"/>
      <c r="EO195" s="20"/>
      <c r="EP195" s="20"/>
      <c r="EQ195" s="20"/>
      <c r="ER195" s="20"/>
      <c r="ES195" s="20"/>
      <c r="ET195" s="20"/>
      <c r="EU195" s="20"/>
      <c r="EV195" s="20"/>
      <c r="EW195" s="20"/>
      <c r="EX195" s="20"/>
      <c r="EY195" s="20"/>
      <c r="EZ195" s="20"/>
      <c r="FA195" s="20"/>
      <c r="FB195" s="20"/>
      <c r="FC195" s="20"/>
      <c r="FD195" s="20"/>
      <c r="FE195" s="20"/>
      <c r="FF195" s="20"/>
      <c r="FG195" s="20"/>
      <c r="FH195" s="20"/>
      <c r="FI195" s="20"/>
      <c r="FJ195" s="20"/>
      <c r="FK195" s="20"/>
      <c r="FL195" s="20"/>
      <c r="FM195" s="20"/>
      <c r="FN195" s="20"/>
      <c r="FO195" s="20"/>
      <c r="FP195" s="20"/>
      <c r="FQ195" s="20"/>
      <c r="FR195" s="20"/>
      <c r="FS195" s="20"/>
      <c r="FT195" s="20"/>
      <c r="FU195" s="20"/>
      <c r="FV195" s="20"/>
      <c r="FW195" s="20"/>
      <c r="FX195" s="20"/>
      <c r="FY195" s="20"/>
      <c r="FZ195" s="20"/>
      <c r="GA195" s="20"/>
      <c r="GB195" s="20"/>
      <c r="GC195" s="20"/>
      <c r="GD195" s="20"/>
      <c r="GE195" s="20"/>
      <c r="GF195" s="20"/>
      <c r="GG195" s="20"/>
      <c r="GH195" s="20"/>
      <c r="GI195" s="20"/>
      <c r="GJ195" s="20"/>
      <c r="GK195" s="20"/>
      <c r="GL195" s="20"/>
      <c r="GM195" s="20"/>
      <c r="GN195" s="20"/>
      <c r="GO195" s="20"/>
      <c r="GP195" s="20"/>
      <c r="GQ195" s="20"/>
      <c r="GR195" s="20"/>
      <c r="GS195" s="20"/>
      <c r="GT195" s="20"/>
      <c r="GU195" s="20"/>
      <c r="GV195" s="20"/>
      <c r="GW195" s="20"/>
      <c r="GX195" s="20"/>
      <c r="GY195" s="20"/>
      <c r="GZ195" s="20"/>
      <c r="HA195" s="20"/>
      <c r="HB195" s="20"/>
      <c r="HC195" s="20"/>
      <c r="HD195" s="20"/>
      <c r="HE195" s="20"/>
      <c r="HF195" s="20"/>
      <c r="HG195" s="20"/>
      <c r="HH195" s="20"/>
      <c r="HI195" s="20"/>
      <c r="HJ195" s="20"/>
      <c r="HK195" s="20"/>
      <c r="HL195" s="20"/>
      <c r="HM195" s="20"/>
      <c r="HN195" s="20"/>
      <c r="HO195" s="20"/>
      <c r="HP195" s="20"/>
      <c r="HQ195" s="20"/>
      <c r="HR195" s="20"/>
      <c r="HS195" s="20"/>
      <c r="HT195" s="20"/>
      <c r="HU195" s="20"/>
      <c r="HV195" s="20"/>
      <c r="HW195" s="20"/>
      <c r="HX195" s="20"/>
      <c r="HY195" s="20"/>
      <c r="HZ195" s="20"/>
      <c r="IA195" s="20"/>
      <c r="IB195" s="20"/>
      <c r="IC195" s="20"/>
      <c r="ID195" s="20"/>
      <c r="IE195" s="20"/>
      <c r="IF195" s="20"/>
      <c r="IG195" s="20"/>
      <c r="IH195" s="20"/>
      <c r="II195" s="20"/>
      <c r="IJ195" s="20"/>
      <c r="IK195" s="20"/>
      <c r="IL195" s="20"/>
      <c r="IM195" s="20"/>
      <c r="IN195" s="20"/>
      <c r="IO195" s="20"/>
      <c r="IP195" s="20"/>
      <c r="IQ195" s="20"/>
      <c r="IR195" s="20"/>
      <c r="IS195" s="20"/>
      <c r="IT195" s="20"/>
      <c r="IU195" s="20"/>
      <c r="IV195" s="20"/>
      <c r="IW195" s="20"/>
      <c r="IX195" s="20"/>
      <c r="IY195" s="20"/>
      <c r="IZ195" s="20"/>
      <c r="JA195" s="20"/>
      <c r="JB195" s="20"/>
      <c r="JC195" s="20"/>
      <c r="JD195" s="20"/>
      <c r="JE195" s="20"/>
      <c r="JF195" s="20"/>
      <c r="JG195" s="20"/>
      <c r="JH195" s="20"/>
      <c r="JI195" s="20"/>
    </row>
    <row r="196" spans="1:269">
      <c r="A196" s="61" ph="1"/>
      <c r="B196" s="20" ph="1"/>
      <c r="C196" s="20" ph="1"/>
      <c r="D196" s="27" ph="1"/>
      <c r="E196" s="27" ph="1"/>
      <c r="F196" s="27" ph="1"/>
      <c r="G196" s="18" ph="1"/>
      <c r="H196" s="27" ph="1"/>
      <c r="I196" s="27" ph="1"/>
      <c r="J196" s="18" ph="1"/>
      <c r="K196" s="27" ph="1"/>
      <c r="L196" s="27" ph="1"/>
      <c r="M196" s="18" ph="1"/>
      <c r="N196" s="27" ph="1"/>
      <c r="O196" s="27" ph="1"/>
      <c r="P196" s="18" ph="1"/>
      <c r="Q196" s="27" ph="1"/>
      <c r="R196" s="18" ph="1"/>
      <c r="S196" s="18" ph="1"/>
      <c r="T196" s="18" ph="1"/>
      <c r="U196" s="18" ph="1"/>
      <c r="V196" s="18" ph="1"/>
      <c r="W196" s="105" ph="1"/>
      <c r="X196" s="105" ph="1"/>
      <c r="Y196" s="18" ph="1"/>
      <c r="Z196" s="105" ph="1"/>
      <c r="AA196" s="105" ph="1"/>
      <c r="AB196" s="18" ph="1"/>
      <c r="AC196" s="105" ph="1"/>
      <c r="AD196" s="105" ph="1"/>
      <c r="AE196" s="18" ph="1"/>
      <c r="AF196" s="105" ph="1"/>
      <c r="AG196" s="105" ph="1"/>
      <c r="AH196" s="105" ph="1"/>
      <c r="AI196" s="105" ph="1"/>
      <c r="AJ196" s="105" ph="1"/>
      <c r="AK196" s="105" ph="1"/>
      <c r="AL196" s="105" ph="1"/>
      <c r="AM196" s="18" ph="1"/>
      <c r="AN196" s="105" ph="1"/>
      <c r="AO196" s="105" ph="1"/>
      <c r="AP196" s="105" ph="1"/>
      <c r="AQ196" s="18" ph="1"/>
      <c r="AR196" s="105" ph="1"/>
      <c r="AS196" s="105" ph="1"/>
      <c r="AT196" s="105" ph="1"/>
      <c r="AU196" s="18" ph="1"/>
      <c r="AV196" s="105" ph="1"/>
      <c r="AW196" s="105" ph="1"/>
      <c r="AX196" s="18" ph="1"/>
      <c r="AY196" s="105" ph="1"/>
      <c r="AZ196" s="105" ph="1"/>
      <c r="BA196" s="105" ph="1"/>
      <c r="BB196" s="105" ph="1"/>
      <c r="BC196" s="18" ph="1"/>
      <c r="BD196" s="89"/>
      <c r="BE196" s="89"/>
      <c r="BF196" s="89"/>
      <c r="BG196" s="89"/>
      <c r="BH196" s="89"/>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c r="DU196" s="20"/>
      <c r="DV196" s="20"/>
      <c r="DW196" s="20"/>
      <c r="DX196" s="20"/>
      <c r="DY196" s="20"/>
      <c r="DZ196" s="20"/>
      <c r="EA196" s="20"/>
      <c r="EB196" s="20"/>
      <c r="EC196" s="20"/>
      <c r="ED196" s="20"/>
      <c r="EE196" s="20"/>
      <c r="EF196" s="20"/>
      <c r="EG196" s="20"/>
      <c r="EH196" s="20"/>
      <c r="EI196" s="20"/>
      <c r="EJ196" s="20"/>
      <c r="EK196" s="20"/>
      <c r="EL196" s="20"/>
      <c r="EM196" s="20"/>
      <c r="EN196" s="20"/>
      <c r="EO196" s="20"/>
      <c r="EP196" s="20"/>
      <c r="EQ196" s="20"/>
      <c r="ER196" s="20"/>
      <c r="ES196" s="20"/>
      <c r="ET196" s="20"/>
      <c r="EU196" s="20"/>
      <c r="EV196" s="20"/>
      <c r="EW196" s="20"/>
      <c r="EX196" s="20"/>
      <c r="EY196" s="20"/>
      <c r="EZ196" s="20"/>
      <c r="FA196" s="20"/>
      <c r="FB196" s="20"/>
      <c r="FC196" s="20"/>
      <c r="FD196" s="20"/>
      <c r="FE196" s="20"/>
      <c r="FF196" s="20"/>
      <c r="FG196" s="20"/>
      <c r="FH196" s="20"/>
      <c r="FI196" s="20"/>
      <c r="FJ196" s="20"/>
      <c r="FK196" s="20"/>
      <c r="FL196" s="20"/>
      <c r="FM196" s="20"/>
      <c r="FN196" s="20"/>
      <c r="FO196" s="20"/>
      <c r="FP196" s="20"/>
      <c r="FQ196" s="20"/>
      <c r="FR196" s="20"/>
      <c r="FS196" s="20"/>
      <c r="FT196" s="20"/>
      <c r="FU196" s="20"/>
      <c r="FV196" s="20"/>
      <c r="FW196" s="20"/>
      <c r="FX196" s="20"/>
      <c r="FY196" s="20"/>
      <c r="FZ196" s="20"/>
      <c r="GA196" s="20"/>
      <c r="GB196" s="20"/>
      <c r="GC196" s="20"/>
      <c r="GD196" s="20"/>
      <c r="GE196" s="20"/>
      <c r="GF196" s="20"/>
      <c r="GG196" s="20"/>
      <c r="GH196" s="20"/>
      <c r="GI196" s="20"/>
      <c r="GJ196" s="20"/>
      <c r="GK196" s="20"/>
      <c r="GL196" s="20"/>
      <c r="GM196" s="20"/>
      <c r="GN196" s="20"/>
      <c r="GO196" s="20"/>
      <c r="GP196" s="20"/>
      <c r="GQ196" s="20"/>
      <c r="GR196" s="20"/>
      <c r="GS196" s="20"/>
      <c r="GT196" s="20"/>
      <c r="GU196" s="20"/>
      <c r="GV196" s="20"/>
      <c r="GW196" s="20"/>
      <c r="GX196" s="20"/>
      <c r="GY196" s="20"/>
      <c r="GZ196" s="20"/>
      <c r="HA196" s="20"/>
      <c r="HB196" s="20"/>
      <c r="HC196" s="20"/>
      <c r="HD196" s="20"/>
      <c r="HE196" s="20"/>
      <c r="HF196" s="20"/>
      <c r="HG196" s="20"/>
      <c r="HH196" s="20"/>
      <c r="HI196" s="20"/>
      <c r="HJ196" s="20"/>
      <c r="HK196" s="20"/>
      <c r="HL196" s="20"/>
      <c r="HM196" s="20"/>
      <c r="HN196" s="20"/>
      <c r="HO196" s="20"/>
      <c r="HP196" s="20"/>
      <c r="HQ196" s="20"/>
      <c r="HR196" s="20"/>
      <c r="HS196" s="20"/>
      <c r="HT196" s="20"/>
      <c r="HU196" s="20"/>
      <c r="HV196" s="20"/>
      <c r="HW196" s="20"/>
      <c r="HX196" s="20"/>
      <c r="HY196" s="20"/>
      <c r="HZ196" s="20"/>
      <c r="IA196" s="20"/>
      <c r="IB196" s="20"/>
      <c r="IC196" s="20"/>
      <c r="ID196" s="20"/>
      <c r="IE196" s="20"/>
      <c r="IF196" s="20"/>
      <c r="IG196" s="20"/>
      <c r="IH196" s="20"/>
      <c r="II196" s="20"/>
      <c r="IJ196" s="20"/>
      <c r="IK196" s="20"/>
      <c r="IL196" s="20"/>
      <c r="IM196" s="20"/>
      <c r="IN196" s="20"/>
      <c r="IO196" s="20"/>
      <c r="IP196" s="20"/>
      <c r="IQ196" s="20"/>
      <c r="IR196" s="20"/>
      <c r="IS196" s="20"/>
      <c r="IT196" s="20"/>
      <c r="IU196" s="20"/>
      <c r="IV196" s="20"/>
      <c r="IW196" s="20"/>
      <c r="IX196" s="20"/>
      <c r="IY196" s="20"/>
      <c r="IZ196" s="20"/>
      <c r="JA196" s="20"/>
      <c r="JB196" s="20"/>
      <c r="JC196" s="20"/>
      <c r="JD196" s="20"/>
      <c r="JE196" s="20"/>
      <c r="JF196" s="20"/>
      <c r="JG196" s="20"/>
      <c r="JH196" s="20"/>
      <c r="JI196" s="20"/>
    </row>
    <row r="197" spans="1:269">
      <c r="A197" s="61" ph="1"/>
      <c r="B197" s="20" ph="1"/>
      <c r="C197" s="20" ph="1"/>
      <c r="D197" s="27" ph="1"/>
      <c r="E197" s="27" ph="1"/>
      <c r="F197" s="27" ph="1"/>
      <c r="G197" s="18" ph="1"/>
      <c r="H197" s="27" ph="1"/>
      <c r="I197" s="27" ph="1"/>
      <c r="J197" s="18" ph="1"/>
      <c r="K197" s="27" ph="1"/>
      <c r="L197" s="27" ph="1"/>
      <c r="M197" s="18" ph="1"/>
      <c r="N197" s="27" ph="1"/>
      <c r="O197" s="27" ph="1"/>
      <c r="P197" s="18" ph="1"/>
      <c r="Q197" s="27" ph="1"/>
      <c r="R197" s="18" ph="1"/>
      <c r="S197" s="18" ph="1"/>
      <c r="T197" s="18" ph="1"/>
      <c r="U197" s="18" ph="1"/>
      <c r="V197" s="18" ph="1"/>
      <c r="W197" s="105" ph="1"/>
      <c r="X197" s="105" ph="1"/>
      <c r="Y197" s="18" ph="1"/>
      <c r="Z197" s="105" ph="1"/>
      <c r="AA197" s="105" ph="1"/>
      <c r="AB197" s="18" ph="1"/>
      <c r="AC197" s="105" ph="1"/>
      <c r="AD197" s="105" ph="1"/>
      <c r="AE197" s="18" ph="1"/>
      <c r="AF197" s="105" ph="1"/>
      <c r="AG197" s="105" ph="1"/>
      <c r="AH197" s="105" ph="1"/>
      <c r="AI197" s="105" ph="1"/>
      <c r="AJ197" s="105" ph="1"/>
      <c r="AK197" s="105" ph="1"/>
      <c r="AL197" s="105" ph="1"/>
      <c r="AM197" s="18" ph="1"/>
      <c r="AN197" s="105" ph="1"/>
      <c r="AO197" s="105" ph="1"/>
      <c r="AP197" s="105" ph="1"/>
      <c r="AQ197" s="18" ph="1"/>
      <c r="AR197" s="105" ph="1"/>
      <c r="AS197" s="105" ph="1"/>
      <c r="AT197" s="105" ph="1"/>
      <c r="AU197" s="18" ph="1"/>
      <c r="AV197" s="105" ph="1"/>
      <c r="AW197" s="105" ph="1"/>
      <c r="AX197" s="18" ph="1"/>
      <c r="AY197" s="105" ph="1"/>
      <c r="AZ197" s="105" ph="1"/>
      <c r="BA197" s="105" ph="1"/>
      <c r="BB197" s="105" ph="1"/>
      <c r="BC197" s="18" ph="1"/>
      <c r="BD197" s="89"/>
      <c r="BE197" s="89"/>
      <c r="BF197" s="89"/>
      <c r="BG197" s="89"/>
      <c r="BH197" s="89"/>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c r="DU197" s="20"/>
      <c r="DV197" s="20"/>
      <c r="DW197" s="20"/>
      <c r="DX197" s="20"/>
      <c r="DY197" s="20"/>
      <c r="DZ197" s="20"/>
      <c r="EA197" s="20"/>
      <c r="EB197" s="20"/>
      <c r="EC197" s="20"/>
      <c r="ED197" s="20"/>
      <c r="EE197" s="20"/>
      <c r="EF197" s="20"/>
      <c r="EG197" s="20"/>
      <c r="EH197" s="20"/>
      <c r="EI197" s="20"/>
      <c r="EJ197" s="20"/>
      <c r="EK197" s="20"/>
      <c r="EL197" s="20"/>
      <c r="EM197" s="20"/>
      <c r="EN197" s="20"/>
      <c r="EO197" s="20"/>
      <c r="EP197" s="20"/>
      <c r="EQ197" s="20"/>
      <c r="ER197" s="20"/>
      <c r="ES197" s="20"/>
      <c r="ET197" s="20"/>
      <c r="EU197" s="20"/>
      <c r="EV197" s="20"/>
      <c r="EW197" s="20"/>
      <c r="EX197" s="20"/>
      <c r="EY197" s="20"/>
      <c r="EZ197" s="20"/>
      <c r="FA197" s="20"/>
      <c r="FB197" s="20"/>
      <c r="FC197" s="20"/>
      <c r="FD197" s="20"/>
      <c r="FE197" s="20"/>
      <c r="FF197" s="20"/>
      <c r="FG197" s="20"/>
      <c r="FH197" s="20"/>
      <c r="FI197" s="20"/>
      <c r="FJ197" s="20"/>
      <c r="FK197" s="20"/>
      <c r="FL197" s="20"/>
      <c r="FM197" s="20"/>
      <c r="FN197" s="20"/>
      <c r="FO197" s="20"/>
      <c r="FP197" s="20"/>
      <c r="FQ197" s="20"/>
      <c r="FR197" s="20"/>
      <c r="FS197" s="20"/>
      <c r="FT197" s="20"/>
      <c r="FU197" s="20"/>
      <c r="FV197" s="20"/>
      <c r="FW197" s="20"/>
      <c r="FX197" s="20"/>
      <c r="FY197" s="20"/>
      <c r="FZ197" s="20"/>
      <c r="GA197" s="20"/>
      <c r="GB197" s="20"/>
      <c r="GC197" s="20"/>
      <c r="GD197" s="20"/>
      <c r="GE197" s="20"/>
      <c r="GF197" s="20"/>
      <c r="GG197" s="20"/>
      <c r="GH197" s="20"/>
      <c r="GI197" s="20"/>
      <c r="GJ197" s="20"/>
      <c r="GK197" s="20"/>
      <c r="GL197" s="20"/>
      <c r="GM197" s="20"/>
      <c r="GN197" s="20"/>
      <c r="GO197" s="20"/>
      <c r="GP197" s="20"/>
      <c r="GQ197" s="20"/>
      <c r="GR197" s="20"/>
      <c r="GS197" s="20"/>
      <c r="GT197" s="20"/>
      <c r="GU197" s="20"/>
      <c r="GV197" s="20"/>
      <c r="GW197" s="20"/>
      <c r="GX197" s="20"/>
      <c r="GY197" s="20"/>
      <c r="GZ197" s="20"/>
      <c r="HA197" s="20"/>
      <c r="HB197" s="20"/>
      <c r="HC197" s="20"/>
      <c r="HD197" s="20"/>
      <c r="HE197" s="20"/>
      <c r="HF197" s="20"/>
      <c r="HG197" s="20"/>
      <c r="HH197" s="20"/>
      <c r="HI197" s="20"/>
      <c r="HJ197" s="20"/>
      <c r="HK197" s="20"/>
      <c r="HL197" s="20"/>
      <c r="HM197" s="20"/>
      <c r="HN197" s="20"/>
      <c r="HO197" s="20"/>
      <c r="HP197" s="20"/>
      <c r="HQ197" s="20"/>
      <c r="HR197" s="20"/>
      <c r="HS197" s="20"/>
      <c r="HT197" s="20"/>
      <c r="HU197" s="20"/>
      <c r="HV197" s="20"/>
      <c r="HW197" s="20"/>
      <c r="HX197" s="20"/>
      <c r="HY197" s="20"/>
      <c r="HZ197" s="20"/>
      <c r="IA197" s="20"/>
      <c r="IB197" s="20"/>
      <c r="IC197" s="20"/>
      <c r="ID197" s="20"/>
      <c r="IE197" s="20"/>
      <c r="IF197" s="20"/>
      <c r="IG197" s="20"/>
      <c r="IH197" s="20"/>
      <c r="II197" s="20"/>
      <c r="IJ197" s="20"/>
      <c r="IK197" s="20"/>
      <c r="IL197" s="20"/>
      <c r="IM197" s="20"/>
      <c r="IN197" s="20"/>
      <c r="IO197" s="20"/>
      <c r="IP197" s="20"/>
      <c r="IQ197" s="20"/>
      <c r="IR197" s="20"/>
      <c r="IS197" s="20"/>
      <c r="IT197" s="20"/>
      <c r="IU197" s="20"/>
      <c r="IV197" s="20"/>
      <c r="IW197" s="20"/>
      <c r="IX197" s="20"/>
      <c r="IY197" s="20"/>
      <c r="IZ197" s="20"/>
      <c r="JA197" s="20"/>
      <c r="JB197" s="20"/>
      <c r="JC197" s="20"/>
      <c r="JD197" s="20"/>
      <c r="JE197" s="20"/>
      <c r="JF197" s="20"/>
      <c r="JG197" s="20"/>
      <c r="JH197" s="20"/>
      <c r="JI197" s="20"/>
    </row>
    <row r="198" spans="1:269">
      <c r="A198" s="61" ph="1"/>
      <c r="B198" s="20" ph="1"/>
      <c r="C198" s="20" ph="1"/>
      <c r="D198" s="27" ph="1"/>
      <c r="E198" s="27" ph="1"/>
      <c r="F198" s="27" ph="1"/>
      <c r="G198" s="18" ph="1"/>
      <c r="H198" s="27" ph="1"/>
      <c r="I198" s="27" ph="1"/>
      <c r="J198" s="18" ph="1"/>
      <c r="K198" s="27" ph="1"/>
      <c r="L198" s="27" ph="1"/>
      <c r="M198" s="18" ph="1"/>
      <c r="N198" s="27" ph="1"/>
      <c r="O198" s="27" ph="1"/>
      <c r="P198" s="18" ph="1"/>
      <c r="Q198" s="27" ph="1"/>
      <c r="R198" s="18" ph="1"/>
      <c r="S198" s="18" ph="1"/>
      <c r="T198" s="18" ph="1"/>
      <c r="U198" s="18" ph="1"/>
      <c r="V198" s="18" ph="1"/>
      <c r="W198" s="105" ph="1"/>
      <c r="X198" s="105" ph="1"/>
      <c r="Y198" s="18" ph="1"/>
      <c r="Z198" s="105" ph="1"/>
      <c r="AA198" s="105" ph="1"/>
      <c r="AB198" s="18" ph="1"/>
      <c r="AC198" s="105" ph="1"/>
      <c r="AD198" s="105" ph="1"/>
      <c r="AE198" s="18" ph="1"/>
      <c r="AF198" s="105" ph="1"/>
      <c r="AG198" s="105" ph="1"/>
      <c r="AH198" s="105" ph="1"/>
      <c r="AI198" s="105" ph="1"/>
      <c r="AJ198" s="105" ph="1"/>
      <c r="AK198" s="105" ph="1"/>
      <c r="AL198" s="105" ph="1"/>
      <c r="AM198" s="18" ph="1"/>
      <c r="AN198" s="105" ph="1"/>
      <c r="AO198" s="105" ph="1"/>
      <c r="AP198" s="105" ph="1"/>
      <c r="AQ198" s="18" ph="1"/>
      <c r="AR198" s="105" ph="1"/>
      <c r="AS198" s="105" ph="1"/>
      <c r="AT198" s="105" ph="1"/>
      <c r="AU198" s="18" ph="1"/>
      <c r="AV198" s="105" ph="1"/>
      <c r="AW198" s="105" ph="1"/>
      <c r="AX198" s="18" ph="1"/>
      <c r="AY198" s="105" ph="1"/>
      <c r="AZ198" s="105" ph="1"/>
      <c r="BA198" s="105" ph="1"/>
      <c r="BB198" s="105" ph="1"/>
      <c r="BC198" s="18" ph="1"/>
      <c r="BD198" s="89"/>
      <c r="BE198" s="89"/>
      <c r="BF198" s="89"/>
      <c r="BG198" s="89"/>
      <c r="BH198" s="89"/>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c r="DU198" s="20"/>
      <c r="DV198" s="20"/>
      <c r="DW198" s="20"/>
      <c r="DX198" s="20"/>
      <c r="DY198" s="20"/>
      <c r="DZ198" s="20"/>
      <c r="EA198" s="20"/>
      <c r="EB198" s="20"/>
      <c r="EC198" s="20"/>
      <c r="ED198" s="20"/>
      <c r="EE198" s="20"/>
      <c r="EF198" s="20"/>
      <c r="EG198" s="20"/>
      <c r="EH198" s="20"/>
      <c r="EI198" s="20"/>
      <c r="EJ198" s="20"/>
      <c r="EK198" s="20"/>
      <c r="EL198" s="20"/>
      <c r="EM198" s="20"/>
      <c r="EN198" s="20"/>
      <c r="EO198" s="20"/>
      <c r="EP198" s="20"/>
      <c r="EQ198" s="20"/>
      <c r="ER198" s="20"/>
      <c r="ES198" s="20"/>
      <c r="ET198" s="20"/>
      <c r="EU198" s="20"/>
      <c r="EV198" s="20"/>
      <c r="EW198" s="20"/>
      <c r="EX198" s="20"/>
      <c r="EY198" s="20"/>
      <c r="EZ198" s="20"/>
      <c r="FA198" s="20"/>
      <c r="FB198" s="20"/>
      <c r="FC198" s="20"/>
      <c r="FD198" s="20"/>
      <c r="FE198" s="20"/>
      <c r="FF198" s="20"/>
      <c r="FG198" s="20"/>
      <c r="FH198" s="20"/>
      <c r="FI198" s="20"/>
      <c r="FJ198" s="20"/>
      <c r="FK198" s="20"/>
      <c r="FL198" s="20"/>
      <c r="FM198" s="20"/>
      <c r="FN198" s="20"/>
      <c r="FO198" s="20"/>
      <c r="FP198" s="20"/>
      <c r="FQ198" s="20"/>
      <c r="FR198" s="20"/>
      <c r="FS198" s="20"/>
      <c r="FT198" s="20"/>
      <c r="FU198" s="20"/>
      <c r="FV198" s="20"/>
      <c r="FW198" s="20"/>
      <c r="FX198" s="20"/>
      <c r="FY198" s="20"/>
      <c r="FZ198" s="20"/>
      <c r="GA198" s="20"/>
      <c r="GB198" s="20"/>
      <c r="GC198" s="20"/>
      <c r="GD198" s="20"/>
      <c r="GE198" s="20"/>
      <c r="GF198" s="20"/>
      <c r="GG198" s="20"/>
      <c r="GH198" s="20"/>
      <c r="GI198" s="20"/>
      <c r="GJ198" s="20"/>
      <c r="GK198" s="20"/>
      <c r="GL198" s="20"/>
      <c r="GM198" s="20"/>
      <c r="GN198" s="20"/>
      <c r="GO198" s="20"/>
      <c r="GP198" s="20"/>
      <c r="GQ198" s="20"/>
      <c r="GR198" s="20"/>
      <c r="GS198" s="20"/>
      <c r="GT198" s="20"/>
      <c r="GU198" s="20"/>
      <c r="GV198" s="20"/>
      <c r="GW198" s="20"/>
      <c r="GX198" s="20"/>
      <c r="GY198" s="20"/>
      <c r="GZ198" s="20"/>
      <c r="HA198" s="20"/>
      <c r="HB198" s="20"/>
      <c r="HC198" s="20"/>
      <c r="HD198" s="20"/>
      <c r="HE198" s="20"/>
      <c r="HF198" s="20"/>
      <c r="HG198" s="20"/>
      <c r="HH198" s="20"/>
      <c r="HI198" s="20"/>
      <c r="HJ198" s="20"/>
      <c r="HK198" s="20"/>
      <c r="HL198" s="20"/>
      <c r="HM198" s="20"/>
      <c r="HN198" s="20"/>
      <c r="HO198" s="20"/>
      <c r="HP198" s="20"/>
      <c r="HQ198" s="20"/>
      <c r="HR198" s="20"/>
      <c r="HS198" s="20"/>
      <c r="HT198" s="20"/>
      <c r="HU198" s="20"/>
      <c r="HV198" s="20"/>
      <c r="HW198" s="20"/>
      <c r="HX198" s="20"/>
      <c r="HY198" s="20"/>
      <c r="HZ198" s="20"/>
      <c r="IA198" s="20"/>
      <c r="IB198" s="20"/>
      <c r="IC198" s="20"/>
      <c r="ID198" s="20"/>
      <c r="IE198" s="20"/>
      <c r="IF198" s="20"/>
      <c r="IG198" s="20"/>
      <c r="IH198" s="20"/>
      <c r="II198" s="20"/>
      <c r="IJ198" s="20"/>
      <c r="IK198" s="20"/>
      <c r="IL198" s="20"/>
      <c r="IM198" s="20"/>
      <c r="IN198" s="20"/>
      <c r="IO198" s="20"/>
      <c r="IP198" s="20"/>
      <c r="IQ198" s="20"/>
      <c r="IR198" s="20"/>
      <c r="IS198" s="20"/>
      <c r="IT198" s="20"/>
      <c r="IU198" s="20"/>
      <c r="IV198" s="20"/>
      <c r="IW198" s="20"/>
      <c r="IX198" s="20"/>
      <c r="IY198" s="20"/>
      <c r="IZ198" s="20"/>
      <c r="JA198" s="20"/>
      <c r="JB198" s="20"/>
      <c r="JC198" s="20"/>
      <c r="JD198" s="20"/>
      <c r="JE198" s="20"/>
      <c r="JF198" s="20"/>
      <c r="JG198" s="20"/>
      <c r="JH198" s="20"/>
      <c r="JI198" s="20"/>
    </row>
    <row r="199" spans="1:269">
      <c r="A199" s="61" ph="1"/>
      <c r="B199" s="20" ph="1"/>
      <c r="C199" s="20" ph="1"/>
      <c r="D199" s="27" ph="1"/>
      <c r="E199" s="27" ph="1"/>
      <c r="F199" s="27" ph="1"/>
      <c r="G199" s="18" ph="1"/>
      <c r="H199" s="27" ph="1"/>
      <c r="I199" s="27" ph="1"/>
      <c r="J199" s="18" ph="1"/>
      <c r="K199" s="27" ph="1"/>
      <c r="L199" s="27" ph="1"/>
      <c r="M199" s="18" ph="1"/>
      <c r="N199" s="27" ph="1"/>
      <c r="O199" s="27" ph="1"/>
      <c r="P199" s="18" ph="1"/>
      <c r="Q199" s="27" ph="1"/>
      <c r="R199" s="18" ph="1"/>
      <c r="S199" s="18" ph="1"/>
      <c r="T199" s="18" ph="1"/>
      <c r="U199" s="18" ph="1"/>
      <c r="V199" s="18" ph="1"/>
      <c r="W199" s="105" ph="1"/>
      <c r="X199" s="105" ph="1"/>
      <c r="Y199" s="18" ph="1"/>
      <c r="Z199" s="105" ph="1"/>
      <c r="AA199" s="105" ph="1"/>
      <c r="AB199" s="18" ph="1"/>
      <c r="AC199" s="105" ph="1"/>
      <c r="AD199" s="105" ph="1"/>
      <c r="AE199" s="18" ph="1"/>
      <c r="AF199" s="105" ph="1"/>
      <c r="AG199" s="105" ph="1"/>
      <c r="AH199" s="105" ph="1"/>
      <c r="AI199" s="105" ph="1"/>
      <c r="AJ199" s="105" ph="1"/>
      <c r="AK199" s="105" ph="1"/>
      <c r="AL199" s="105" ph="1"/>
      <c r="AM199" s="18" ph="1"/>
      <c r="AN199" s="105" ph="1"/>
      <c r="AO199" s="105" ph="1"/>
      <c r="AP199" s="105" ph="1"/>
      <c r="AQ199" s="18" ph="1"/>
      <c r="AR199" s="105" ph="1"/>
      <c r="AS199" s="105" ph="1"/>
      <c r="AT199" s="105" ph="1"/>
      <c r="AU199" s="18" ph="1"/>
      <c r="AV199" s="105" ph="1"/>
      <c r="AW199" s="105" ph="1"/>
      <c r="AX199" s="18" ph="1"/>
      <c r="AY199" s="105" ph="1"/>
      <c r="AZ199" s="105" ph="1"/>
      <c r="BA199" s="105" ph="1"/>
      <c r="BB199" s="105" ph="1"/>
      <c r="BC199" s="18" ph="1"/>
      <c r="BD199" s="89"/>
      <c r="BE199" s="89"/>
      <c r="BF199" s="89"/>
      <c r="BG199" s="89"/>
      <c r="BH199" s="89"/>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c r="DU199" s="20"/>
      <c r="DV199" s="20"/>
      <c r="DW199" s="20"/>
      <c r="DX199" s="20"/>
      <c r="DY199" s="20"/>
      <c r="DZ199" s="20"/>
      <c r="EA199" s="20"/>
      <c r="EB199" s="20"/>
      <c r="EC199" s="20"/>
      <c r="ED199" s="20"/>
      <c r="EE199" s="20"/>
      <c r="EF199" s="20"/>
      <c r="EG199" s="20"/>
      <c r="EH199" s="20"/>
      <c r="EI199" s="20"/>
      <c r="EJ199" s="20"/>
      <c r="EK199" s="20"/>
      <c r="EL199" s="20"/>
      <c r="EM199" s="20"/>
      <c r="EN199" s="20"/>
      <c r="EO199" s="20"/>
      <c r="EP199" s="20"/>
      <c r="EQ199" s="20"/>
      <c r="ER199" s="20"/>
      <c r="ES199" s="20"/>
      <c r="ET199" s="20"/>
      <c r="EU199" s="20"/>
      <c r="EV199" s="20"/>
      <c r="EW199" s="20"/>
      <c r="EX199" s="20"/>
      <c r="EY199" s="20"/>
      <c r="EZ199" s="20"/>
      <c r="FA199" s="20"/>
      <c r="FB199" s="20"/>
      <c r="FC199" s="20"/>
      <c r="FD199" s="20"/>
      <c r="FE199" s="20"/>
      <c r="FF199" s="20"/>
      <c r="FG199" s="20"/>
      <c r="FH199" s="20"/>
      <c r="FI199" s="20"/>
      <c r="FJ199" s="20"/>
      <c r="FK199" s="20"/>
      <c r="FL199" s="20"/>
      <c r="FM199" s="20"/>
      <c r="FN199" s="20"/>
      <c r="FO199" s="20"/>
      <c r="FP199" s="20"/>
      <c r="FQ199" s="20"/>
      <c r="FR199" s="20"/>
      <c r="FS199" s="20"/>
      <c r="FT199" s="20"/>
      <c r="FU199" s="20"/>
      <c r="FV199" s="20"/>
      <c r="FW199" s="20"/>
      <c r="FX199" s="20"/>
      <c r="FY199" s="20"/>
      <c r="FZ199" s="20"/>
      <c r="GA199" s="20"/>
      <c r="GB199" s="20"/>
      <c r="GC199" s="20"/>
      <c r="GD199" s="20"/>
      <c r="GE199" s="20"/>
      <c r="GF199" s="20"/>
      <c r="GG199" s="20"/>
      <c r="GH199" s="20"/>
      <c r="GI199" s="20"/>
      <c r="GJ199" s="20"/>
      <c r="GK199" s="20"/>
      <c r="GL199" s="20"/>
      <c r="GM199" s="20"/>
      <c r="GN199" s="20"/>
      <c r="GO199" s="20"/>
      <c r="GP199" s="20"/>
      <c r="GQ199" s="20"/>
      <c r="GR199" s="20"/>
      <c r="GS199" s="20"/>
      <c r="GT199" s="20"/>
      <c r="GU199" s="20"/>
      <c r="GV199" s="20"/>
      <c r="GW199" s="20"/>
      <c r="GX199" s="20"/>
      <c r="GY199" s="20"/>
      <c r="GZ199" s="20"/>
      <c r="HA199" s="20"/>
      <c r="HB199" s="20"/>
      <c r="HC199" s="20"/>
      <c r="HD199" s="20"/>
      <c r="HE199" s="20"/>
      <c r="HF199" s="20"/>
      <c r="HG199" s="20"/>
      <c r="HH199" s="20"/>
      <c r="HI199" s="20"/>
      <c r="HJ199" s="20"/>
      <c r="HK199" s="20"/>
      <c r="HL199" s="20"/>
      <c r="HM199" s="20"/>
      <c r="HN199" s="20"/>
      <c r="HO199" s="20"/>
      <c r="HP199" s="20"/>
      <c r="HQ199" s="20"/>
      <c r="HR199" s="20"/>
      <c r="HS199" s="20"/>
      <c r="HT199" s="20"/>
      <c r="HU199" s="20"/>
      <c r="HV199" s="20"/>
      <c r="HW199" s="20"/>
      <c r="HX199" s="20"/>
      <c r="HY199" s="20"/>
      <c r="HZ199" s="20"/>
      <c r="IA199" s="20"/>
      <c r="IB199" s="20"/>
      <c r="IC199" s="20"/>
      <c r="ID199" s="20"/>
      <c r="IE199" s="20"/>
      <c r="IF199" s="20"/>
      <c r="IG199" s="20"/>
      <c r="IH199" s="20"/>
      <c r="II199" s="20"/>
      <c r="IJ199" s="20"/>
      <c r="IK199" s="20"/>
      <c r="IL199" s="20"/>
      <c r="IM199" s="20"/>
      <c r="IN199" s="20"/>
      <c r="IO199" s="20"/>
      <c r="IP199" s="20"/>
      <c r="IQ199" s="20"/>
      <c r="IR199" s="20"/>
      <c r="IS199" s="20"/>
      <c r="IT199" s="20"/>
      <c r="IU199" s="20"/>
      <c r="IV199" s="20"/>
      <c r="IW199" s="20"/>
      <c r="IX199" s="20"/>
      <c r="IY199" s="20"/>
      <c r="IZ199" s="20"/>
      <c r="JA199" s="20"/>
      <c r="JB199" s="20"/>
      <c r="JC199" s="20"/>
      <c r="JD199" s="20"/>
      <c r="JE199" s="20"/>
      <c r="JF199" s="20"/>
      <c r="JG199" s="20"/>
      <c r="JH199" s="20"/>
      <c r="JI199" s="20"/>
    </row>
    <row r="200" spans="1:269">
      <c r="A200" s="61" ph="1"/>
      <c r="B200" s="20" ph="1"/>
      <c r="C200" s="20" ph="1"/>
      <c r="D200" s="27" ph="1"/>
      <c r="E200" s="27" ph="1"/>
      <c r="F200" s="27" ph="1"/>
      <c r="G200" s="18" ph="1"/>
      <c r="H200" s="27" ph="1"/>
      <c r="I200" s="27" ph="1"/>
      <c r="J200" s="18" ph="1"/>
      <c r="K200" s="27" ph="1"/>
      <c r="L200" s="27" ph="1"/>
      <c r="M200" s="18" ph="1"/>
      <c r="N200" s="27" ph="1"/>
      <c r="O200" s="27" ph="1"/>
      <c r="P200" s="18" ph="1"/>
      <c r="Q200" s="27" ph="1"/>
      <c r="R200" s="18" ph="1"/>
      <c r="S200" s="18" ph="1"/>
      <c r="T200" s="18" ph="1"/>
      <c r="U200" s="18" ph="1"/>
      <c r="V200" s="18" ph="1"/>
      <c r="W200" s="105" ph="1"/>
      <c r="X200" s="105" ph="1"/>
      <c r="Y200" s="18" ph="1"/>
      <c r="Z200" s="105" ph="1"/>
      <c r="AA200" s="105" ph="1"/>
      <c r="AB200" s="18" ph="1"/>
      <c r="AC200" s="105" ph="1"/>
      <c r="AD200" s="105" ph="1"/>
      <c r="AE200" s="18" ph="1"/>
      <c r="AF200" s="105" ph="1"/>
      <c r="AG200" s="105" ph="1"/>
      <c r="AH200" s="105" ph="1"/>
      <c r="AI200" s="105" ph="1"/>
      <c r="AJ200" s="105" ph="1"/>
      <c r="AK200" s="105" ph="1"/>
      <c r="AL200" s="105" ph="1"/>
      <c r="AM200" s="18" ph="1"/>
      <c r="AN200" s="105" ph="1"/>
      <c r="AO200" s="105" ph="1"/>
      <c r="AP200" s="105" ph="1"/>
      <c r="AQ200" s="18" ph="1"/>
      <c r="AR200" s="105" ph="1"/>
      <c r="AS200" s="105" ph="1"/>
      <c r="AT200" s="105" ph="1"/>
      <c r="AU200" s="18" ph="1"/>
      <c r="AV200" s="105" ph="1"/>
      <c r="AW200" s="105" ph="1"/>
      <c r="AX200" s="18" ph="1"/>
      <c r="AY200" s="105" ph="1"/>
      <c r="AZ200" s="105" ph="1"/>
      <c r="BA200" s="105" ph="1"/>
      <c r="BB200" s="105" ph="1"/>
      <c r="BC200" s="18" ph="1"/>
      <c r="BD200" s="89"/>
      <c r="BE200" s="89"/>
      <c r="BF200" s="89"/>
      <c r="BG200" s="89"/>
      <c r="BH200" s="89"/>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c r="DU200" s="20"/>
      <c r="DV200" s="20"/>
      <c r="DW200" s="20"/>
      <c r="DX200" s="20"/>
      <c r="DY200" s="20"/>
      <c r="DZ200" s="20"/>
      <c r="EA200" s="20"/>
      <c r="EB200" s="20"/>
      <c r="EC200" s="20"/>
      <c r="ED200" s="20"/>
      <c r="EE200" s="20"/>
      <c r="EF200" s="20"/>
      <c r="EG200" s="20"/>
      <c r="EH200" s="20"/>
      <c r="EI200" s="20"/>
      <c r="EJ200" s="20"/>
      <c r="EK200" s="20"/>
      <c r="EL200" s="20"/>
      <c r="EM200" s="20"/>
      <c r="EN200" s="20"/>
      <c r="EO200" s="20"/>
      <c r="EP200" s="20"/>
      <c r="EQ200" s="20"/>
      <c r="ER200" s="20"/>
      <c r="ES200" s="20"/>
      <c r="ET200" s="20"/>
      <c r="EU200" s="20"/>
      <c r="EV200" s="20"/>
      <c r="EW200" s="20"/>
      <c r="EX200" s="20"/>
      <c r="EY200" s="20"/>
      <c r="EZ200" s="20"/>
      <c r="FA200" s="20"/>
      <c r="FB200" s="20"/>
      <c r="FC200" s="20"/>
      <c r="FD200" s="20"/>
      <c r="FE200" s="20"/>
      <c r="FF200" s="20"/>
      <c r="FG200" s="20"/>
      <c r="FH200" s="20"/>
      <c r="FI200" s="20"/>
      <c r="FJ200" s="20"/>
      <c r="FK200" s="20"/>
      <c r="FL200" s="20"/>
      <c r="FM200" s="20"/>
      <c r="FN200" s="20"/>
      <c r="FO200" s="20"/>
      <c r="FP200" s="20"/>
      <c r="FQ200" s="20"/>
      <c r="FR200" s="20"/>
      <c r="FS200" s="20"/>
      <c r="FT200" s="20"/>
      <c r="FU200" s="20"/>
      <c r="FV200" s="20"/>
      <c r="FW200" s="20"/>
      <c r="FX200" s="20"/>
      <c r="FY200" s="20"/>
      <c r="FZ200" s="20"/>
      <c r="GA200" s="20"/>
      <c r="GB200" s="20"/>
      <c r="GC200" s="20"/>
      <c r="GD200" s="20"/>
      <c r="GE200" s="20"/>
      <c r="GF200" s="20"/>
      <c r="GG200" s="20"/>
      <c r="GH200" s="20"/>
      <c r="GI200" s="20"/>
      <c r="GJ200" s="20"/>
      <c r="GK200" s="20"/>
      <c r="GL200" s="20"/>
      <c r="GM200" s="20"/>
      <c r="GN200" s="20"/>
      <c r="GO200" s="20"/>
      <c r="GP200" s="20"/>
      <c r="GQ200" s="20"/>
      <c r="GR200" s="20"/>
      <c r="GS200" s="20"/>
      <c r="GT200" s="20"/>
      <c r="GU200" s="20"/>
      <c r="GV200" s="20"/>
      <c r="GW200" s="20"/>
      <c r="GX200" s="20"/>
      <c r="GY200" s="20"/>
      <c r="GZ200" s="20"/>
      <c r="HA200" s="20"/>
      <c r="HB200" s="20"/>
      <c r="HC200" s="20"/>
      <c r="HD200" s="20"/>
      <c r="HE200" s="20"/>
      <c r="HF200" s="20"/>
      <c r="HG200" s="20"/>
      <c r="HH200" s="20"/>
      <c r="HI200" s="20"/>
      <c r="HJ200" s="20"/>
      <c r="HK200" s="20"/>
      <c r="HL200" s="20"/>
      <c r="HM200" s="20"/>
      <c r="HN200" s="20"/>
      <c r="HO200" s="20"/>
      <c r="HP200" s="20"/>
      <c r="HQ200" s="20"/>
      <c r="HR200" s="20"/>
      <c r="HS200" s="20"/>
      <c r="HT200" s="20"/>
      <c r="HU200" s="20"/>
      <c r="HV200" s="20"/>
      <c r="HW200" s="20"/>
      <c r="HX200" s="20"/>
      <c r="HY200" s="20"/>
      <c r="HZ200" s="20"/>
      <c r="IA200" s="20"/>
      <c r="IB200" s="20"/>
      <c r="IC200" s="20"/>
      <c r="ID200" s="20"/>
      <c r="IE200" s="20"/>
      <c r="IF200" s="20"/>
      <c r="IG200" s="20"/>
      <c r="IH200" s="20"/>
      <c r="II200" s="20"/>
      <c r="IJ200" s="20"/>
      <c r="IK200" s="20"/>
      <c r="IL200" s="20"/>
      <c r="IM200" s="20"/>
      <c r="IN200" s="20"/>
      <c r="IO200" s="20"/>
      <c r="IP200" s="20"/>
      <c r="IQ200" s="20"/>
      <c r="IR200" s="20"/>
      <c r="IS200" s="20"/>
      <c r="IT200" s="20"/>
      <c r="IU200" s="20"/>
      <c r="IV200" s="20"/>
      <c r="IW200" s="20"/>
      <c r="IX200" s="20"/>
      <c r="IY200" s="20"/>
      <c r="IZ200" s="20"/>
      <c r="JA200" s="20"/>
      <c r="JB200" s="20"/>
      <c r="JC200" s="20"/>
      <c r="JD200" s="20"/>
      <c r="JE200" s="20"/>
      <c r="JF200" s="20"/>
      <c r="JG200" s="20"/>
      <c r="JH200" s="20"/>
      <c r="JI200" s="20"/>
    </row>
    <row r="201" spans="1:269">
      <c r="A201" s="61" ph="1"/>
      <c r="B201" s="20" ph="1"/>
      <c r="C201" s="20" ph="1"/>
      <c r="D201" s="27" ph="1"/>
      <c r="E201" s="27" ph="1"/>
      <c r="F201" s="27" ph="1"/>
      <c r="G201" s="18" ph="1"/>
      <c r="H201" s="27" ph="1"/>
      <c r="I201" s="27" ph="1"/>
      <c r="J201" s="18" ph="1"/>
      <c r="K201" s="27" ph="1"/>
      <c r="L201" s="27" ph="1"/>
      <c r="M201" s="18" ph="1"/>
      <c r="N201" s="27" ph="1"/>
      <c r="O201" s="27" ph="1"/>
      <c r="P201" s="18" ph="1"/>
      <c r="Q201" s="27" ph="1"/>
      <c r="R201" s="18" ph="1"/>
      <c r="S201" s="18" ph="1"/>
      <c r="T201" s="18" ph="1"/>
      <c r="U201" s="18" ph="1"/>
      <c r="V201" s="18" ph="1"/>
      <c r="W201" s="105" ph="1"/>
      <c r="X201" s="105" ph="1"/>
      <c r="Y201" s="18" ph="1"/>
      <c r="Z201" s="105" ph="1"/>
      <c r="AA201" s="105" ph="1"/>
      <c r="AB201" s="18" ph="1"/>
      <c r="AC201" s="105" ph="1"/>
      <c r="AD201" s="105" ph="1"/>
      <c r="AE201" s="18" ph="1"/>
      <c r="AF201" s="105" ph="1"/>
      <c r="AG201" s="105" ph="1"/>
      <c r="AH201" s="105" ph="1"/>
      <c r="AI201" s="105" ph="1"/>
      <c r="AJ201" s="105" ph="1"/>
      <c r="AK201" s="105" ph="1"/>
      <c r="AL201" s="105" ph="1"/>
      <c r="AM201" s="18" ph="1"/>
      <c r="AN201" s="105" ph="1"/>
      <c r="AO201" s="105" ph="1"/>
      <c r="AP201" s="105" ph="1"/>
      <c r="AQ201" s="18" ph="1"/>
      <c r="AR201" s="105" ph="1"/>
      <c r="AS201" s="105" ph="1"/>
      <c r="AT201" s="105" ph="1"/>
      <c r="AU201" s="18" ph="1"/>
      <c r="AV201" s="105" ph="1"/>
      <c r="AW201" s="105" ph="1"/>
      <c r="AX201" s="18" ph="1"/>
      <c r="AY201" s="105" ph="1"/>
      <c r="AZ201" s="105" ph="1"/>
      <c r="BA201" s="105" ph="1"/>
      <c r="BB201" s="105" ph="1"/>
      <c r="BC201" s="18" ph="1"/>
      <c r="BD201" s="89"/>
      <c r="BE201" s="89"/>
      <c r="BF201" s="89"/>
      <c r="BG201" s="89"/>
      <c r="BH201" s="89"/>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c r="DU201" s="20"/>
      <c r="DV201" s="20"/>
      <c r="DW201" s="20"/>
      <c r="DX201" s="20"/>
      <c r="DY201" s="20"/>
      <c r="DZ201" s="20"/>
      <c r="EA201" s="20"/>
      <c r="EB201" s="20"/>
      <c r="EC201" s="20"/>
      <c r="ED201" s="20"/>
      <c r="EE201" s="20"/>
      <c r="EF201" s="20"/>
      <c r="EG201" s="20"/>
      <c r="EH201" s="20"/>
      <c r="EI201" s="20"/>
      <c r="EJ201" s="20"/>
      <c r="EK201" s="20"/>
      <c r="EL201" s="20"/>
      <c r="EM201" s="20"/>
      <c r="EN201" s="20"/>
      <c r="EO201" s="20"/>
      <c r="EP201" s="20"/>
      <c r="EQ201" s="20"/>
      <c r="ER201" s="20"/>
      <c r="ES201" s="20"/>
      <c r="ET201" s="20"/>
      <c r="EU201" s="20"/>
      <c r="EV201" s="20"/>
      <c r="EW201" s="20"/>
      <c r="EX201" s="20"/>
      <c r="EY201" s="20"/>
      <c r="EZ201" s="20"/>
      <c r="FA201" s="20"/>
      <c r="FB201" s="20"/>
      <c r="FC201" s="20"/>
      <c r="FD201" s="20"/>
      <c r="FE201" s="20"/>
      <c r="FF201" s="20"/>
      <c r="FG201" s="20"/>
      <c r="FH201" s="20"/>
      <c r="FI201" s="20"/>
      <c r="FJ201" s="20"/>
      <c r="FK201" s="20"/>
      <c r="FL201" s="20"/>
      <c r="FM201" s="20"/>
      <c r="FN201" s="20"/>
      <c r="FO201" s="20"/>
      <c r="FP201" s="20"/>
      <c r="FQ201" s="20"/>
      <c r="FR201" s="20"/>
      <c r="FS201" s="20"/>
      <c r="FT201" s="20"/>
      <c r="FU201" s="20"/>
      <c r="FV201" s="20"/>
      <c r="FW201" s="20"/>
      <c r="FX201" s="20"/>
      <c r="FY201" s="20"/>
      <c r="FZ201" s="20"/>
      <c r="GA201" s="20"/>
      <c r="GB201" s="20"/>
      <c r="GC201" s="20"/>
      <c r="GD201" s="20"/>
      <c r="GE201" s="20"/>
      <c r="GF201" s="20"/>
      <c r="GG201" s="20"/>
      <c r="GH201" s="20"/>
      <c r="GI201" s="20"/>
      <c r="GJ201" s="20"/>
      <c r="GK201" s="20"/>
      <c r="GL201" s="20"/>
      <c r="GM201" s="20"/>
      <c r="GN201" s="20"/>
      <c r="GO201" s="20"/>
      <c r="GP201" s="20"/>
      <c r="GQ201" s="20"/>
      <c r="GR201" s="20"/>
      <c r="GS201" s="20"/>
      <c r="GT201" s="20"/>
      <c r="GU201" s="20"/>
      <c r="GV201" s="20"/>
      <c r="GW201" s="20"/>
      <c r="GX201" s="20"/>
      <c r="GY201" s="20"/>
      <c r="GZ201" s="20"/>
      <c r="HA201" s="20"/>
      <c r="HB201" s="20"/>
      <c r="HC201" s="20"/>
      <c r="HD201" s="20"/>
      <c r="HE201" s="20"/>
      <c r="HF201" s="20"/>
      <c r="HG201" s="20"/>
      <c r="HH201" s="20"/>
      <c r="HI201" s="20"/>
      <c r="HJ201" s="20"/>
      <c r="HK201" s="20"/>
      <c r="HL201" s="20"/>
      <c r="HM201" s="20"/>
      <c r="HN201" s="20"/>
      <c r="HO201" s="20"/>
      <c r="HP201" s="20"/>
      <c r="HQ201" s="20"/>
      <c r="HR201" s="20"/>
      <c r="HS201" s="20"/>
      <c r="HT201" s="20"/>
      <c r="HU201" s="20"/>
      <c r="HV201" s="20"/>
      <c r="HW201" s="20"/>
      <c r="HX201" s="20"/>
      <c r="HY201" s="20"/>
      <c r="HZ201" s="20"/>
      <c r="IA201" s="20"/>
      <c r="IB201" s="20"/>
      <c r="IC201" s="20"/>
      <c r="ID201" s="20"/>
      <c r="IE201" s="20"/>
      <c r="IF201" s="20"/>
      <c r="IG201" s="20"/>
      <c r="IH201" s="20"/>
      <c r="II201" s="20"/>
      <c r="IJ201" s="20"/>
      <c r="IK201" s="20"/>
      <c r="IL201" s="20"/>
      <c r="IM201" s="20"/>
      <c r="IN201" s="20"/>
      <c r="IO201" s="20"/>
      <c r="IP201" s="20"/>
      <c r="IQ201" s="20"/>
      <c r="IR201" s="20"/>
      <c r="IS201" s="20"/>
      <c r="IT201" s="20"/>
      <c r="IU201" s="20"/>
      <c r="IV201" s="20"/>
      <c r="IW201" s="20"/>
      <c r="IX201" s="20"/>
      <c r="IY201" s="20"/>
      <c r="IZ201" s="20"/>
      <c r="JA201" s="20"/>
      <c r="JB201" s="20"/>
      <c r="JC201" s="20"/>
      <c r="JD201" s="20"/>
      <c r="JE201" s="20"/>
      <c r="JF201" s="20"/>
      <c r="JG201" s="20"/>
      <c r="JH201" s="20"/>
      <c r="JI201" s="20"/>
    </row>
    <row r="202" spans="1:269">
      <c r="A202" s="61"/>
      <c r="B202" s="20"/>
      <c r="C202" s="20"/>
      <c r="D202" s="27"/>
      <c r="E202" s="27"/>
      <c r="F202" s="27"/>
      <c r="G202" s="18"/>
      <c r="H202" s="27"/>
      <c r="I202" s="27"/>
      <c r="J202" s="18"/>
      <c r="K202" s="27"/>
      <c r="L202" s="27"/>
      <c r="M202" s="18"/>
      <c r="N202" s="27"/>
      <c r="O202" s="27"/>
      <c r="P202" s="18"/>
      <c r="Q202" s="27"/>
      <c r="R202" s="18"/>
      <c r="S202" s="18"/>
      <c r="T202" s="18"/>
      <c r="U202" s="18"/>
      <c r="V202" s="18"/>
      <c r="W202" s="105"/>
      <c r="X202" s="105"/>
      <c r="Y202" s="18"/>
      <c r="Z202" s="105"/>
      <c r="AA202" s="105"/>
      <c r="AB202" s="18"/>
      <c r="AC202" s="105"/>
      <c r="AD202" s="105"/>
      <c r="AE202" s="18"/>
      <c r="AF202" s="105"/>
      <c r="AG202" s="105"/>
      <c r="AH202" s="105"/>
      <c r="AI202" s="105"/>
      <c r="AJ202" s="105"/>
      <c r="AK202" s="105"/>
      <c r="AL202" s="105"/>
      <c r="AM202" s="18"/>
      <c r="AN202" s="105"/>
      <c r="AO202" s="105"/>
      <c r="AP202" s="105"/>
      <c r="AQ202" s="18"/>
      <c r="AR202" s="105"/>
      <c r="AS202" s="105"/>
      <c r="AT202" s="105"/>
      <c r="AU202" s="18"/>
      <c r="AV202" s="105"/>
      <c r="AW202" s="105"/>
      <c r="AX202" s="18"/>
      <c r="AY202" s="105"/>
      <c r="AZ202" s="105"/>
      <c r="BA202" s="105"/>
      <c r="BB202" s="105"/>
      <c r="BC202" s="18"/>
      <c r="BD202" s="89"/>
      <c r="BE202" s="89"/>
      <c r="BF202" s="89"/>
      <c r="BG202" s="89"/>
      <c r="BH202" s="89"/>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c r="DU202" s="20"/>
      <c r="DV202" s="20"/>
      <c r="DW202" s="20"/>
      <c r="DX202" s="20"/>
      <c r="DY202" s="20"/>
      <c r="DZ202" s="20"/>
      <c r="EA202" s="20"/>
      <c r="EB202" s="20"/>
      <c r="EC202" s="20"/>
      <c r="ED202" s="20"/>
      <c r="EE202" s="20"/>
      <c r="EF202" s="20"/>
      <c r="EG202" s="20"/>
      <c r="EH202" s="20"/>
      <c r="EI202" s="20"/>
      <c r="EJ202" s="20"/>
      <c r="EK202" s="20"/>
      <c r="EL202" s="20"/>
      <c r="EM202" s="20"/>
      <c r="EN202" s="20"/>
      <c r="EO202" s="20"/>
      <c r="EP202" s="20"/>
      <c r="EQ202" s="20"/>
      <c r="ER202" s="20"/>
      <c r="ES202" s="20"/>
      <c r="ET202" s="20"/>
      <c r="EU202" s="20"/>
      <c r="EV202" s="20"/>
      <c r="EW202" s="20"/>
      <c r="EX202" s="20"/>
      <c r="EY202" s="20"/>
      <c r="EZ202" s="20"/>
      <c r="FA202" s="20"/>
      <c r="FB202" s="20"/>
      <c r="FC202" s="20"/>
      <c r="FD202" s="20"/>
      <c r="FE202" s="20"/>
      <c r="FF202" s="20"/>
      <c r="FG202" s="20"/>
      <c r="FH202" s="20"/>
      <c r="FI202" s="20"/>
      <c r="FJ202" s="20"/>
      <c r="FK202" s="20"/>
      <c r="FL202" s="20"/>
      <c r="FM202" s="20"/>
      <c r="FN202" s="20"/>
      <c r="FO202" s="20"/>
      <c r="FP202" s="20"/>
      <c r="FQ202" s="20"/>
      <c r="FR202" s="20"/>
      <c r="FS202" s="20"/>
      <c r="FT202" s="20"/>
      <c r="FU202" s="20"/>
      <c r="FV202" s="20"/>
      <c r="FW202" s="20"/>
      <c r="FX202" s="20"/>
      <c r="FY202" s="20"/>
      <c r="FZ202" s="20"/>
      <c r="GA202" s="20"/>
      <c r="GB202" s="20"/>
      <c r="GC202" s="20"/>
      <c r="GD202" s="20"/>
      <c r="GE202" s="20"/>
      <c r="GF202" s="20"/>
      <c r="GG202" s="20"/>
      <c r="GH202" s="20"/>
      <c r="GI202" s="20"/>
      <c r="GJ202" s="20"/>
      <c r="GK202" s="20"/>
      <c r="GL202" s="20"/>
      <c r="GM202" s="20"/>
      <c r="GN202" s="20"/>
      <c r="GO202" s="20"/>
      <c r="GP202" s="20"/>
      <c r="GQ202" s="20"/>
      <c r="GR202" s="20"/>
      <c r="GS202" s="20"/>
      <c r="GT202" s="20"/>
      <c r="GU202" s="20"/>
      <c r="GV202" s="20"/>
      <c r="GW202" s="20"/>
      <c r="GX202" s="20"/>
      <c r="GY202" s="20"/>
      <c r="GZ202" s="20"/>
      <c r="HA202" s="20"/>
      <c r="HB202" s="20"/>
      <c r="HC202" s="20"/>
      <c r="HD202" s="20"/>
      <c r="HE202" s="20"/>
      <c r="HF202" s="20"/>
      <c r="HG202" s="20"/>
      <c r="HH202" s="20"/>
      <c r="HI202" s="20"/>
      <c r="HJ202" s="20"/>
      <c r="HK202" s="20"/>
      <c r="HL202" s="20"/>
      <c r="HM202" s="20"/>
      <c r="HN202" s="20"/>
      <c r="HO202" s="20"/>
      <c r="HP202" s="20"/>
      <c r="HQ202" s="20"/>
      <c r="HR202" s="20"/>
      <c r="HS202" s="20"/>
      <c r="HT202" s="20"/>
      <c r="HU202" s="20"/>
      <c r="HV202" s="20"/>
      <c r="HW202" s="20"/>
      <c r="HX202" s="20"/>
      <c r="HY202" s="20"/>
      <c r="HZ202" s="20"/>
      <c r="IA202" s="20"/>
      <c r="IB202" s="20"/>
      <c r="IC202" s="20"/>
      <c r="ID202" s="20"/>
      <c r="IE202" s="20"/>
      <c r="IF202" s="20"/>
      <c r="IG202" s="20"/>
      <c r="IH202" s="20"/>
      <c r="II202" s="20"/>
      <c r="IJ202" s="20"/>
      <c r="IK202" s="20"/>
      <c r="IL202" s="20"/>
      <c r="IM202" s="20"/>
      <c r="IN202" s="20"/>
      <c r="IO202" s="20"/>
      <c r="IP202" s="20"/>
      <c r="IQ202" s="20"/>
      <c r="IR202" s="20"/>
      <c r="IS202" s="20"/>
      <c r="IT202" s="20"/>
      <c r="IU202" s="20"/>
      <c r="IV202" s="20"/>
      <c r="IW202" s="20"/>
      <c r="IX202" s="20"/>
      <c r="IY202" s="20"/>
      <c r="IZ202" s="20"/>
      <c r="JA202" s="20"/>
      <c r="JB202" s="20"/>
      <c r="JC202" s="20"/>
      <c r="JD202" s="20"/>
      <c r="JE202" s="20"/>
      <c r="JF202" s="20"/>
      <c r="JG202" s="20"/>
      <c r="JH202" s="20"/>
      <c r="JI202" s="20"/>
    </row>
    <row r="203" spans="1:269">
      <c r="A203" s="61" ph="1"/>
      <c r="B203" s="20" ph="1"/>
      <c r="C203" s="20" ph="1"/>
      <c r="D203" s="27" ph="1"/>
      <c r="E203" s="27" ph="1"/>
      <c r="F203" s="27" ph="1"/>
      <c r="G203" s="18" ph="1"/>
      <c r="H203" s="27" ph="1"/>
      <c r="I203" s="27" ph="1"/>
      <c r="J203" s="18" ph="1"/>
      <c r="K203" s="27" ph="1"/>
      <c r="L203" s="27" ph="1"/>
      <c r="M203" s="18" ph="1"/>
      <c r="N203" s="27" ph="1"/>
      <c r="O203" s="27" ph="1"/>
      <c r="P203" s="18" ph="1"/>
      <c r="Q203" s="27" ph="1"/>
      <c r="R203" s="18" ph="1"/>
      <c r="S203" s="18" ph="1"/>
      <c r="T203" s="18" ph="1"/>
      <c r="U203" s="18" ph="1"/>
      <c r="V203" s="18" ph="1"/>
      <c r="W203" s="105" ph="1"/>
      <c r="X203" s="105" ph="1"/>
      <c r="Y203" s="18" ph="1"/>
      <c r="Z203" s="105" ph="1"/>
      <c r="AA203" s="105" ph="1"/>
      <c r="AB203" s="18" ph="1"/>
      <c r="AC203" s="105" ph="1"/>
      <c r="AD203" s="105" ph="1"/>
      <c r="AE203" s="18" ph="1"/>
      <c r="AF203" s="105" ph="1"/>
      <c r="AG203" s="105" ph="1"/>
      <c r="AH203" s="105" ph="1"/>
      <c r="AI203" s="105" ph="1"/>
      <c r="AJ203" s="105" ph="1"/>
      <c r="AK203" s="105" ph="1"/>
      <c r="AL203" s="105" ph="1"/>
      <c r="AM203" s="18" ph="1"/>
      <c r="AN203" s="105" ph="1"/>
      <c r="AO203" s="105" ph="1"/>
      <c r="AP203" s="105" ph="1"/>
      <c r="AQ203" s="18" ph="1"/>
      <c r="AR203" s="105" ph="1"/>
      <c r="AS203" s="105" ph="1"/>
      <c r="AT203" s="105" ph="1"/>
      <c r="AU203" s="18" ph="1"/>
      <c r="AV203" s="105" ph="1"/>
      <c r="AW203" s="105" ph="1"/>
      <c r="AX203" s="18" ph="1"/>
      <c r="AY203" s="105" ph="1"/>
      <c r="AZ203" s="105" ph="1"/>
      <c r="BA203" s="105" ph="1"/>
      <c r="BB203" s="105" ph="1"/>
      <c r="BC203" s="18" ph="1"/>
      <c r="BD203" s="89"/>
      <c r="BE203" s="89"/>
      <c r="BF203" s="89"/>
      <c r="BG203" s="89"/>
      <c r="BH203" s="89"/>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c r="DU203" s="20"/>
      <c r="DV203" s="20"/>
      <c r="DW203" s="20"/>
      <c r="DX203" s="20"/>
      <c r="DY203" s="20"/>
      <c r="DZ203" s="20"/>
      <c r="EA203" s="20"/>
      <c r="EB203" s="20"/>
      <c r="EC203" s="20"/>
      <c r="ED203" s="20"/>
      <c r="EE203" s="20"/>
      <c r="EF203" s="20"/>
      <c r="EG203" s="20"/>
      <c r="EH203" s="20"/>
      <c r="EI203" s="20"/>
      <c r="EJ203" s="20"/>
      <c r="EK203" s="20"/>
      <c r="EL203" s="20"/>
      <c r="EM203" s="20"/>
      <c r="EN203" s="20"/>
      <c r="EO203" s="20"/>
      <c r="EP203" s="20"/>
      <c r="EQ203" s="20"/>
      <c r="ER203" s="20"/>
      <c r="ES203" s="20"/>
      <c r="ET203" s="20"/>
      <c r="EU203" s="20"/>
      <c r="EV203" s="20"/>
      <c r="EW203" s="20"/>
      <c r="EX203" s="20"/>
      <c r="EY203" s="20"/>
      <c r="EZ203" s="20"/>
      <c r="FA203" s="20"/>
      <c r="FB203" s="20"/>
      <c r="FC203" s="20"/>
      <c r="FD203" s="20"/>
      <c r="FE203" s="20"/>
      <c r="FF203" s="20"/>
      <c r="FG203" s="20"/>
      <c r="FH203" s="20"/>
      <c r="FI203" s="20"/>
      <c r="FJ203" s="20"/>
      <c r="FK203" s="20"/>
      <c r="FL203" s="20"/>
      <c r="FM203" s="20"/>
      <c r="FN203" s="20"/>
      <c r="FO203" s="20"/>
      <c r="FP203" s="20"/>
      <c r="FQ203" s="20"/>
      <c r="FR203" s="20"/>
      <c r="FS203" s="20"/>
      <c r="FT203" s="20"/>
      <c r="FU203" s="20"/>
      <c r="FV203" s="20"/>
      <c r="FW203" s="20"/>
      <c r="FX203" s="20"/>
      <c r="FY203" s="20"/>
      <c r="FZ203" s="20"/>
      <c r="GA203" s="20"/>
      <c r="GB203" s="20"/>
      <c r="GC203" s="20"/>
      <c r="GD203" s="20"/>
      <c r="GE203" s="20"/>
      <c r="GF203" s="20"/>
      <c r="GG203" s="20"/>
      <c r="GH203" s="20"/>
      <c r="GI203" s="20"/>
      <c r="GJ203" s="20"/>
      <c r="GK203" s="20"/>
      <c r="GL203" s="20"/>
      <c r="GM203" s="20"/>
      <c r="GN203" s="20"/>
      <c r="GO203" s="20"/>
      <c r="GP203" s="20"/>
      <c r="GQ203" s="20"/>
      <c r="GR203" s="20"/>
      <c r="GS203" s="20"/>
      <c r="GT203" s="20"/>
      <c r="GU203" s="20"/>
      <c r="GV203" s="20"/>
      <c r="GW203" s="20"/>
      <c r="GX203" s="20"/>
      <c r="GY203" s="20"/>
      <c r="GZ203" s="20"/>
      <c r="HA203" s="20"/>
      <c r="HB203" s="20"/>
      <c r="HC203" s="20"/>
      <c r="HD203" s="20"/>
      <c r="HE203" s="20"/>
      <c r="HF203" s="20"/>
      <c r="HG203" s="20"/>
      <c r="HH203" s="20"/>
      <c r="HI203" s="20"/>
      <c r="HJ203" s="20"/>
      <c r="HK203" s="20"/>
      <c r="HL203" s="20"/>
      <c r="HM203" s="20"/>
      <c r="HN203" s="20"/>
      <c r="HO203" s="20"/>
      <c r="HP203" s="20"/>
      <c r="HQ203" s="20"/>
      <c r="HR203" s="20"/>
      <c r="HS203" s="20"/>
      <c r="HT203" s="20"/>
      <c r="HU203" s="20"/>
      <c r="HV203" s="20"/>
      <c r="HW203" s="20"/>
      <c r="HX203" s="20"/>
      <c r="HY203" s="20"/>
      <c r="HZ203" s="20"/>
      <c r="IA203" s="20"/>
      <c r="IB203" s="20"/>
      <c r="IC203" s="20"/>
      <c r="ID203" s="20"/>
      <c r="IE203" s="20"/>
      <c r="IF203" s="20"/>
      <c r="IG203" s="20"/>
      <c r="IH203" s="20"/>
      <c r="II203" s="20"/>
      <c r="IJ203" s="20"/>
      <c r="IK203" s="20"/>
      <c r="IL203" s="20"/>
      <c r="IM203" s="20"/>
      <c r="IN203" s="20"/>
      <c r="IO203" s="20"/>
      <c r="IP203" s="20"/>
      <c r="IQ203" s="20"/>
      <c r="IR203" s="20"/>
      <c r="IS203" s="20"/>
      <c r="IT203" s="20"/>
      <c r="IU203" s="20"/>
      <c r="IV203" s="20"/>
      <c r="IW203" s="20"/>
      <c r="IX203" s="20"/>
      <c r="IY203" s="20"/>
      <c r="IZ203" s="20"/>
      <c r="JA203" s="20"/>
      <c r="JB203" s="20"/>
      <c r="JC203" s="20"/>
      <c r="JD203" s="20"/>
      <c r="JE203" s="20"/>
      <c r="JF203" s="20"/>
      <c r="JG203" s="20"/>
      <c r="JH203" s="20"/>
      <c r="JI203" s="20"/>
    </row>
    <row r="204" spans="1:269">
      <c r="A204" s="61" ph="1"/>
      <c r="B204" s="20" ph="1"/>
      <c r="C204" s="20" ph="1"/>
      <c r="D204" s="27" ph="1"/>
      <c r="E204" s="27" ph="1"/>
      <c r="F204" s="27" ph="1"/>
      <c r="G204" s="18" ph="1"/>
      <c r="H204" s="27" ph="1"/>
      <c r="I204" s="27" ph="1"/>
      <c r="J204" s="18" ph="1"/>
      <c r="K204" s="27" ph="1"/>
      <c r="L204" s="27" ph="1"/>
      <c r="M204" s="18" ph="1"/>
      <c r="N204" s="27" ph="1"/>
      <c r="O204" s="27" ph="1"/>
      <c r="P204" s="18" ph="1"/>
      <c r="Q204" s="27" ph="1"/>
      <c r="R204" s="18" ph="1"/>
      <c r="S204" s="18" ph="1"/>
      <c r="T204" s="18" ph="1"/>
      <c r="U204" s="18" ph="1"/>
      <c r="V204" s="18" ph="1"/>
      <c r="W204" s="105" ph="1"/>
      <c r="X204" s="105" ph="1"/>
      <c r="Y204" s="18" ph="1"/>
      <c r="Z204" s="105" ph="1"/>
      <c r="AA204" s="105" ph="1"/>
      <c r="AB204" s="18" ph="1"/>
      <c r="AC204" s="105" ph="1"/>
      <c r="AD204" s="105" ph="1"/>
      <c r="AE204" s="18" ph="1"/>
      <c r="AF204" s="105" ph="1"/>
      <c r="AG204" s="105" ph="1"/>
      <c r="AH204" s="105" ph="1"/>
      <c r="AI204" s="105" ph="1"/>
      <c r="AJ204" s="105" ph="1"/>
      <c r="AK204" s="105" ph="1"/>
      <c r="AL204" s="105" ph="1"/>
      <c r="AM204" s="18" ph="1"/>
      <c r="AN204" s="105" ph="1"/>
      <c r="AO204" s="105" ph="1"/>
      <c r="AP204" s="105" ph="1"/>
      <c r="AQ204" s="18" ph="1"/>
      <c r="AR204" s="105" ph="1"/>
      <c r="AS204" s="105" ph="1"/>
      <c r="AT204" s="105" ph="1"/>
      <c r="AU204" s="18" ph="1"/>
      <c r="AV204" s="105" ph="1"/>
      <c r="AW204" s="105" ph="1"/>
      <c r="AX204" s="18" ph="1"/>
      <c r="AY204" s="105" ph="1"/>
      <c r="AZ204" s="105" ph="1"/>
      <c r="BA204" s="105" ph="1"/>
      <c r="BB204" s="105" ph="1"/>
      <c r="BC204" s="18" ph="1"/>
      <c r="BD204" s="89"/>
      <c r="BE204" s="89"/>
      <c r="BF204" s="89"/>
      <c r="BG204" s="89"/>
      <c r="BH204" s="89"/>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c r="DU204" s="20"/>
      <c r="DV204" s="20"/>
      <c r="DW204" s="20"/>
      <c r="DX204" s="20"/>
      <c r="DY204" s="20"/>
      <c r="DZ204" s="20"/>
      <c r="EA204" s="20"/>
      <c r="EB204" s="20"/>
      <c r="EC204" s="20"/>
      <c r="ED204" s="20"/>
      <c r="EE204" s="20"/>
      <c r="EF204" s="20"/>
      <c r="EG204" s="20"/>
      <c r="EH204" s="20"/>
      <c r="EI204" s="20"/>
      <c r="EJ204" s="20"/>
      <c r="EK204" s="20"/>
      <c r="EL204" s="20"/>
      <c r="EM204" s="20"/>
      <c r="EN204" s="20"/>
      <c r="EO204" s="20"/>
      <c r="EP204" s="20"/>
      <c r="EQ204" s="20"/>
      <c r="ER204" s="20"/>
      <c r="ES204" s="20"/>
      <c r="ET204" s="20"/>
      <c r="EU204" s="20"/>
      <c r="EV204" s="20"/>
      <c r="EW204" s="20"/>
      <c r="EX204" s="20"/>
      <c r="EY204" s="20"/>
      <c r="EZ204" s="20"/>
      <c r="FA204" s="20"/>
      <c r="FB204" s="20"/>
      <c r="FC204" s="20"/>
      <c r="FD204" s="20"/>
      <c r="FE204" s="20"/>
      <c r="FF204" s="20"/>
      <c r="FG204" s="20"/>
      <c r="FH204" s="20"/>
      <c r="FI204" s="20"/>
      <c r="FJ204" s="20"/>
      <c r="FK204" s="20"/>
      <c r="FL204" s="20"/>
      <c r="FM204" s="20"/>
      <c r="FN204" s="20"/>
      <c r="FO204" s="20"/>
      <c r="FP204" s="20"/>
      <c r="FQ204" s="20"/>
      <c r="FR204" s="20"/>
      <c r="FS204" s="20"/>
      <c r="FT204" s="20"/>
      <c r="FU204" s="20"/>
      <c r="FV204" s="20"/>
      <c r="FW204" s="20"/>
      <c r="FX204" s="20"/>
      <c r="FY204" s="20"/>
      <c r="FZ204" s="20"/>
      <c r="GA204" s="20"/>
      <c r="GB204" s="20"/>
      <c r="GC204" s="20"/>
      <c r="GD204" s="20"/>
      <c r="GE204" s="20"/>
      <c r="GF204" s="20"/>
      <c r="GG204" s="20"/>
      <c r="GH204" s="20"/>
      <c r="GI204" s="20"/>
      <c r="GJ204" s="20"/>
      <c r="GK204" s="20"/>
      <c r="GL204" s="20"/>
      <c r="GM204" s="20"/>
      <c r="GN204" s="20"/>
      <c r="GO204" s="20"/>
      <c r="GP204" s="20"/>
      <c r="GQ204" s="20"/>
      <c r="GR204" s="20"/>
      <c r="GS204" s="20"/>
      <c r="GT204" s="20"/>
      <c r="GU204" s="20"/>
      <c r="GV204" s="20"/>
      <c r="GW204" s="20"/>
      <c r="GX204" s="20"/>
      <c r="GY204" s="20"/>
      <c r="GZ204" s="20"/>
      <c r="HA204" s="20"/>
      <c r="HB204" s="20"/>
      <c r="HC204" s="20"/>
      <c r="HD204" s="20"/>
      <c r="HE204" s="20"/>
      <c r="HF204" s="20"/>
      <c r="HG204" s="20"/>
      <c r="HH204" s="20"/>
      <c r="HI204" s="20"/>
      <c r="HJ204" s="20"/>
      <c r="HK204" s="20"/>
      <c r="HL204" s="20"/>
      <c r="HM204" s="20"/>
      <c r="HN204" s="20"/>
      <c r="HO204" s="20"/>
      <c r="HP204" s="20"/>
      <c r="HQ204" s="20"/>
      <c r="HR204" s="20"/>
      <c r="HS204" s="20"/>
      <c r="HT204" s="20"/>
      <c r="HU204" s="20"/>
      <c r="HV204" s="20"/>
      <c r="HW204" s="20"/>
      <c r="HX204" s="20"/>
      <c r="HY204" s="20"/>
      <c r="HZ204" s="20"/>
      <c r="IA204" s="20"/>
      <c r="IB204" s="20"/>
      <c r="IC204" s="20"/>
      <c r="ID204" s="20"/>
      <c r="IE204" s="20"/>
      <c r="IF204" s="20"/>
      <c r="IG204" s="20"/>
      <c r="IH204" s="20"/>
      <c r="II204" s="20"/>
      <c r="IJ204" s="20"/>
      <c r="IK204" s="20"/>
      <c r="IL204" s="20"/>
      <c r="IM204" s="20"/>
      <c r="IN204" s="20"/>
      <c r="IO204" s="20"/>
      <c r="IP204" s="20"/>
      <c r="IQ204" s="20"/>
      <c r="IR204" s="20"/>
      <c r="IS204" s="20"/>
      <c r="IT204" s="20"/>
      <c r="IU204" s="20"/>
      <c r="IV204" s="20"/>
      <c r="IW204" s="20"/>
      <c r="IX204" s="20"/>
      <c r="IY204" s="20"/>
      <c r="IZ204" s="20"/>
      <c r="JA204" s="20"/>
      <c r="JB204" s="20"/>
      <c r="JC204" s="20"/>
      <c r="JD204" s="20"/>
      <c r="JE204" s="20"/>
      <c r="JF204" s="20"/>
      <c r="JG204" s="20"/>
      <c r="JH204" s="20"/>
      <c r="JI204" s="20"/>
    </row>
    <row r="205" spans="1:269">
      <c r="A205" s="61" ph="1"/>
      <c r="B205" s="20" ph="1"/>
      <c r="C205" s="20" ph="1"/>
      <c r="D205" s="27" ph="1"/>
      <c r="E205" s="27" ph="1"/>
      <c r="F205" s="27" ph="1"/>
      <c r="G205" s="18" ph="1"/>
      <c r="H205" s="27" ph="1"/>
      <c r="I205" s="27" ph="1"/>
      <c r="J205" s="18" ph="1"/>
      <c r="K205" s="27" ph="1"/>
      <c r="L205" s="27" ph="1"/>
      <c r="M205" s="18" ph="1"/>
      <c r="N205" s="27" ph="1"/>
      <c r="O205" s="27" ph="1"/>
      <c r="P205" s="18" ph="1"/>
      <c r="Q205" s="27" ph="1"/>
      <c r="R205" s="18" ph="1"/>
      <c r="S205" s="18" ph="1"/>
      <c r="T205" s="18" ph="1"/>
      <c r="U205" s="18" ph="1"/>
      <c r="V205" s="18" ph="1"/>
      <c r="W205" s="105" ph="1"/>
      <c r="X205" s="105" ph="1"/>
      <c r="Y205" s="18" ph="1"/>
      <c r="Z205" s="105" ph="1"/>
      <c r="AA205" s="105" ph="1"/>
      <c r="AB205" s="18" ph="1"/>
      <c r="AC205" s="105" ph="1"/>
      <c r="AD205" s="105" ph="1"/>
      <c r="AE205" s="18" ph="1"/>
      <c r="AF205" s="105" ph="1"/>
      <c r="AG205" s="105" ph="1"/>
      <c r="AH205" s="105" ph="1"/>
      <c r="AI205" s="105" ph="1"/>
      <c r="AJ205" s="105" ph="1"/>
      <c r="AK205" s="105" ph="1"/>
      <c r="AL205" s="105" ph="1"/>
      <c r="AM205" s="18" ph="1"/>
      <c r="AN205" s="105" ph="1"/>
      <c r="AO205" s="105" ph="1"/>
      <c r="AP205" s="105" ph="1"/>
      <c r="AQ205" s="18" ph="1"/>
      <c r="AR205" s="105" ph="1"/>
      <c r="AS205" s="105" ph="1"/>
      <c r="AT205" s="105" ph="1"/>
      <c r="AU205" s="18" ph="1"/>
      <c r="AV205" s="105" ph="1"/>
      <c r="AW205" s="105" ph="1"/>
      <c r="AX205" s="18" ph="1"/>
      <c r="AY205" s="105" ph="1"/>
      <c r="AZ205" s="105" ph="1"/>
      <c r="BA205" s="105" ph="1"/>
      <c r="BB205" s="105" ph="1"/>
      <c r="BC205" s="18" ph="1"/>
      <c r="BD205" s="89"/>
      <c r="BE205" s="89"/>
      <c r="BF205" s="89"/>
      <c r="BG205" s="89"/>
      <c r="BH205" s="89"/>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c r="DU205" s="20"/>
      <c r="DV205" s="20"/>
      <c r="DW205" s="20"/>
      <c r="DX205" s="20"/>
      <c r="DY205" s="20"/>
      <c r="DZ205" s="20"/>
      <c r="EA205" s="20"/>
      <c r="EB205" s="20"/>
      <c r="EC205" s="20"/>
      <c r="ED205" s="20"/>
      <c r="EE205" s="20"/>
      <c r="EF205" s="20"/>
      <c r="EG205" s="20"/>
      <c r="EH205" s="20"/>
      <c r="EI205" s="20"/>
      <c r="EJ205" s="20"/>
      <c r="EK205" s="20"/>
      <c r="EL205" s="20"/>
      <c r="EM205" s="20"/>
      <c r="EN205" s="20"/>
      <c r="EO205" s="20"/>
      <c r="EP205" s="20"/>
      <c r="EQ205" s="20"/>
      <c r="ER205" s="20"/>
      <c r="ES205" s="20"/>
      <c r="ET205" s="20"/>
      <c r="EU205" s="20"/>
      <c r="EV205" s="20"/>
      <c r="EW205" s="20"/>
      <c r="EX205" s="20"/>
      <c r="EY205" s="20"/>
      <c r="EZ205" s="20"/>
      <c r="FA205" s="20"/>
      <c r="FB205" s="20"/>
      <c r="FC205" s="20"/>
      <c r="FD205" s="20"/>
      <c r="FE205" s="20"/>
      <c r="FF205" s="20"/>
      <c r="FG205" s="20"/>
      <c r="FH205" s="20"/>
      <c r="FI205" s="20"/>
      <c r="FJ205" s="20"/>
      <c r="FK205" s="20"/>
      <c r="FL205" s="20"/>
      <c r="FM205" s="20"/>
      <c r="FN205" s="20"/>
      <c r="FO205" s="20"/>
      <c r="FP205" s="20"/>
      <c r="FQ205" s="20"/>
      <c r="FR205" s="20"/>
      <c r="FS205" s="20"/>
      <c r="FT205" s="20"/>
      <c r="FU205" s="20"/>
      <c r="FV205" s="20"/>
      <c r="FW205" s="20"/>
      <c r="FX205" s="20"/>
      <c r="FY205" s="20"/>
      <c r="FZ205" s="20"/>
      <c r="GA205" s="20"/>
      <c r="GB205" s="20"/>
      <c r="GC205" s="20"/>
      <c r="GD205" s="20"/>
      <c r="GE205" s="20"/>
      <c r="GF205" s="20"/>
      <c r="GG205" s="20"/>
      <c r="GH205" s="20"/>
      <c r="GI205" s="20"/>
      <c r="GJ205" s="20"/>
      <c r="GK205" s="20"/>
      <c r="GL205" s="20"/>
      <c r="GM205" s="20"/>
      <c r="GN205" s="20"/>
      <c r="GO205" s="20"/>
      <c r="GP205" s="20"/>
      <c r="GQ205" s="20"/>
      <c r="GR205" s="20"/>
      <c r="GS205" s="20"/>
      <c r="GT205" s="20"/>
      <c r="GU205" s="20"/>
      <c r="GV205" s="20"/>
      <c r="GW205" s="20"/>
      <c r="GX205" s="20"/>
      <c r="GY205" s="20"/>
      <c r="GZ205" s="20"/>
      <c r="HA205" s="20"/>
      <c r="HB205" s="20"/>
      <c r="HC205" s="20"/>
      <c r="HD205" s="20"/>
      <c r="HE205" s="20"/>
      <c r="HF205" s="20"/>
      <c r="HG205" s="20"/>
      <c r="HH205" s="20"/>
      <c r="HI205" s="20"/>
      <c r="HJ205" s="20"/>
      <c r="HK205" s="20"/>
      <c r="HL205" s="20"/>
      <c r="HM205" s="20"/>
      <c r="HN205" s="20"/>
      <c r="HO205" s="20"/>
      <c r="HP205" s="20"/>
      <c r="HQ205" s="20"/>
      <c r="HR205" s="20"/>
      <c r="HS205" s="20"/>
      <c r="HT205" s="20"/>
      <c r="HU205" s="20"/>
      <c r="HV205" s="20"/>
      <c r="HW205" s="20"/>
      <c r="HX205" s="20"/>
      <c r="HY205" s="20"/>
      <c r="HZ205" s="20"/>
      <c r="IA205" s="20"/>
      <c r="IB205" s="20"/>
      <c r="IC205" s="20"/>
      <c r="ID205" s="20"/>
      <c r="IE205" s="20"/>
      <c r="IF205" s="20"/>
      <c r="IG205" s="20"/>
      <c r="IH205" s="20"/>
      <c r="II205" s="20"/>
      <c r="IJ205" s="20"/>
      <c r="IK205" s="20"/>
      <c r="IL205" s="20"/>
      <c r="IM205" s="20"/>
      <c r="IN205" s="20"/>
      <c r="IO205" s="20"/>
      <c r="IP205" s="20"/>
      <c r="IQ205" s="20"/>
      <c r="IR205" s="20"/>
      <c r="IS205" s="20"/>
      <c r="IT205" s="20"/>
      <c r="IU205" s="20"/>
      <c r="IV205" s="20"/>
      <c r="IW205" s="20"/>
      <c r="IX205" s="20"/>
      <c r="IY205" s="20"/>
      <c r="IZ205" s="20"/>
      <c r="JA205" s="20"/>
      <c r="JB205" s="20"/>
      <c r="JC205" s="20"/>
      <c r="JD205" s="20"/>
      <c r="JE205" s="20"/>
      <c r="JF205" s="20"/>
      <c r="JG205" s="20"/>
      <c r="JH205" s="20"/>
      <c r="JI205" s="20"/>
    </row>
    <row r="206" spans="1:269">
      <c r="A206" s="61"/>
      <c r="B206" s="20"/>
      <c r="C206" s="20"/>
      <c r="D206" s="27"/>
      <c r="E206" s="27"/>
      <c r="F206" s="27"/>
      <c r="G206" s="18"/>
      <c r="H206" s="27"/>
      <c r="I206" s="27"/>
      <c r="J206" s="18"/>
      <c r="K206" s="27"/>
      <c r="L206" s="27"/>
      <c r="M206" s="18"/>
      <c r="N206" s="27"/>
      <c r="O206" s="27"/>
      <c r="P206" s="18"/>
      <c r="Q206" s="27"/>
      <c r="R206" s="18"/>
      <c r="S206" s="18"/>
      <c r="T206" s="18"/>
      <c r="U206" s="18"/>
      <c r="V206" s="18"/>
      <c r="W206" s="105"/>
      <c r="X206" s="105"/>
      <c r="Y206" s="18"/>
      <c r="Z206" s="105"/>
      <c r="AA206" s="105"/>
      <c r="AB206" s="18"/>
      <c r="AC206" s="105"/>
      <c r="AD206" s="105"/>
      <c r="AE206" s="18"/>
      <c r="AF206" s="105"/>
      <c r="AG206" s="105"/>
      <c r="AH206" s="105"/>
      <c r="AI206" s="105"/>
      <c r="AJ206" s="105"/>
      <c r="AK206" s="105"/>
      <c r="AL206" s="105"/>
      <c r="AM206" s="18"/>
      <c r="AN206" s="105"/>
      <c r="AO206" s="105"/>
      <c r="AP206" s="105"/>
      <c r="AQ206" s="18"/>
      <c r="AR206" s="105"/>
      <c r="AS206" s="105"/>
      <c r="AT206" s="105"/>
      <c r="AU206" s="18"/>
      <c r="AV206" s="105"/>
      <c r="AW206" s="105"/>
      <c r="AX206" s="18"/>
      <c r="AY206" s="105"/>
      <c r="AZ206" s="105"/>
      <c r="BA206" s="105"/>
      <c r="BB206" s="105"/>
      <c r="BC206" s="18"/>
      <c r="BD206" s="89"/>
      <c r="BE206" s="89"/>
      <c r="BF206" s="89"/>
      <c r="BG206" s="89"/>
      <c r="BH206" s="89"/>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c r="DU206" s="20"/>
      <c r="DV206" s="20"/>
      <c r="DW206" s="20"/>
      <c r="DX206" s="20"/>
      <c r="DY206" s="20"/>
      <c r="DZ206" s="20"/>
      <c r="EA206" s="20"/>
      <c r="EB206" s="20"/>
      <c r="EC206" s="20"/>
      <c r="ED206" s="20"/>
      <c r="EE206" s="20"/>
      <c r="EF206" s="20"/>
      <c r="EG206" s="20"/>
      <c r="EH206" s="20"/>
      <c r="EI206" s="20"/>
      <c r="EJ206" s="20"/>
      <c r="EK206" s="20"/>
      <c r="EL206" s="20"/>
      <c r="EM206" s="20"/>
      <c r="EN206" s="20"/>
      <c r="EO206" s="20"/>
      <c r="EP206" s="20"/>
      <c r="EQ206" s="20"/>
      <c r="ER206" s="20"/>
      <c r="ES206" s="20"/>
      <c r="ET206" s="20"/>
      <c r="EU206" s="20"/>
      <c r="EV206" s="20"/>
      <c r="EW206" s="20"/>
      <c r="EX206" s="20"/>
      <c r="EY206" s="20"/>
      <c r="EZ206" s="20"/>
      <c r="FA206" s="20"/>
      <c r="FB206" s="20"/>
      <c r="FC206" s="20"/>
      <c r="FD206" s="20"/>
      <c r="FE206" s="20"/>
      <c r="FF206" s="20"/>
      <c r="FG206" s="20"/>
      <c r="FH206" s="20"/>
      <c r="FI206" s="20"/>
      <c r="FJ206" s="20"/>
      <c r="FK206" s="20"/>
      <c r="FL206" s="20"/>
      <c r="FM206" s="20"/>
      <c r="FN206" s="20"/>
      <c r="FO206" s="20"/>
      <c r="FP206" s="20"/>
      <c r="FQ206" s="20"/>
      <c r="FR206" s="20"/>
      <c r="FS206" s="20"/>
      <c r="FT206" s="20"/>
      <c r="FU206" s="20"/>
      <c r="FV206" s="20"/>
      <c r="FW206" s="20"/>
      <c r="FX206" s="20"/>
      <c r="FY206" s="20"/>
      <c r="FZ206" s="20"/>
      <c r="GA206" s="20"/>
      <c r="GB206" s="20"/>
      <c r="GC206" s="20"/>
      <c r="GD206" s="20"/>
      <c r="GE206" s="20"/>
      <c r="GF206" s="20"/>
      <c r="GG206" s="20"/>
      <c r="GH206" s="20"/>
      <c r="GI206" s="20"/>
      <c r="GJ206" s="20"/>
      <c r="GK206" s="20"/>
      <c r="GL206" s="20"/>
      <c r="GM206" s="20"/>
      <c r="GN206" s="20"/>
      <c r="GO206" s="20"/>
      <c r="GP206" s="20"/>
      <c r="GQ206" s="20"/>
      <c r="GR206" s="20"/>
      <c r="GS206" s="20"/>
      <c r="GT206" s="20"/>
      <c r="GU206" s="20"/>
      <c r="GV206" s="20"/>
      <c r="GW206" s="20"/>
      <c r="GX206" s="20"/>
      <c r="GY206" s="20"/>
      <c r="GZ206" s="20"/>
      <c r="HA206" s="20"/>
      <c r="HB206" s="20"/>
      <c r="HC206" s="20"/>
      <c r="HD206" s="20"/>
      <c r="HE206" s="20"/>
      <c r="HF206" s="20"/>
      <c r="HG206" s="20"/>
      <c r="HH206" s="20"/>
      <c r="HI206" s="20"/>
      <c r="HJ206" s="20"/>
      <c r="HK206" s="20"/>
      <c r="HL206" s="20"/>
      <c r="HM206" s="20"/>
      <c r="HN206" s="20"/>
      <c r="HO206" s="20"/>
      <c r="HP206" s="20"/>
      <c r="HQ206" s="20"/>
      <c r="HR206" s="20"/>
      <c r="HS206" s="20"/>
      <c r="HT206" s="20"/>
      <c r="HU206" s="20"/>
      <c r="HV206" s="20"/>
      <c r="HW206" s="20"/>
      <c r="HX206" s="20"/>
      <c r="HY206" s="20"/>
      <c r="HZ206" s="20"/>
      <c r="IA206" s="20"/>
      <c r="IB206" s="20"/>
      <c r="IC206" s="20"/>
      <c r="ID206" s="20"/>
      <c r="IE206" s="20"/>
      <c r="IF206" s="20"/>
      <c r="IG206" s="20"/>
      <c r="IH206" s="20"/>
      <c r="II206" s="20"/>
      <c r="IJ206" s="20"/>
      <c r="IK206" s="20"/>
      <c r="IL206" s="20"/>
      <c r="IM206" s="20"/>
      <c r="IN206" s="20"/>
      <c r="IO206" s="20"/>
      <c r="IP206" s="20"/>
      <c r="IQ206" s="20"/>
      <c r="IR206" s="20"/>
      <c r="IS206" s="20"/>
      <c r="IT206" s="20"/>
      <c r="IU206" s="20"/>
      <c r="IV206" s="20"/>
      <c r="IW206" s="20"/>
      <c r="IX206" s="20"/>
      <c r="IY206" s="20"/>
      <c r="IZ206" s="20"/>
      <c r="JA206" s="20"/>
      <c r="JB206" s="20"/>
      <c r="JC206" s="20"/>
      <c r="JD206" s="20"/>
      <c r="JE206" s="20"/>
      <c r="JF206" s="20"/>
      <c r="JG206" s="20"/>
      <c r="JH206" s="20"/>
      <c r="JI206" s="20"/>
    </row>
    <row r="207" spans="1:269">
      <c r="A207" s="61"/>
      <c r="B207" s="20"/>
      <c r="C207" s="20"/>
      <c r="D207" s="27"/>
      <c r="E207" s="27"/>
      <c r="F207" s="27"/>
      <c r="G207" s="18"/>
      <c r="H207" s="27"/>
      <c r="I207" s="27"/>
      <c r="J207" s="18"/>
      <c r="K207" s="27"/>
      <c r="L207" s="27"/>
      <c r="M207" s="18"/>
      <c r="N207" s="27"/>
      <c r="O207" s="27"/>
      <c r="P207" s="18"/>
      <c r="Q207" s="27"/>
      <c r="R207" s="18"/>
      <c r="S207" s="18"/>
      <c r="T207" s="18"/>
      <c r="U207" s="18"/>
      <c r="V207" s="18"/>
      <c r="W207" s="105"/>
      <c r="X207" s="105"/>
      <c r="Y207" s="18"/>
      <c r="Z207" s="105"/>
      <c r="AA207" s="105"/>
      <c r="AB207" s="18"/>
      <c r="AC207" s="105"/>
      <c r="AD207" s="105"/>
      <c r="AE207" s="18"/>
      <c r="AF207" s="105"/>
      <c r="AG207" s="105"/>
      <c r="AH207" s="105"/>
      <c r="AI207" s="105"/>
      <c r="AJ207" s="105"/>
      <c r="AK207" s="105"/>
      <c r="AL207" s="105"/>
      <c r="AM207" s="18"/>
      <c r="AN207" s="105"/>
      <c r="AO207" s="105"/>
      <c r="AP207" s="105"/>
      <c r="AQ207" s="18"/>
      <c r="AR207" s="105"/>
      <c r="AS207" s="105"/>
      <c r="AT207" s="105"/>
      <c r="AU207" s="18"/>
      <c r="AV207" s="105"/>
      <c r="AW207" s="105"/>
      <c r="AX207" s="18"/>
      <c r="AY207" s="105"/>
      <c r="AZ207" s="105"/>
      <c r="BA207" s="105"/>
      <c r="BB207" s="105"/>
      <c r="BC207" s="18"/>
      <c r="BD207" s="89"/>
      <c r="BE207" s="89"/>
      <c r="BF207" s="89"/>
      <c r="BG207" s="89"/>
      <c r="BH207" s="89"/>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c r="DU207" s="20"/>
      <c r="DV207" s="20"/>
      <c r="DW207" s="20"/>
      <c r="DX207" s="20"/>
      <c r="DY207" s="20"/>
      <c r="DZ207" s="20"/>
      <c r="EA207" s="20"/>
      <c r="EB207" s="20"/>
      <c r="EC207" s="20"/>
      <c r="ED207" s="20"/>
      <c r="EE207" s="20"/>
      <c r="EF207" s="20"/>
      <c r="EG207" s="20"/>
      <c r="EH207" s="20"/>
      <c r="EI207" s="20"/>
      <c r="EJ207" s="20"/>
      <c r="EK207" s="20"/>
      <c r="EL207" s="20"/>
      <c r="EM207" s="20"/>
      <c r="EN207" s="20"/>
      <c r="EO207" s="20"/>
      <c r="EP207" s="20"/>
      <c r="EQ207" s="20"/>
      <c r="ER207" s="20"/>
      <c r="ES207" s="20"/>
      <c r="ET207" s="20"/>
      <c r="EU207" s="20"/>
      <c r="EV207" s="20"/>
      <c r="EW207" s="20"/>
      <c r="EX207" s="20"/>
      <c r="EY207" s="20"/>
      <c r="EZ207" s="20"/>
      <c r="FA207" s="20"/>
      <c r="FB207" s="20"/>
      <c r="FC207" s="20"/>
      <c r="FD207" s="20"/>
      <c r="FE207" s="20"/>
      <c r="FF207" s="20"/>
      <c r="FG207" s="20"/>
      <c r="FH207" s="20"/>
      <c r="FI207" s="20"/>
      <c r="FJ207" s="20"/>
      <c r="FK207" s="20"/>
      <c r="FL207" s="20"/>
      <c r="FM207" s="20"/>
      <c r="FN207" s="20"/>
      <c r="FO207" s="20"/>
      <c r="FP207" s="20"/>
      <c r="FQ207" s="20"/>
      <c r="FR207" s="20"/>
      <c r="FS207" s="20"/>
      <c r="FT207" s="20"/>
      <c r="FU207" s="20"/>
      <c r="FV207" s="20"/>
      <c r="FW207" s="20"/>
      <c r="FX207" s="20"/>
      <c r="FY207" s="20"/>
      <c r="FZ207" s="20"/>
      <c r="GA207" s="20"/>
      <c r="GB207" s="20"/>
      <c r="GC207" s="20"/>
      <c r="GD207" s="20"/>
      <c r="GE207" s="20"/>
      <c r="GF207" s="20"/>
      <c r="GG207" s="20"/>
      <c r="GH207" s="20"/>
      <c r="GI207" s="20"/>
      <c r="GJ207" s="20"/>
      <c r="GK207" s="20"/>
      <c r="GL207" s="20"/>
      <c r="GM207" s="20"/>
      <c r="GN207" s="20"/>
      <c r="GO207" s="20"/>
      <c r="GP207" s="20"/>
      <c r="GQ207" s="20"/>
      <c r="GR207" s="20"/>
      <c r="GS207" s="20"/>
      <c r="GT207" s="20"/>
      <c r="GU207" s="20"/>
      <c r="GV207" s="20"/>
      <c r="GW207" s="20"/>
      <c r="GX207" s="20"/>
      <c r="GY207" s="20"/>
      <c r="GZ207" s="20"/>
      <c r="HA207" s="20"/>
      <c r="HB207" s="20"/>
      <c r="HC207" s="20"/>
      <c r="HD207" s="20"/>
      <c r="HE207" s="20"/>
      <c r="HF207" s="20"/>
      <c r="HG207" s="20"/>
      <c r="HH207" s="20"/>
      <c r="HI207" s="20"/>
      <c r="HJ207" s="20"/>
      <c r="HK207" s="20"/>
      <c r="HL207" s="20"/>
      <c r="HM207" s="20"/>
      <c r="HN207" s="20"/>
      <c r="HO207" s="20"/>
      <c r="HP207" s="20"/>
      <c r="HQ207" s="20"/>
      <c r="HR207" s="20"/>
      <c r="HS207" s="20"/>
      <c r="HT207" s="20"/>
      <c r="HU207" s="20"/>
      <c r="HV207" s="20"/>
      <c r="HW207" s="20"/>
      <c r="HX207" s="20"/>
      <c r="HY207" s="20"/>
      <c r="HZ207" s="20"/>
      <c r="IA207" s="20"/>
      <c r="IB207" s="20"/>
      <c r="IC207" s="20"/>
      <c r="ID207" s="20"/>
      <c r="IE207" s="20"/>
      <c r="IF207" s="20"/>
      <c r="IG207" s="20"/>
      <c r="IH207" s="20"/>
      <c r="II207" s="20"/>
      <c r="IJ207" s="20"/>
      <c r="IK207" s="20"/>
      <c r="IL207" s="20"/>
      <c r="IM207" s="20"/>
      <c r="IN207" s="20"/>
      <c r="IO207" s="20"/>
      <c r="IP207" s="20"/>
      <c r="IQ207" s="20"/>
      <c r="IR207" s="20"/>
      <c r="IS207" s="20"/>
      <c r="IT207" s="20"/>
      <c r="IU207" s="20"/>
      <c r="IV207" s="20"/>
      <c r="IW207" s="20"/>
      <c r="IX207" s="20"/>
      <c r="IY207" s="20"/>
      <c r="IZ207" s="20"/>
      <c r="JA207" s="20"/>
      <c r="JB207" s="20"/>
      <c r="JC207" s="20"/>
      <c r="JD207" s="20"/>
      <c r="JE207" s="20"/>
      <c r="JF207" s="20"/>
      <c r="JG207" s="20"/>
      <c r="JH207" s="20"/>
      <c r="JI207" s="20"/>
    </row>
    <row r="208" spans="1:269">
      <c r="A208" s="61"/>
      <c r="B208" s="20"/>
      <c r="C208" s="20"/>
      <c r="D208" s="27"/>
      <c r="E208" s="27"/>
      <c r="F208" s="27"/>
      <c r="G208" s="18"/>
      <c r="H208" s="27"/>
      <c r="I208" s="27"/>
      <c r="J208" s="18"/>
      <c r="K208" s="27"/>
      <c r="L208" s="27"/>
      <c r="M208" s="18"/>
      <c r="N208" s="27"/>
      <c r="O208" s="27"/>
      <c r="P208" s="18"/>
      <c r="Q208" s="27"/>
      <c r="R208" s="18"/>
      <c r="S208" s="18"/>
      <c r="T208" s="18"/>
      <c r="U208" s="18"/>
      <c r="V208" s="18"/>
      <c r="W208" s="105"/>
      <c r="X208" s="105"/>
      <c r="Y208" s="18"/>
      <c r="Z208" s="105"/>
      <c r="AA208" s="105"/>
      <c r="AB208" s="18"/>
      <c r="AC208" s="105"/>
      <c r="AD208" s="105"/>
      <c r="AE208" s="18"/>
      <c r="AF208" s="105"/>
      <c r="AG208" s="105"/>
      <c r="AH208" s="105"/>
      <c r="AI208" s="105"/>
      <c r="AJ208" s="105"/>
      <c r="AK208" s="105"/>
      <c r="AL208" s="105"/>
      <c r="AM208" s="18"/>
      <c r="AN208" s="105"/>
      <c r="AO208" s="105"/>
      <c r="AP208" s="105"/>
      <c r="AQ208" s="18"/>
      <c r="AR208" s="105"/>
      <c r="AS208" s="105"/>
      <c r="AT208" s="105"/>
      <c r="AU208" s="18"/>
      <c r="AV208" s="105"/>
      <c r="AW208" s="105"/>
      <c r="AX208" s="18"/>
      <c r="AY208" s="105"/>
      <c r="AZ208" s="105"/>
      <c r="BA208" s="105"/>
      <c r="BB208" s="105"/>
      <c r="BC208" s="18"/>
      <c r="BD208" s="89"/>
      <c r="BE208" s="89"/>
      <c r="BF208" s="89"/>
      <c r="BG208" s="89"/>
      <c r="BH208" s="89"/>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c r="DU208" s="20"/>
      <c r="DV208" s="20"/>
      <c r="DW208" s="20"/>
      <c r="DX208" s="20"/>
      <c r="DY208" s="20"/>
      <c r="DZ208" s="20"/>
      <c r="EA208" s="20"/>
      <c r="EB208" s="20"/>
      <c r="EC208" s="20"/>
      <c r="ED208" s="20"/>
      <c r="EE208" s="20"/>
      <c r="EF208" s="20"/>
      <c r="EG208" s="20"/>
      <c r="EH208" s="20"/>
      <c r="EI208" s="20"/>
      <c r="EJ208" s="20"/>
      <c r="EK208" s="20"/>
      <c r="EL208" s="20"/>
      <c r="EM208" s="20"/>
      <c r="EN208" s="20"/>
      <c r="EO208" s="20"/>
      <c r="EP208" s="20"/>
      <c r="EQ208" s="20"/>
      <c r="ER208" s="20"/>
      <c r="ES208" s="20"/>
      <c r="ET208" s="20"/>
      <c r="EU208" s="20"/>
      <c r="EV208" s="20"/>
      <c r="EW208" s="20"/>
      <c r="EX208" s="20"/>
      <c r="EY208" s="20"/>
      <c r="EZ208" s="20"/>
      <c r="FA208" s="20"/>
      <c r="FB208" s="20"/>
      <c r="FC208" s="20"/>
      <c r="FD208" s="20"/>
      <c r="FE208" s="20"/>
      <c r="FF208" s="20"/>
      <c r="FG208" s="20"/>
      <c r="FH208" s="20"/>
      <c r="FI208" s="20"/>
      <c r="FJ208" s="20"/>
      <c r="FK208" s="20"/>
      <c r="FL208" s="20"/>
      <c r="FM208" s="20"/>
      <c r="FN208" s="20"/>
      <c r="FO208" s="20"/>
      <c r="FP208" s="20"/>
      <c r="FQ208" s="20"/>
      <c r="FR208" s="20"/>
      <c r="FS208" s="20"/>
      <c r="FT208" s="20"/>
      <c r="FU208" s="20"/>
      <c r="FV208" s="20"/>
      <c r="FW208" s="20"/>
      <c r="FX208" s="20"/>
      <c r="FY208" s="20"/>
      <c r="FZ208" s="20"/>
      <c r="GA208" s="20"/>
      <c r="GB208" s="20"/>
      <c r="GC208" s="20"/>
      <c r="GD208" s="20"/>
      <c r="GE208" s="20"/>
      <c r="GF208" s="20"/>
      <c r="GG208" s="20"/>
      <c r="GH208" s="20"/>
      <c r="GI208" s="20"/>
      <c r="GJ208" s="20"/>
      <c r="GK208" s="20"/>
      <c r="GL208" s="20"/>
      <c r="GM208" s="20"/>
      <c r="GN208" s="20"/>
      <c r="GO208" s="20"/>
      <c r="GP208" s="20"/>
      <c r="GQ208" s="20"/>
      <c r="GR208" s="20"/>
      <c r="GS208" s="20"/>
      <c r="GT208" s="20"/>
      <c r="GU208" s="20"/>
      <c r="GV208" s="20"/>
      <c r="GW208" s="20"/>
      <c r="GX208" s="20"/>
      <c r="GY208" s="20"/>
      <c r="GZ208" s="20"/>
      <c r="HA208" s="20"/>
      <c r="HB208" s="20"/>
      <c r="HC208" s="20"/>
      <c r="HD208" s="20"/>
      <c r="HE208" s="20"/>
      <c r="HF208" s="20"/>
      <c r="HG208" s="20"/>
      <c r="HH208" s="20"/>
      <c r="HI208" s="20"/>
      <c r="HJ208" s="20"/>
      <c r="HK208" s="20"/>
      <c r="HL208" s="20"/>
      <c r="HM208" s="20"/>
      <c r="HN208" s="20"/>
      <c r="HO208" s="20"/>
      <c r="HP208" s="20"/>
      <c r="HQ208" s="20"/>
      <c r="HR208" s="20"/>
      <c r="HS208" s="20"/>
      <c r="HT208" s="20"/>
      <c r="HU208" s="20"/>
      <c r="HV208" s="20"/>
      <c r="HW208" s="20"/>
      <c r="HX208" s="20"/>
      <c r="HY208" s="20"/>
      <c r="HZ208" s="20"/>
      <c r="IA208" s="20"/>
      <c r="IB208" s="20"/>
      <c r="IC208" s="20"/>
      <c r="ID208" s="20"/>
      <c r="IE208" s="20"/>
      <c r="IF208" s="20"/>
      <c r="IG208" s="20"/>
      <c r="IH208" s="20"/>
      <c r="II208" s="20"/>
      <c r="IJ208" s="20"/>
      <c r="IK208" s="20"/>
      <c r="IL208" s="20"/>
      <c r="IM208" s="20"/>
      <c r="IN208" s="20"/>
      <c r="IO208" s="20"/>
      <c r="IP208" s="20"/>
      <c r="IQ208" s="20"/>
      <c r="IR208" s="20"/>
      <c r="IS208" s="20"/>
      <c r="IT208" s="20"/>
      <c r="IU208" s="20"/>
      <c r="IV208" s="20"/>
      <c r="IW208" s="20"/>
      <c r="IX208" s="20"/>
      <c r="IY208" s="20"/>
      <c r="IZ208" s="20"/>
      <c r="JA208" s="20"/>
      <c r="JB208" s="20"/>
      <c r="JC208" s="20"/>
      <c r="JD208" s="20"/>
      <c r="JE208" s="20"/>
      <c r="JF208" s="20"/>
      <c r="JG208" s="20"/>
      <c r="JH208" s="20"/>
      <c r="JI208" s="20"/>
    </row>
    <row r="209" spans="1:269">
      <c r="A209" s="61"/>
      <c r="B209" s="20"/>
      <c r="C209" s="20"/>
      <c r="D209" s="27"/>
      <c r="E209" s="27"/>
      <c r="F209" s="27"/>
      <c r="G209" s="18"/>
      <c r="H209" s="27"/>
      <c r="I209" s="27"/>
      <c r="J209" s="18"/>
      <c r="K209" s="27"/>
      <c r="L209" s="27"/>
      <c r="M209" s="18"/>
      <c r="N209" s="27"/>
      <c r="O209" s="27"/>
      <c r="P209" s="18"/>
      <c r="Q209" s="27"/>
      <c r="R209" s="18"/>
      <c r="S209" s="18"/>
      <c r="T209" s="18"/>
      <c r="U209" s="18"/>
      <c r="V209" s="18"/>
      <c r="W209" s="105"/>
      <c r="X209" s="105"/>
      <c r="Y209" s="18"/>
      <c r="Z209" s="105"/>
      <c r="AA209" s="105"/>
      <c r="AB209" s="18"/>
      <c r="AC209" s="105"/>
      <c r="AD209" s="105"/>
      <c r="AE209" s="18"/>
      <c r="AF209" s="105"/>
      <c r="AG209" s="105"/>
      <c r="AH209" s="105"/>
      <c r="AI209" s="105"/>
      <c r="AJ209" s="105"/>
      <c r="AK209" s="105"/>
      <c r="AL209" s="105"/>
      <c r="AM209" s="18"/>
      <c r="AN209" s="105"/>
      <c r="AO209" s="105"/>
      <c r="AP209" s="105"/>
      <c r="AQ209" s="18"/>
      <c r="AR209" s="105"/>
      <c r="AS209" s="105"/>
      <c r="AT209" s="105"/>
      <c r="AU209" s="18"/>
      <c r="AV209" s="105"/>
      <c r="AW209" s="105"/>
      <c r="AX209" s="18"/>
      <c r="AY209" s="105"/>
      <c r="AZ209" s="105"/>
      <c r="BA209" s="105"/>
      <c r="BB209" s="105"/>
      <c r="BC209" s="18"/>
      <c r="BD209" s="89"/>
      <c r="BE209" s="89"/>
      <c r="BF209" s="89"/>
      <c r="BG209" s="89"/>
      <c r="BH209" s="89"/>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c r="DU209" s="20"/>
      <c r="DV209" s="20"/>
      <c r="DW209" s="20"/>
      <c r="DX209" s="20"/>
      <c r="DY209" s="20"/>
      <c r="DZ209" s="20"/>
      <c r="EA209" s="20"/>
      <c r="EB209" s="20"/>
      <c r="EC209" s="20"/>
      <c r="ED209" s="20"/>
      <c r="EE209" s="20"/>
      <c r="EF209" s="20"/>
      <c r="EG209" s="20"/>
      <c r="EH209" s="20"/>
      <c r="EI209" s="20"/>
      <c r="EJ209" s="20"/>
      <c r="EK209" s="20"/>
      <c r="EL209" s="20"/>
      <c r="EM209" s="20"/>
      <c r="EN209" s="20"/>
      <c r="EO209" s="20"/>
      <c r="EP209" s="20"/>
      <c r="EQ209" s="20"/>
      <c r="ER209" s="20"/>
      <c r="ES209" s="20"/>
      <c r="ET209" s="20"/>
      <c r="EU209" s="20"/>
      <c r="EV209" s="20"/>
      <c r="EW209" s="20"/>
      <c r="EX209" s="20"/>
      <c r="EY209" s="20"/>
      <c r="EZ209" s="20"/>
      <c r="FA209" s="20"/>
      <c r="FB209" s="20"/>
      <c r="FC209" s="20"/>
      <c r="FD209" s="20"/>
      <c r="FE209" s="20"/>
      <c r="FF209" s="20"/>
      <c r="FG209" s="20"/>
      <c r="FH209" s="20"/>
      <c r="FI209" s="20"/>
      <c r="FJ209" s="20"/>
      <c r="FK209" s="20"/>
      <c r="FL209" s="20"/>
      <c r="FM209" s="20"/>
      <c r="FN209" s="20"/>
      <c r="FO209" s="20"/>
      <c r="FP209" s="20"/>
      <c r="FQ209" s="20"/>
      <c r="FR209" s="20"/>
      <c r="FS209" s="20"/>
      <c r="FT209" s="20"/>
      <c r="FU209" s="20"/>
      <c r="FV209" s="20"/>
      <c r="FW209" s="20"/>
      <c r="FX209" s="20"/>
      <c r="FY209" s="20"/>
      <c r="FZ209" s="20"/>
      <c r="GA209" s="20"/>
      <c r="GB209" s="20"/>
      <c r="GC209" s="20"/>
      <c r="GD209" s="20"/>
      <c r="GE209" s="20"/>
      <c r="GF209" s="20"/>
      <c r="GG209" s="20"/>
      <c r="GH209" s="20"/>
      <c r="GI209" s="20"/>
      <c r="GJ209" s="20"/>
      <c r="GK209" s="20"/>
      <c r="GL209" s="20"/>
      <c r="GM209" s="20"/>
      <c r="GN209" s="20"/>
      <c r="GO209" s="20"/>
      <c r="GP209" s="20"/>
      <c r="GQ209" s="20"/>
      <c r="GR209" s="20"/>
      <c r="GS209" s="20"/>
      <c r="GT209" s="20"/>
      <c r="GU209" s="20"/>
      <c r="GV209" s="20"/>
      <c r="GW209" s="20"/>
      <c r="GX209" s="20"/>
      <c r="GY209" s="20"/>
      <c r="GZ209" s="20"/>
      <c r="HA209" s="20"/>
      <c r="HB209" s="20"/>
      <c r="HC209" s="20"/>
      <c r="HD209" s="20"/>
      <c r="HE209" s="20"/>
      <c r="HF209" s="20"/>
      <c r="HG209" s="20"/>
      <c r="HH209" s="20"/>
      <c r="HI209" s="20"/>
      <c r="HJ209" s="20"/>
      <c r="HK209" s="20"/>
      <c r="HL209" s="20"/>
      <c r="HM209" s="20"/>
      <c r="HN209" s="20"/>
      <c r="HO209" s="20"/>
      <c r="HP209" s="20"/>
      <c r="HQ209" s="20"/>
      <c r="HR209" s="20"/>
      <c r="HS209" s="20"/>
      <c r="HT209" s="20"/>
      <c r="HU209" s="20"/>
      <c r="HV209" s="20"/>
      <c r="HW209" s="20"/>
      <c r="HX209" s="20"/>
      <c r="HY209" s="20"/>
      <c r="HZ209" s="20"/>
      <c r="IA209" s="20"/>
      <c r="IB209" s="20"/>
      <c r="IC209" s="20"/>
      <c r="ID209" s="20"/>
      <c r="IE209" s="20"/>
      <c r="IF209" s="20"/>
      <c r="IG209" s="20"/>
      <c r="IH209" s="20"/>
      <c r="II209" s="20"/>
      <c r="IJ209" s="20"/>
      <c r="IK209" s="20"/>
      <c r="IL209" s="20"/>
      <c r="IM209" s="20"/>
      <c r="IN209" s="20"/>
      <c r="IO209" s="20"/>
      <c r="IP209" s="20"/>
      <c r="IQ209" s="20"/>
      <c r="IR209" s="20"/>
      <c r="IS209" s="20"/>
      <c r="IT209" s="20"/>
      <c r="IU209" s="20"/>
      <c r="IV209" s="20"/>
      <c r="IW209" s="20"/>
      <c r="IX209" s="20"/>
      <c r="IY209" s="20"/>
      <c r="IZ209" s="20"/>
      <c r="JA209" s="20"/>
      <c r="JB209" s="20"/>
      <c r="JC209" s="20"/>
      <c r="JD209" s="20"/>
      <c r="JE209" s="20"/>
      <c r="JF209" s="20"/>
      <c r="JG209" s="20"/>
      <c r="JH209" s="20"/>
      <c r="JI209" s="20"/>
    </row>
    <row r="210" spans="1:269">
      <c r="A210" s="61"/>
      <c r="B210" s="20"/>
      <c r="C210" s="20"/>
      <c r="D210" s="27"/>
      <c r="E210" s="27"/>
      <c r="F210" s="27"/>
      <c r="G210" s="18"/>
      <c r="H210" s="27"/>
      <c r="I210" s="27"/>
      <c r="J210" s="18"/>
      <c r="K210" s="27"/>
      <c r="L210" s="27"/>
      <c r="M210" s="18"/>
      <c r="N210" s="27"/>
      <c r="O210" s="27"/>
      <c r="P210" s="18"/>
      <c r="Q210" s="27"/>
      <c r="R210" s="18"/>
      <c r="S210" s="18"/>
      <c r="T210" s="18"/>
      <c r="U210" s="18"/>
      <c r="V210" s="18"/>
      <c r="W210" s="105"/>
      <c r="X210" s="105"/>
      <c r="Y210" s="18"/>
      <c r="Z210" s="105"/>
      <c r="AA210" s="105"/>
      <c r="AB210" s="18"/>
      <c r="AC210" s="105"/>
      <c r="AD210" s="105"/>
      <c r="AE210" s="18"/>
      <c r="AF210" s="105"/>
      <c r="AG210" s="105"/>
      <c r="AH210" s="105"/>
      <c r="AI210" s="105"/>
      <c r="AJ210" s="105"/>
      <c r="AK210" s="105"/>
      <c r="AL210" s="105"/>
      <c r="AM210" s="18"/>
      <c r="AN210" s="105"/>
      <c r="AO210" s="105"/>
      <c r="AP210" s="105"/>
      <c r="AQ210" s="18"/>
      <c r="AR210" s="105"/>
      <c r="AS210" s="105"/>
      <c r="AT210" s="105"/>
      <c r="AU210" s="18"/>
      <c r="AV210" s="105"/>
      <c r="AW210" s="105"/>
      <c r="AX210" s="18"/>
      <c r="AY210" s="105"/>
      <c r="AZ210" s="105"/>
      <c r="BA210" s="105"/>
      <c r="BB210" s="105"/>
      <c r="BC210" s="18"/>
      <c r="BD210" s="89"/>
      <c r="BE210" s="89"/>
      <c r="BF210" s="89"/>
      <c r="BG210" s="89"/>
      <c r="BH210" s="89"/>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c r="DU210" s="20"/>
      <c r="DV210" s="20"/>
      <c r="DW210" s="20"/>
      <c r="DX210" s="20"/>
      <c r="DY210" s="20"/>
      <c r="DZ210" s="20"/>
      <c r="EA210" s="20"/>
      <c r="EB210" s="20"/>
      <c r="EC210" s="20"/>
      <c r="ED210" s="20"/>
      <c r="EE210" s="20"/>
      <c r="EF210" s="20"/>
      <c r="EG210" s="20"/>
      <c r="EH210" s="20"/>
      <c r="EI210" s="20"/>
      <c r="EJ210" s="20"/>
      <c r="EK210" s="20"/>
      <c r="EL210" s="20"/>
      <c r="EM210" s="20"/>
      <c r="EN210" s="20"/>
      <c r="EO210" s="20"/>
      <c r="EP210" s="20"/>
      <c r="EQ210" s="20"/>
      <c r="ER210" s="20"/>
      <c r="ES210" s="20"/>
      <c r="ET210" s="20"/>
      <c r="EU210" s="20"/>
      <c r="EV210" s="20"/>
      <c r="EW210" s="20"/>
      <c r="EX210" s="20"/>
      <c r="EY210" s="20"/>
      <c r="EZ210" s="20"/>
      <c r="FA210" s="20"/>
      <c r="FB210" s="20"/>
      <c r="FC210" s="20"/>
      <c r="FD210" s="20"/>
      <c r="FE210" s="20"/>
      <c r="FF210" s="20"/>
      <c r="FG210" s="20"/>
      <c r="FH210" s="20"/>
      <c r="FI210" s="20"/>
      <c r="FJ210" s="20"/>
      <c r="FK210" s="20"/>
      <c r="FL210" s="20"/>
      <c r="FM210" s="20"/>
      <c r="FN210" s="20"/>
      <c r="FO210" s="20"/>
      <c r="FP210" s="20"/>
      <c r="FQ210" s="20"/>
      <c r="FR210" s="20"/>
      <c r="FS210" s="20"/>
      <c r="FT210" s="20"/>
      <c r="FU210" s="20"/>
      <c r="FV210" s="20"/>
      <c r="FW210" s="20"/>
      <c r="FX210" s="20"/>
      <c r="FY210" s="20"/>
      <c r="FZ210" s="20"/>
      <c r="GA210" s="20"/>
      <c r="GB210" s="20"/>
      <c r="GC210" s="20"/>
      <c r="GD210" s="20"/>
      <c r="GE210" s="20"/>
      <c r="GF210" s="20"/>
      <c r="GG210" s="20"/>
      <c r="GH210" s="20"/>
      <c r="GI210" s="20"/>
      <c r="GJ210" s="20"/>
      <c r="GK210" s="20"/>
      <c r="GL210" s="20"/>
      <c r="GM210" s="20"/>
      <c r="GN210" s="20"/>
      <c r="GO210" s="20"/>
      <c r="GP210" s="20"/>
      <c r="GQ210" s="20"/>
      <c r="GR210" s="20"/>
      <c r="GS210" s="20"/>
      <c r="GT210" s="20"/>
      <c r="GU210" s="20"/>
      <c r="GV210" s="20"/>
      <c r="GW210" s="20"/>
      <c r="GX210" s="20"/>
      <c r="GY210" s="20"/>
      <c r="GZ210" s="20"/>
      <c r="HA210" s="20"/>
      <c r="HB210" s="20"/>
      <c r="HC210" s="20"/>
      <c r="HD210" s="20"/>
      <c r="HE210" s="20"/>
      <c r="HF210" s="20"/>
      <c r="HG210" s="20"/>
      <c r="HH210" s="20"/>
      <c r="HI210" s="20"/>
      <c r="HJ210" s="20"/>
      <c r="HK210" s="20"/>
      <c r="HL210" s="20"/>
      <c r="HM210" s="20"/>
      <c r="HN210" s="20"/>
      <c r="HO210" s="20"/>
      <c r="HP210" s="20"/>
      <c r="HQ210" s="20"/>
      <c r="HR210" s="20"/>
      <c r="HS210" s="20"/>
      <c r="HT210" s="20"/>
      <c r="HU210" s="20"/>
      <c r="HV210" s="20"/>
      <c r="HW210" s="20"/>
      <c r="HX210" s="20"/>
      <c r="HY210" s="20"/>
      <c r="HZ210" s="20"/>
      <c r="IA210" s="20"/>
      <c r="IB210" s="20"/>
      <c r="IC210" s="20"/>
      <c r="ID210" s="20"/>
      <c r="IE210" s="20"/>
      <c r="IF210" s="20"/>
      <c r="IG210" s="20"/>
      <c r="IH210" s="20"/>
      <c r="II210" s="20"/>
      <c r="IJ210" s="20"/>
      <c r="IK210" s="20"/>
      <c r="IL210" s="20"/>
      <c r="IM210" s="20"/>
      <c r="IN210" s="20"/>
      <c r="IO210" s="20"/>
      <c r="IP210" s="20"/>
      <c r="IQ210" s="20"/>
      <c r="IR210" s="20"/>
      <c r="IS210" s="20"/>
      <c r="IT210" s="20"/>
      <c r="IU210" s="20"/>
      <c r="IV210" s="20"/>
      <c r="IW210" s="20"/>
      <c r="IX210" s="20"/>
      <c r="IY210" s="20"/>
      <c r="IZ210" s="20"/>
      <c r="JA210" s="20"/>
      <c r="JB210" s="20"/>
      <c r="JC210" s="20"/>
      <c r="JD210" s="20"/>
      <c r="JE210" s="20"/>
      <c r="JF210" s="20"/>
      <c r="JG210" s="20"/>
      <c r="JH210" s="20"/>
      <c r="JI210" s="20"/>
    </row>
    <row r="211" spans="1:269">
      <c r="A211" s="61"/>
      <c r="B211" s="20"/>
      <c r="C211" s="20"/>
      <c r="D211" s="27"/>
      <c r="E211" s="27"/>
      <c r="F211" s="27"/>
      <c r="G211" s="18"/>
      <c r="H211" s="27"/>
      <c r="I211" s="27"/>
      <c r="J211" s="18"/>
      <c r="K211" s="27"/>
      <c r="L211" s="27"/>
      <c r="M211" s="18"/>
      <c r="N211" s="27"/>
      <c r="O211" s="27"/>
      <c r="P211" s="18"/>
      <c r="Q211" s="27"/>
      <c r="R211" s="18"/>
      <c r="S211" s="18"/>
      <c r="T211" s="18"/>
      <c r="U211" s="18"/>
      <c r="V211" s="18"/>
      <c r="W211" s="105"/>
      <c r="X211" s="105"/>
      <c r="Y211" s="18"/>
      <c r="Z211" s="105"/>
      <c r="AA211" s="105"/>
      <c r="AB211" s="18"/>
      <c r="AC211" s="105"/>
      <c r="AD211" s="105"/>
      <c r="AE211" s="18"/>
      <c r="AF211" s="105"/>
      <c r="AG211" s="105"/>
      <c r="AH211" s="105"/>
      <c r="AI211" s="105"/>
      <c r="AJ211" s="105"/>
      <c r="AK211" s="105"/>
      <c r="AL211" s="105"/>
      <c r="AM211" s="18"/>
      <c r="AN211" s="105"/>
      <c r="AO211" s="105"/>
      <c r="AP211" s="105"/>
      <c r="AQ211" s="18"/>
      <c r="AR211" s="105"/>
      <c r="AS211" s="105"/>
      <c r="AT211" s="105"/>
      <c r="AU211" s="18"/>
      <c r="AV211" s="105"/>
      <c r="AW211" s="105"/>
      <c r="AX211" s="18"/>
      <c r="AY211" s="105"/>
      <c r="AZ211" s="105"/>
      <c r="BA211" s="105"/>
      <c r="BB211" s="105"/>
      <c r="BC211" s="18"/>
      <c r="BD211" s="89"/>
      <c r="BE211" s="89"/>
      <c r="BF211" s="89"/>
      <c r="BG211" s="89"/>
      <c r="BH211" s="89"/>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c r="DU211" s="20"/>
      <c r="DV211" s="20"/>
      <c r="DW211" s="20"/>
      <c r="DX211" s="20"/>
      <c r="DY211" s="20"/>
      <c r="DZ211" s="20"/>
      <c r="EA211" s="20"/>
      <c r="EB211" s="20"/>
      <c r="EC211" s="20"/>
      <c r="ED211" s="20"/>
      <c r="EE211" s="20"/>
      <c r="EF211" s="20"/>
      <c r="EG211" s="20"/>
      <c r="EH211" s="20"/>
      <c r="EI211" s="20"/>
      <c r="EJ211" s="20"/>
      <c r="EK211" s="20"/>
      <c r="EL211" s="20"/>
      <c r="EM211" s="20"/>
      <c r="EN211" s="20"/>
      <c r="EO211" s="20"/>
      <c r="EP211" s="20"/>
      <c r="EQ211" s="20"/>
      <c r="ER211" s="20"/>
      <c r="ES211" s="20"/>
      <c r="ET211" s="20"/>
      <c r="EU211" s="20"/>
      <c r="EV211" s="20"/>
      <c r="EW211" s="20"/>
      <c r="EX211" s="20"/>
      <c r="EY211" s="20"/>
      <c r="EZ211" s="20"/>
      <c r="FA211" s="20"/>
      <c r="FB211" s="20"/>
      <c r="FC211" s="20"/>
      <c r="FD211" s="20"/>
      <c r="FE211" s="20"/>
      <c r="FF211" s="20"/>
      <c r="FG211" s="20"/>
      <c r="FH211" s="20"/>
      <c r="FI211" s="20"/>
      <c r="FJ211" s="20"/>
      <c r="FK211" s="20"/>
      <c r="FL211" s="20"/>
      <c r="FM211" s="20"/>
      <c r="FN211" s="20"/>
      <c r="FO211" s="20"/>
      <c r="FP211" s="20"/>
      <c r="FQ211" s="20"/>
      <c r="FR211" s="20"/>
      <c r="FS211" s="20"/>
      <c r="FT211" s="20"/>
      <c r="FU211" s="20"/>
      <c r="FV211" s="20"/>
      <c r="FW211" s="20"/>
      <c r="FX211" s="20"/>
      <c r="FY211" s="20"/>
      <c r="FZ211" s="20"/>
      <c r="GA211" s="20"/>
      <c r="GB211" s="20"/>
      <c r="GC211" s="20"/>
      <c r="GD211" s="20"/>
      <c r="GE211" s="20"/>
      <c r="GF211" s="20"/>
      <c r="GG211" s="20"/>
      <c r="GH211" s="20"/>
      <c r="GI211" s="20"/>
      <c r="GJ211" s="20"/>
      <c r="GK211" s="20"/>
      <c r="GL211" s="20"/>
      <c r="GM211" s="20"/>
      <c r="GN211" s="20"/>
      <c r="GO211" s="20"/>
      <c r="GP211" s="20"/>
      <c r="GQ211" s="20"/>
      <c r="GR211" s="20"/>
      <c r="GS211" s="20"/>
      <c r="GT211" s="20"/>
      <c r="GU211" s="20"/>
      <c r="GV211" s="20"/>
      <c r="GW211" s="20"/>
      <c r="GX211" s="20"/>
      <c r="GY211" s="20"/>
      <c r="GZ211" s="20"/>
      <c r="HA211" s="20"/>
      <c r="HB211" s="20"/>
      <c r="HC211" s="20"/>
      <c r="HD211" s="20"/>
      <c r="HE211" s="20"/>
      <c r="HF211" s="20"/>
      <c r="HG211" s="20"/>
      <c r="HH211" s="20"/>
      <c r="HI211" s="20"/>
      <c r="HJ211" s="20"/>
      <c r="HK211" s="20"/>
      <c r="HL211" s="20"/>
      <c r="HM211" s="20"/>
      <c r="HN211" s="20"/>
      <c r="HO211" s="20"/>
      <c r="HP211" s="20"/>
      <c r="HQ211" s="20"/>
      <c r="HR211" s="20"/>
      <c r="HS211" s="20"/>
      <c r="HT211" s="20"/>
      <c r="HU211" s="20"/>
      <c r="HV211" s="20"/>
      <c r="HW211" s="20"/>
      <c r="HX211" s="20"/>
      <c r="HY211" s="20"/>
      <c r="HZ211" s="20"/>
      <c r="IA211" s="20"/>
      <c r="IB211" s="20"/>
      <c r="IC211" s="20"/>
      <c r="ID211" s="20"/>
      <c r="IE211" s="20"/>
      <c r="IF211" s="20"/>
      <c r="IG211" s="20"/>
      <c r="IH211" s="20"/>
      <c r="II211" s="20"/>
      <c r="IJ211" s="20"/>
      <c r="IK211" s="20"/>
      <c r="IL211" s="20"/>
      <c r="IM211" s="20"/>
      <c r="IN211" s="20"/>
      <c r="IO211" s="20"/>
      <c r="IP211" s="20"/>
      <c r="IQ211" s="20"/>
      <c r="IR211" s="20"/>
      <c r="IS211" s="20"/>
      <c r="IT211" s="20"/>
      <c r="IU211" s="20"/>
      <c r="IV211" s="20"/>
      <c r="IW211" s="20"/>
      <c r="IX211" s="20"/>
      <c r="IY211" s="20"/>
      <c r="IZ211" s="20"/>
      <c r="JA211" s="20"/>
      <c r="JB211" s="20"/>
      <c r="JC211" s="20"/>
      <c r="JD211" s="20"/>
      <c r="JE211" s="20"/>
      <c r="JF211" s="20"/>
      <c r="JG211" s="20"/>
      <c r="JH211" s="20"/>
      <c r="JI211" s="20"/>
    </row>
    <row r="212" spans="1:269">
      <c r="A212" s="61"/>
      <c r="B212" s="20"/>
      <c r="C212" s="20"/>
      <c r="D212" s="27"/>
      <c r="E212" s="27"/>
      <c r="F212" s="27"/>
      <c r="G212" s="18"/>
      <c r="H212" s="27"/>
      <c r="I212" s="27"/>
      <c r="J212" s="18"/>
      <c r="K212" s="27"/>
      <c r="L212" s="27"/>
      <c r="M212" s="18"/>
      <c r="N212" s="27"/>
      <c r="O212" s="27"/>
      <c r="P212" s="18"/>
      <c r="Q212" s="27"/>
      <c r="R212" s="18"/>
      <c r="S212" s="18"/>
      <c r="T212" s="18"/>
      <c r="U212" s="18"/>
      <c r="V212" s="18"/>
      <c r="W212" s="105"/>
      <c r="X212" s="105"/>
      <c r="Y212" s="18"/>
      <c r="Z212" s="105"/>
      <c r="AA212" s="105"/>
      <c r="AB212" s="18"/>
      <c r="AC212" s="105"/>
      <c r="AD212" s="105"/>
      <c r="AE212" s="18"/>
      <c r="AF212" s="105"/>
      <c r="AG212" s="105"/>
      <c r="AH212" s="105"/>
      <c r="AI212" s="105"/>
      <c r="AJ212" s="105"/>
      <c r="AK212" s="105"/>
      <c r="AL212" s="105"/>
      <c r="AM212" s="18"/>
      <c r="AN212" s="105"/>
      <c r="AO212" s="105"/>
      <c r="AP212" s="105"/>
      <c r="AQ212" s="18"/>
      <c r="AR212" s="105"/>
      <c r="AS212" s="105"/>
      <c r="AT212" s="105"/>
      <c r="AU212" s="18"/>
      <c r="AV212" s="105"/>
      <c r="AW212" s="105"/>
      <c r="AX212" s="18"/>
      <c r="AY212" s="105"/>
      <c r="AZ212" s="105"/>
      <c r="BA212" s="105"/>
      <c r="BB212" s="105"/>
      <c r="BC212" s="18"/>
      <c r="BD212" s="89"/>
      <c r="BE212" s="89"/>
      <c r="BF212" s="89"/>
      <c r="BG212" s="89"/>
      <c r="BH212" s="89"/>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c r="DU212" s="20"/>
      <c r="DV212" s="20"/>
      <c r="DW212" s="20"/>
      <c r="DX212" s="20"/>
      <c r="DY212" s="20"/>
      <c r="DZ212" s="20"/>
      <c r="EA212" s="20"/>
      <c r="EB212" s="20"/>
      <c r="EC212" s="20"/>
      <c r="ED212" s="20"/>
      <c r="EE212" s="20"/>
      <c r="EF212" s="20"/>
      <c r="EG212" s="20"/>
      <c r="EH212" s="20"/>
      <c r="EI212" s="20"/>
      <c r="EJ212" s="20"/>
      <c r="EK212" s="20"/>
      <c r="EL212" s="20"/>
      <c r="EM212" s="20"/>
      <c r="EN212" s="20"/>
      <c r="EO212" s="20"/>
      <c r="EP212" s="20"/>
      <c r="EQ212" s="20"/>
      <c r="ER212" s="20"/>
      <c r="ES212" s="20"/>
      <c r="ET212" s="20"/>
      <c r="EU212" s="20"/>
      <c r="EV212" s="20"/>
      <c r="EW212" s="20"/>
      <c r="EX212" s="20"/>
      <c r="EY212" s="20"/>
      <c r="EZ212" s="20"/>
      <c r="FA212" s="20"/>
      <c r="FB212" s="20"/>
      <c r="FC212" s="20"/>
      <c r="FD212" s="20"/>
      <c r="FE212" s="20"/>
      <c r="FF212" s="20"/>
      <c r="FG212" s="20"/>
      <c r="FH212" s="20"/>
      <c r="FI212" s="20"/>
      <c r="FJ212" s="20"/>
      <c r="FK212" s="20"/>
      <c r="FL212" s="20"/>
      <c r="FM212" s="20"/>
      <c r="FN212" s="20"/>
      <c r="FO212" s="20"/>
      <c r="FP212" s="20"/>
      <c r="FQ212" s="20"/>
      <c r="FR212" s="20"/>
      <c r="FS212" s="20"/>
      <c r="FT212" s="20"/>
      <c r="FU212" s="20"/>
      <c r="FV212" s="20"/>
      <c r="FW212" s="20"/>
      <c r="FX212" s="20"/>
      <c r="FY212" s="20"/>
      <c r="FZ212" s="20"/>
      <c r="GA212" s="20"/>
      <c r="GB212" s="20"/>
      <c r="GC212" s="20"/>
      <c r="GD212" s="20"/>
      <c r="GE212" s="20"/>
      <c r="GF212" s="20"/>
      <c r="GG212" s="20"/>
      <c r="GH212" s="20"/>
      <c r="GI212" s="20"/>
      <c r="GJ212" s="20"/>
      <c r="GK212" s="20"/>
      <c r="GL212" s="20"/>
      <c r="GM212" s="20"/>
      <c r="GN212" s="20"/>
      <c r="GO212" s="20"/>
      <c r="GP212" s="20"/>
      <c r="GQ212" s="20"/>
      <c r="GR212" s="20"/>
      <c r="GS212" s="20"/>
      <c r="GT212" s="20"/>
      <c r="GU212" s="20"/>
      <c r="GV212" s="20"/>
      <c r="GW212" s="20"/>
      <c r="GX212" s="20"/>
      <c r="GY212" s="20"/>
      <c r="GZ212" s="20"/>
      <c r="HA212" s="20"/>
      <c r="HB212" s="20"/>
      <c r="HC212" s="20"/>
      <c r="HD212" s="20"/>
      <c r="HE212" s="20"/>
      <c r="HF212" s="20"/>
      <c r="HG212" s="20"/>
      <c r="HH212" s="20"/>
      <c r="HI212" s="20"/>
      <c r="HJ212" s="20"/>
      <c r="HK212" s="20"/>
      <c r="HL212" s="20"/>
      <c r="HM212" s="20"/>
      <c r="HN212" s="20"/>
      <c r="HO212" s="20"/>
      <c r="HP212" s="20"/>
      <c r="HQ212" s="20"/>
      <c r="HR212" s="20"/>
      <c r="HS212" s="20"/>
      <c r="HT212" s="20"/>
      <c r="HU212" s="20"/>
      <c r="HV212" s="20"/>
      <c r="HW212" s="20"/>
      <c r="HX212" s="20"/>
      <c r="HY212" s="20"/>
      <c r="HZ212" s="20"/>
      <c r="IA212" s="20"/>
      <c r="IB212" s="20"/>
      <c r="IC212" s="20"/>
      <c r="ID212" s="20"/>
      <c r="IE212" s="20"/>
      <c r="IF212" s="20"/>
      <c r="IG212" s="20"/>
      <c r="IH212" s="20"/>
      <c r="II212" s="20"/>
      <c r="IJ212" s="20"/>
      <c r="IK212" s="20"/>
      <c r="IL212" s="20"/>
      <c r="IM212" s="20"/>
      <c r="IN212" s="20"/>
      <c r="IO212" s="20"/>
      <c r="IP212" s="20"/>
      <c r="IQ212" s="20"/>
      <c r="IR212" s="20"/>
      <c r="IS212" s="20"/>
      <c r="IT212" s="20"/>
      <c r="IU212" s="20"/>
      <c r="IV212" s="20"/>
      <c r="IW212" s="20"/>
      <c r="IX212" s="20"/>
      <c r="IY212" s="20"/>
      <c r="IZ212" s="20"/>
      <c r="JA212" s="20"/>
      <c r="JB212" s="20"/>
      <c r="JC212" s="20"/>
      <c r="JD212" s="20"/>
      <c r="JE212" s="20"/>
      <c r="JF212" s="20"/>
      <c r="JG212" s="20"/>
      <c r="JH212" s="20"/>
      <c r="JI212" s="20"/>
    </row>
    <row r="213" spans="1:269">
      <c r="A213" s="61" ph="1"/>
      <c r="B213" s="20" ph="1"/>
      <c r="C213" s="20" ph="1"/>
      <c r="D213" s="27" ph="1"/>
      <c r="E213" s="27" ph="1"/>
      <c r="F213" s="27" ph="1"/>
      <c r="G213" s="18" ph="1"/>
      <c r="H213" s="27" ph="1"/>
      <c r="I213" s="27" ph="1"/>
      <c r="J213" s="18" ph="1"/>
      <c r="K213" s="27" ph="1"/>
      <c r="L213" s="27" ph="1"/>
      <c r="M213" s="18" ph="1"/>
      <c r="N213" s="27" ph="1"/>
      <c r="O213" s="27" ph="1"/>
      <c r="P213" s="18" ph="1"/>
      <c r="Q213" s="27" ph="1"/>
      <c r="R213" s="18" ph="1"/>
      <c r="S213" s="18" ph="1"/>
      <c r="T213" s="18" ph="1"/>
      <c r="U213" s="18" ph="1"/>
      <c r="V213" s="18" ph="1"/>
      <c r="W213" s="105" ph="1"/>
      <c r="X213" s="105" ph="1"/>
      <c r="Y213" s="18" ph="1"/>
      <c r="Z213" s="105" ph="1"/>
      <c r="AA213" s="105" ph="1"/>
      <c r="AB213" s="18" ph="1"/>
      <c r="AC213" s="105" ph="1"/>
      <c r="AD213" s="105" ph="1"/>
      <c r="AE213" s="18" ph="1"/>
      <c r="AF213" s="105" ph="1"/>
      <c r="AG213" s="105" ph="1"/>
      <c r="AH213" s="105" ph="1"/>
      <c r="AI213" s="105" ph="1"/>
      <c r="AJ213" s="105" ph="1"/>
      <c r="AK213" s="105" ph="1"/>
      <c r="AL213" s="105" ph="1"/>
      <c r="AM213" s="18" ph="1"/>
      <c r="AN213" s="105" ph="1"/>
      <c r="AO213" s="105" ph="1"/>
      <c r="AP213" s="105" ph="1"/>
      <c r="AQ213" s="18" ph="1"/>
      <c r="AR213" s="105" ph="1"/>
      <c r="AS213" s="105" ph="1"/>
      <c r="AT213" s="105" ph="1"/>
      <c r="AU213" s="18" ph="1"/>
      <c r="AV213" s="105" ph="1"/>
      <c r="AW213" s="105" ph="1"/>
      <c r="AX213" s="18" ph="1"/>
      <c r="AY213" s="105" ph="1"/>
      <c r="AZ213" s="105" ph="1"/>
      <c r="BA213" s="105" ph="1"/>
      <c r="BB213" s="105" ph="1"/>
      <c r="BC213" s="18" ph="1"/>
      <c r="BD213" s="89"/>
      <c r="BE213" s="89"/>
      <c r="BF213" s="89"/>
      <c r="BG213" s="89"/>
      <c r="BH213" s="89"/>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c r="DU213" s="20"/>
      <c r="DV213" s="20"/>
      <c r="DW213" s="20"/>
      <c r="DX213" s="20"/>
      <c r="DY213" s="20"/>
      <c r="DZ213" s="20"/>
      <c r="EA213" s="20"/>
      <c r="EB213" s="20"/>
      <c r="EC213" s="20"/>
      <c r="ED213" s="20"/>
      <c r="EE213" s="20"/>
      <c r="EF213" s="20"/>
      <c r="EG213" s="20"/>
      <c r="EH213" s="20"/>
      <c r="EI213" s="20"/>
      <c r="EJ213" s="20"/>
      <c r="EK213" s="20"/>
      <c r="EL213" s="20"/>
      <c r="EM213" s="20"/>
      <c r="EN213" s="20"/>
      <c r="EO213" s="20"/>
      <c r="EP213" s="20"/>
      <c r="EQ213" s="20"/>
      <c r="ER213" s="20"/>
      <c r="ES213" s="20"/>
      <c r="ET213" s="20"/>
      <c r="EU213" s="20"/>
      <c r="EV213" s="20"/>
      <c r="EW213" s="20"/>
      <c r="EX213" s="20"/>
      <c r="EY213" s="20"/>
      <c r="EZ213" s="20"/>
      <c r="FA213" s="20"/>
      <c r="FB213" s="20"/>
      <c r="FC213" s="20"/>
      <c r="FD213" s="20"/>
      <c r="FE213" s="20"/>
      <c r="FF213" s="20"/>
      <c r="FG213" s="20"/>
      <c r="FH213" s="20"/>
      <c r="FI213" s="20"/>
      <c r="FJ213" s="20"/>
      <c r="FK213" s="20"/>
      <c r="FL213" s="20"/>
      <c r="FM213" s="20"/>
      <c r="FN213" s="20"/>
      <c r="FO213" s="20"/>
      <c r="FP213" s="20"/>
      <c r="FQ213" s="20"/>
      <c r="FR213" s="20"/>
      <c r="FS213" s="20"/>
      <c r="FT213" s="20"/>
      <c r="FU213" s="20"/>
      <c r="FV213" s="20"/>
      <c r="FW213" s="20"/>
      <c r="FX213" s="20"/>
      <c r="FY213" s="20"/>
      <c r="FZ213" s="20"/>
      <c r="GA213" s="20"/>
      <c r="GB213" s="20"/>
      <c r="GC213" s="20"/>
      <c r="GD213" s="20"/>
      <c r="GE213" s="20"/>
      <c r="GF213" s="20"/>
      <c r="GG213" s="20"/>
      <c r="GH213" s="20"/>
      <c r="GI213" s="20"/>
      <c r="GJ213" s="20"/>
      <c r="GK213" s="20"/>
      <c r="GL213" s="20"/>
      <c r="GM213" s="20"/>
      <c r="GN213" s="20"/>
      <c r="GO213" s="20"/>
      <c r="GP213" s="20"/>
      <c r="GQ213" s="20"/>
      <c r="GR213" s="20"/>
      <c r="GS213" s="20"/>
      <c r="GT213" s="20"/>
      <c r="GU213" s="20"/>
      <c r="GV213" s="20"/>
      <c r="GW213" s="20"/>
      <c r="GX213" s="20"/>
      <c r="GY213" s="20"/>
      <c r="GZ213" s="20"/>
      <c r="HA213" s="20"/>
      <c r="HB213" s="20"/>
      <c r="HC213" s="20"/>
      <c r="HD213" s="20"/>
      <c r="HE213" s="20"/>
      <c r="HF213" s="20"/>
      <c r="HG213" s="20"/>
      <c r="HH213" s="20"/>
      <c r="HI213" s="20"/>
      <c r="HJ213" s="20"/>
      <c r="HK213" s="20"/>
      <c r="HL213" s="20"/>
      <c r="HM213" s="20"/>
      <c r="HN213" s="20"/>
      <c r="HO213" s="20"/>
      <c r="HP213" s="20"/>
      <c r="HQ213" s="20"/>
      <c r="HR213" s="20"/>
      <c r="HS213" s="20"/>
      <c r="HT213" s="20"/>
      <c r="HU213" s="20"/>
      <c r="HV213" s="20"/>
      <c r="HW213" s="20"/>
      <c r="HX213" s="20"/>
      <c r="HY213" s="20"/>
      <c r="HZ213" s="20"/>
      <c r="IA213" s="20"/>
      <c r="IB213" s="20"/>
      <c r="IC213" s="20"/>
      <c r="ID213" s="20"/>
      <c r="IE213" s="20"/>
      <c r="IF213" s="20"/>
      <c r="IG213" s="20"/>
      <c r="IH213" s="20"/>
      <c r="II213" s="20"/>
      <c r="IJ213" s="20"/>
      <c r="IK213" s="20"/>
      <c r="IL213" s="20"/>
      <c r="IM213" s="20"/>
      <c r="IN213" s="20"/>
      <c r="IO213" s="20"/>
      <c r="IP213" s="20"/>
      <c r="IQ213" s="20"/>
      <c r="IR213" s="20"/>
      <c r="IS213" s="20"/>
      <c r="IT213" s="20"/>
      <c r="IU213" s="20"/>
      <c r="IV213" s="20"/>
      <c r="IW213" s="20"/>
      <c r="IX213" s="20"/>
      <c r="IY213" s="20"/>
      <c r="IZ213" s="20"/>
      <c r="JA213" s="20"/>
      <c r="JB213" s="20"/>
      <c r="JC213" s="20"/>
      <c r="JD213" s="20"/>
      <c r="JE213" s="20"/>
      <c r="JF213" s="20"/>
      <c r="JG213" s="20"/>
      <c r="JH213" s="20"/>
      <c r="JI213" s="20"/>
    </row>
    <row r="214" spans="1:269">
      <c r="A214" s="61"/>
      <c r="B214" s="20"/>
      <c r="C214" s="20"/>
      <c r="D214" s="27"/>
      <c r="E214" s="27"/>
      <c r="F214" s="27"/>
      <c r="G214" s="18"/>
      <c r="H214" s="27"/>
      <c r="I214" s="27"/>
      <c r="J214" s="18"/>
      <c r="K214" s="27"/>
      <c r="L214" s="27"/>
      <c r="M214" s="18"/>
      <c r="N214" s="27"/>
      <c r="O214" s="27"/>
      <c r="P214" s="18"/>
      <c r="Q214" s="27"/>
      <c r="R214" s="18"/>
      <c r="S214" s="18"/>
      <c r="T214" s="18"/>
      <c r="U214" s="18"/>
      <c r="V214" s="18"/>
      <c r="W214" s="105"/>
      <c r="X214" s="105"/>
      <c r="Y214" s="18"/>
      <c r="Z214" s="105"/>
      <c r="AA214" s="105"/>
      <c r="AB214" s="18"/>
      <c r="AC214" s="105"/>
      <c r="AD214" s="105"/>
      <c r="AE214" s="18"/>
      <c r="AF214" s="105"/>
      <c r="AG214" s="105"/>
      <c r="AH214" s="105"/>
      <c r="AI214" s="105"/>
      <c r="AJ214" s="105"/>
      <c r="AK214" s="105"/>
      <c r="AL214" s="105"/>
      <c r="AM214" s="18"/>
      <c r="AN214" s="105"/>
      <c r="AO214" s="105"/>
      <c r="AP214" s="105"/>
      <c r="AQ214" s="18"/>
      <c r="AR214" s="105"/>
      <c r="AS214" s="105"/>
      <c r="AT214" s="105"/>
      <c r="AU214" s="18"/>
      <c r="AV214" s="105"/>
      <c r="AW214" s="105"/>
      <c r="AX214" s="18"/>
      <c r="AY214" s="105"/>
      <c r="AZ214" s="105"/>
      <c r="BA214" s="105"/>
      <c r="BB214" s="105"/>
      <c r="BC214" s="18"/>
      <c r="BD214" s="89"/>
      <c r="BE214" s="89"/>
      <c r="BF214" s="89"/>
      <c r="BG214" s="89"/>
      <c r="BH214" s="89"/>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c r="DU214" s="20"/>
      <c r="DV214" s="20"/>
      <c r="DW214" s="20"/>
      <c r="DX214" s="20"/>
      <c r="DY214" s="20"/>
      <c r="DZ214" s="20"/>
      <c r="EA214" s="20"/>
      <c r="EB214" s="20"/>
      <c r="EC214" s="20"/>
      <c r="ED214" s="20"/>
      <c r="EE214" s="20"/>
      <c r="EF214" s="20"/>
      <c r="EG214" s="20"/>
      <c r="EH214" s="20"/>
      <c r="EI214" s="20"/>
      <c r="EJ214" s="20"/>
      <c r="EK214" s="20"/>
      <c r="EL214" s="20"/>
      <c r="EM214" s="20"/>
      <c r="EN214" s="20"/>
      <c r="EO214" s="20"/>
      <c r="EP214" s="20"/>
      <c r="EQ214" s="20"/>
      <c r="ER214" s="20"/>
      <c r="ES214" s="20"/>
      <c r="ET214" s="20"/>
      <c r="EU214" s="20"/>
      <c r="EV214" s="20"/>
      <c r="EW214" s="20"/>
      <c r="EX214" s="20"/>
      <c r="EY214" s="20"/>
      <c r="EZ214" s="20"/>
      <c r="FA214" s="20"/>
      <c r="FB214" s="20"/>
      <c r="FC214" s="20"/>
      <c r="FD214" s="20"/>
      <c r="FE214" s="20"/>
      <c r="FF214" s="20"/>
      <c r="FG214" s="20"/>
      <c r="FH214" s="20"/>
      <c r="FI214" s="20"/>
      <c r="FJ214" s="20"/>
      <c r="FK214" s="20"/>
      <c r="FL214" s="20"/>
      <c r="FM214" s="20"/>
      <c r="FN214" s="20"/>
      <c r="FO214" s="20"/>
      <c r="FP214" s="20"/>
      <c r="FQ214" s="20"/>
      <c r="FR214" s="20"/>
      <c r="FS214" s="20"/>
      <c r="FT214" s="20"/>
      <c r="FU214" s="20"/>
      <c r="FV214" s="20"/>
      <c r="FW214" s="20"/>
      <c r="FX214" s="20"/>
      <c r="FY214" s="20"/>
      <c r="FZ214" s="20"/>
      <c r="GA214" s="20"/>
      <c r="GB214" s="20"/>
      <c r="GC214" s="20"/>
      <c r="GD214" s="20"/>
      <c r="GE214" s="20"/>
      <c r="GF214" s="20"/>
      <c r="GG214" s="20"/>
      <c r="GH214" s="20"/>
      <c r="GI214" s="20"/>
      <c r="GJ214" s="20"/>
      <c r="GK214" s="20"/>
      <c r="GL214" s="20"/>
      <c r="GM214" s="20"/>
      <c r="GN214" s="20"/>
      <c r="GO214" s="20"/>
      <c r="GP214" s="20"/>
      <c r="GQ214" s="20"/>
      <c r="GR214" s="20"/>
      <c r="GS214" s="20"/>
      <c r="GT214" s="20"/>
      <c r="GU214" s="20"/>
      <c r="GV214" s="20"/>
      <c r="GW214" s="20"/>
      <c r="GX214" s="20"/>
      <c r="GY214" s="20"/>
      <c r="GZ214" s="20"/>
      <c r="HA214" s="20"/>
      <c r="HB214" s="20"/>
      <c r="HC214" s="20"/>
      <c r="HD214" s="20"/>
      <c r="HE214" s="20"/>
      <c r="HF214" s="20"/>
      <c r="HG214" s="20"/>
      <c r="HH214" s="20"/>
      <c r="HI214" s="20"/>
      <c r="HJ214" s="20"/>
      <c r="HK214" s="20"/>
      <c r="HL214" s="20"/>
      <c r="HM214" s="20"/>
      <c r="HN214" s="20"/>
      <c r="HO214" s="20"/>
      <c r="HP214" s="20"/>
      <c r="HQ214" s="20"/>
      <c r="HR214" s="20"/>
      <c r="HS214" s="20"/>
      <c r="HT214" s="20"/>
      <c r="HU214" s="20"/>
      <c r="HV214" s="20"/>
      <c r="HW214" s="20"/>
      <c r="HX214" s="20"/>
      <c r="HY214" s="20"/>
      <c r="HZ214" s="20"/>
      <c r="IA214" s="20"/>
      <c r="IB214" s="20"/>
      <c r="IC214" s="20"/>
      <c r="ID214" s="20"/>
      <c r="IE214" s="20"/>
      <c r="IF214" s="20"/>
      <c r="IG214" s="20"/>
      <c r="IH214" s="20"/>
      <c r="II214" s="20"/>
      <c r="IJ214" s="20"/>
      <c r="IK214" s="20"/>
      <c r="IL214" s="20"/>
      <c r="IM214" s="20"/>
      <c r="IN214" s="20"/>
      <c r="IO214" s="20"/>
      <c r="IP214" s="20"/>
      <c r="IQ214" s="20"/>
      <c r="IR214" s="20"/>
      <c r="IS214" s="20"/>
      <c r="IT214" s="20"/>
      <c r="IU214" s="20"/>
      <c r="IV214" s="20"/>
      <c r="IW214" s="20"/>
      <c r="IX214" s="20"/>
      <c r="IY214" s="20"/>
      <c r="IZ214" s="20"/>
      <c r="JA214" s="20"/>
      <c r="JB214" s="20"/>
      <c r="JC214" s="20"/>
      <c r="JD214" s="20"/>
      <c r="JE214" s="20"/>
      <c r="JF214" s="20"/>
      <c r="JG214" s="20"/>
      <c r="JH214" s="20"/>
      <c r="JI214" s="20"/>
    </row>
    <row r="215" spans="1:269">
      <c r="A215" s="61"/>
      <c r="B215" s="20"/>
      <c r="C215" s="20"/>
      <c r="D215" s="27"/>
      <c r="E215" s="27"/>
      <c r="F215" s="27"/>
      <c r="G215" s="18"/>
      <c r="H215" s="27"/>
      <c r="I215" s="27"/>
      <c r="J215" s="18"/>
      <c r="K215" s="27"/>
      <c r="L215" s="27"/>
      <c r="M215" s="18"/>
      <c r="N215" s="27"/>
      <c r="O215" s="27"/>
      <c r="P215" s="18"/>
      <c r="Q215" s="27"/>
      <c r="R215" s="18"/>
      <c r="S215" s="18"/>
      <c r="T215" s="18"/>
      <c r="U215" s="18"/>
      <c r="V215" s="18"/>
      <c r="W215" s="105"/>
      <c r="X215" s="105"/>
      <c r="Y215" s="18"/>
      <c r="Z215" s="105"/>
      <c r="AA215" s="105"/>
      <c r="AB215" s="18"/>
      <c r="AC215" s="105"/>
      <c r="AD215" s="105"/>
      <c r="AE215" s="18"/>
      <c r="AF215" s="105"/>
      <c r="AG215" s="105"/>
      <c r="AH215" s="105"/>
      <c r="AI215" s="105"/>
      <c r="AJ215" s="105"/>
      <c r="AK215" s="105"/>
      <c r="AL215" s="105"/>
      <c r="AM215" s="18"/>
      <c r="AN215" s="105"/>
      <c r="AO215" s="105"/>
      <c r="AP215" s="105"/>
      <c r="AQ215" s="18"/>
      <c r="AR215" s="105"/>
      <c r="AS215" s="105"/>
      <c r="AT215" s="105"/>
      <c r="AU215" s="18"/>
      <c r="AV215" s="105"/>
      <c r="AW215" s="105"/>
      <c r="AX215" s="18"/>
      <c r="AY215" s="105"/>
      <c r="AZ215" s="105"/>
      <c r="BA215" s="105"/>
      <c r="BB215" s="105"/>
      <c r="BC215" s="18"/>
      <c r="BD215" s="89"/>
      <c r="BE215" s="89"/>
      <c r="BF215" s="89"/>
      <c r="BG215" s="89"/>
      <c r="BH215" s="89"/>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c r="DU215" s="20"/>
      <c r="DV215" s="20"/>
      <c r="DW215" s="20"/>
      <c r="DX215" s="20"/>
      <c r="DY215" s="20"/>
      <c r="DZ215" s="20"/>
      <c r="EA215" s="20"/>
      <c r="EB215" s="20"/>
      <c r="EC215" s="20"/>
      <c r="ED215" s="20"/>
      <c r="EE215" s="20"/>
      <c r="EF215" s="20"/>
      <c r="EG215" s="20"/>
      <c r="EH215" s="20"/>
      <c r="EI215" s="20"/>
      <c r="EJ215" s="20"/>
      <c r="EK215" s="20"/>
      <c r="EL215" s="20"/>
      <c r="EM215" s="20"/>
      <c r="EN215" s="20"/>
      <c r="EO215" s="20"/>
      <c r="EP215" s="20"/>
      <c r="EQ215" s="20"/>
      <c r="ER215" s="20"/>
      <c r="ES215" s="20"/>
      <c r="ET215" s="20"/>
      <c r="EU215" s="20"/>
      <c r="EV215" s="20"/>
      <c r="EW215" s="20"/>
      <c r="EX215" s="20"/>
      <c r="EY215" s="20"/>
      <c r="EZ215" s="20"/>
      <c r="FA215" s="20"/>
      <c r="FB215" s="20"/>
      <c r="FC215" s="20"/>
      <c r="FD215" s="20"/>
      <c r="FE215" s="20"/>
      <c r="FF215" s="20"/>
      <c r="FG215" s="20"/>
      <c r="FH215" s="20"/>
      <c r="FI215" s="20"/>
      <c r="FJ215" s="20"/>
      <c r="FK215" s="20"/>
      <c r="FL215" s="20"/>
      <c r="FM215" s="20"/>
      <c r="FN215" s="20"/>
      <c r="FO215" s="20"/>
      <c r="FP215" s="20"/>
      <c r="FQ215" s="20"/>
      <c r="FR215" s="20"/>
      <c r="FS215" s="20"/>
      <c r="FT215" s="20"/>
      <c r="FU215" s="20"/>
      <c r="FV215" s="20"/>
      <c r="FW215" s="20"/>
      <c r="FX215" s="20"/>
      <c r="FY215" s="20"/>
      <c r="FZ215" s="20"/>
      <c r="GA215" s="20"/>
      <c r="GB215" s="20"/>
      <c r="GC215" s="20"/>
      <c r="GD215" s="20"/>
      <c r="GE215" s="20"/>
      <c r="GF215" s="20"/>
      <c r="GG215" s="20"/>
      <c r="GH215" s="20"/>
      <c r="GI215" s="20"/>
      <c r="GJ215" s="20"/>
      <c r="GK215" s="20"/>
      <c r="GL215" s="20"/>
      <c r="GM215" s="20"/>
      <c r="GN215" s="20"/>
      <c r="GO215" s="20"/>
      <c r="GP215" s="20"/>
      <c r="GQ215" s="20"/>
      <c r="GR215" s="20"/>
      <c r="GS215" s="20"/>
      <c r="GT215" s="20"/>
      <c r="GU215" s="20"/>
      <c r="GV215" s="20"/>
      <c r="GW215" s="20"/>
      <c r="GX215" s="20"/>
      <c r="GY215" s="20"/>
      <c r="GZ215" s="20"/>
      <c r="HA215" s="20"/>
      <c r="HB215" s="20"/>
      <c r="HC215" s="20"/>
      <c r="HD215" s="20"/>
      <c r="HE215" s="20"/>
      <c r="HF215" s="20"/>
      <c r="HG215" s="20"/>
      <c r="HH215" s="20"/>
      <c r="HI215" s="20"/>
      <c r="HJ215" s="20"/>
      <c r="HK215" s="20"/>
      <c r="HL215" s="20"/>
      <c r="HM215" s="20"/>
      <c r="HN215" s="20"/>
      <c r="HO215" s="20"/>
      <c r="HP215" s="20"/>
      <c r="HQ215" s="20"/>
      <c r="HR215" s="20"/>
      <c r="HS215" s="20"/>
      <c r="HT215" s="20"/>
      <c r="HU215" s="20"/>
      <c r="HV215" s="20"/>
      <c r="HW215" s="20"/>
      <c r="HX215" s="20"/>
      <c r="HY215" s="20"/>
      <c r="HZ215" s="20"/>
      <c r="IA215" s="20"/>
      <c r="IB215" s="20"/>
      <c r="IC215" s="20"/>
      <c r="ID215" s="20"/>
      <c r="IE215" s="20"/>
      <c r="IF215" s="20"/>
      <c r="IG215" s="20"/>
      <c r="IH215" s="20"/>
      <c r="II215" s="20"/>
      <c r="IJ215" s="20"/>
      <c r="IK215" s="20"/>
      <c r="IL215" s="20"/>
      <c r="IM215" s="20"/>
      <c r="IN215" s="20"/>
      <c r="IO215" s="20"/>
      <c r="IP215" s="20"/>
      <c r="IQ215" s="20"/>
      <c r="IR215" s="20"/>
      <c r="IS215" s="20"/>
      <c r="IT215" s="20"/>
      <c r="IU215" s="20"/>
      <c r="IV215" s="20"/>
      <c r="IW215" s="20"/>
      <c r="IX215" s="20"/>
      <c r="IY215" s="20"/>
      <c r="IZ215" s="20"/>
      <c r="JA215" s="20"/>
      <c r="JB215" s="20"/>
      <c r="JC215" s="20"/>
      <c r="JD215" s="20"/>
      <c r="JE215" s="20"/>
      <c r="JF215" s="20"/>
      <c r="JG215" s="20"/>
      <c r="JH215" s="20"/>
      <c r="JI215" s="20"/>
    </row>
    <row r="216" spans="1:269">
      <c r="A216" s="61"/>
      <c r="B216" s="20"/>
      <c r="C216" s="20"/>
      <c r="D216" s="27"/>
      <c r="E216" s="27"/>
      <c r="F216" s="27"/>
      <c r="G216" s="18"/>
      <c r="H216" s="27"/>
      <c r="I216" s="27"/>
      <c r="J216" s="18"/>
      <c r="K216" s="27"/>
      <c r="L216" s="27"/>
      <c r="M216" s="18"/>
      <c r="N216" s="27"/>
      <c r="O216" s="27"/>
      <c r="P216" s="18"/>
      <c r="Q216" s="27"/>
      <c r="R216" s="18"/>
      <c r="S216" s="18"/>
      <c r="T216" s="18"/>
      <c r="U216" s="18"/>
      <c r="V216" s="18"/>
      <c r="W216" s="105"/>
      <c r="X216" s="105"/>
      <c r="Y216" s="18"/>
      <c r="Z216" s="105"/>
      <c r="AA216" s="105"/>
      <c r="AB216" s="18"/>
      <c r="AC216" s="105"/>
      <c r="AD216" s="105"/>
      <c r="AE216" s="18"/>
      <c r="AF216" s="105"/>
      <c r="AG216" s="105"/>
      <c r="AH216" s="105"/>
      <c r="AI216" s="105"/>
      <c r="AJ216" s="105"/>
      <c r="AK216" s="105"/>
      <c r="AL216" s="105"/>
      <c r="AM216" s="18"/>
      <c r="AN216" s="105"/>
      <c r="AO216" s="105"/>
      <c r="AP216" s="105"/>
      <c r="AQ216" s="18"/>
      <c r="AR216" s="105"/>
      <c r="AS216" s="105"/>
      <c r="AT216" s="105"/>
      <c r="AU216" s="18"/>
      <c r="AV216" s="105"/>
      <c r="AW216" s="105"/>
      <c r="AX216" s="18"/>
      <c r="AY216" s="105"/>
      <c r="AZ216" s="105"/>
      <c r="BA216" s="105"/>
      <c r="BB216" s="105"/>
      <c r="BC216" s="18"/>
      <c r="BD216" s="89"/>
      <c r="BE216" s="89"/>
      <c r="BF216" s="89"/>
      <c r="BG216" s="89"/>
      <c r="BH216" s="89"/>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20"/>
      <c r="GA216" s="20"/>
      <c r="GB216" s="20"/>
      <c r="GC216" s="20"/>
      <c r="GD216" s="20"/>
      <c r="GE216" s="20"/>
      <c r="GF216" s="20"/>
      <c r="GG216" s="20"/>
      <c r="GH216" s="20"/>
      <c r="GI216" s="20"/>
      <c r="GJ216" s="20"/>
      <c r="GK216" s="20"/>
      <c r="GL216" s="20"/>
      <c r="GM216" s="20"/>
      <c r="GN216" s="20"/>
      <c r="GO216" s="20"/>
      <c r="GP216" s="20"/>
      <c r="GQ216" s="20"/>
      <c r="GR216" s="20"/>
      <c r="GS216" s="20"/>
      <c r="GT216" s="20"/>
      <c r="GU216" s="20"/>
      <c r="GV216" s="20"/>
      <c r="GW216" s="20"/>
      <c r="GX216" s="20"/>
      <c r="GY216" s="20"/>
      <c r="GZ216" s="20"/>
      <c r="HA216" s="20"/>
      <c r="HB216" s="20"/>
      <c r="HC216" s="20"/>
      <c r="HD216" s="20"/>
      <c r="HE216" s="20"/>
      <c r="HF216" s="20"/>
      <c r="HG216" s="20"/>
      <c r="HH216" s="20"/>
      <c r="HI216" s="20"/>
      <c r="HJ216" s="20"/>
      <c r="HK216" s="20"/>
      <c r="HL216" s="20"/>
      <c r="HM216" s="20"/>
      <c r="HN216" s="20"/>
      <c r="HO216" s="20"/>
      <c r="HP216" s="20"/>
      <c r="HQ216" s="20"/>
      <c r="HR216" s="20"/>
      <c r="HS216" s="20"/>
      <c r="HT216" s="20"/>
      <c r="HU216" s="20"/>
      <c r="HV216" s="20"/>
      <c r="HW216" s="20"/>
      <c r="HX216" s="20"/>
      <c r="HY216" s="20"/>
      <c r="HZ216" s="20"/>
      <c r="IA216" s="20"/>
      <c r="IB216" s="20"/>
      <c r="IC216" s="20"/>
      <c r="ID216" s="20"/>
      <c r="IE216" s="20"/>
      <c r="IF216" s="20"/>
      <c r="IG216" s="20"/>
      <c r="IH216" s="20"/>
      <c r="II216" s="20"/>
      <c r="IJ216" s="20"/>
      <c r="IK216" s="20"/>
      <c r="IL216" s="20"/>
      <c r="IM216" s="20"/>
      <c r="IN216" s="20"/>
      <c r="IO216" s="20"/>
      <c r="IP216" s="20"/>
      <c r="IQ216" s="20"/>
      <c r="IR216" s="20"/>
      <c r="IS216" s="20"/>
      <c r="IT216" s="20"/>
      <c r="IU216" s="20"/>
      <c r="IV216" s="20"/>
      <c r="IW216" s="20"/>
      <c r="IX216" s="20"/>
      <c r="IY216" s="20"/>
      <c r="IZ216" s="20"/>
      <c r="JA216" s="20"/>
      <c r="JB216" s="20"/>
      <c r="JC216" s="20"/>
      <c r="JD216" s="20"/>
      <c r="JE216" s="20"/>
      <c r="JF216" s="20"/>
      <c r="JG216" s="20"/>
      <c r="JH216" s="20"/>
      <c r="JI216" s="20"/>
    </row>
    <row r="217" spans="1:269">
      <c r="A217" s="61"/>
      <c r="B217" s="20"/>
      <c r="C217" s="20"/>
      <c r="D217" s="27"/>
      <c r="E217" s="27"/>
      <c r="F217" s="27"/>
      <c r="G217" s="18"/>
      <c r="H217" s="27"/>
      <c r="I217" s="27"/>
      <c r="J217" s="18"/>
      <c r="K217" s="27"/>
      <c r="L217" s="27"/>
      <c r="M217" s="18"/>
      <c r="N217" s="27"/>
      <c r="O217" s="27"/>
      <c r="P217" s="18"/>
      <c r="Q217" s="27"/>
      <c r="R217" s="18"/>
      <c r="S217" s="18"/>
      <c r="T217" s="18"/>
      <c r="U217" s="18"/>
      <c r="V217" s="18"/>
      <c r="W217" s="105"/>
      <c r="X217" s="105"/>
      <c r="Y217" s="18"/>
      <c r="Z217" s="105"/>
      <c r="AA217" s="105"/>
      <c r="AB217" s="18"/>
      <c r="AC217" s="105"/>
      <c r="AD217" s="105"/>
      <c r="AE217" s="18"/>
      <c r="AF217" s="105"/>
      <c r="AG217" s="105"/>
      <c r="AH217" s="105"/>
      <c r="AI217" s="105"/>
      <c r="AJ217" s="105"/>
      <c r="AK217" s="105"/>
      <c r="AL217" s="105"/>
      <c r="AM217" s="18"/>
      <c r="AN217" s="105"/>
      <c r="AO217" s="105"/>
      <c r="AP217" s="105"/>
      <c r="AQ217" s="18"/>
      <c r="AR217" s="105"/>
      <c r="AS217" s="105"/>
      <c r="AT217" s="105"/>
      <c r="AU217" s="18"/>
      <c r="AV217" s="105"/>
      <c r="AW217" s="105"/>
      <c r="AX217" s="18"/>
      <c r="AY217" s="105"/>
      <c r="AZ217" s="105"/>
      <c r="BA217" s="105"/>
      <c r="BB217" s="105"/>
      <c r="BC217" s="18"/>
      <c r="BD217" s="89"/>
      <c r="BE217" s="89"/>
      <c r="BF217" s="89"/>
      <c r="BG217" s="89"/>
      <c r="BH217" s="89"/>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c r="DV217" s="20"/>
      <c r="DW217" s="20"/>
      <c r="DX217" s="20"/>
      <c r="DY217" s="20"/>
      <c r="DZ217" s="20"/>
      <c r="EA217" s="20"/>
      <c r="EB217" s="20"/>
      <c r="EC217" s="20"/>
      <c r="ED217" s="20"/>
      <c r="EE217" s="20"/>
      <c r="EF217" s="20"/>
      <c r="EG217" s="20"/>
      <c r="EH217" s="20"/>
      <c r="EI217" s="20"/>
      <c r="EJ217" s="20"/>
      <c r="EK217" s="20"/>
      <c r="EL217" s="20"/>
      <c r="EM217" s="20"/>
      <c r="EN217" s="20"/>
      <c r="EO217" s="20"/>
      <c r="EP217" s="20"/>
      <c r="EQ217" s="20"/>
      <c r="ER217" s="20"/>
      <c r="ES217" s="20"/>
      <c r="ET217" s="20"/>
      <c r="EU217" s="20"/>
      <c r="EV217" s="20"/>
      <c r="EW217" s="20"/>
      <c r="EX217" s="20"/>
      <c r="EY217" s="20"/>
      <c r="EZ217" s="20"/>
      <c r="FA217" s="20"/>
      <c r="FB217" s="20"/>
      <c r="FC217" s="20"/>
      <c r="FD217" s="20"/>
      <c r="FE217" s="20"/>
      <c r="FF217" s="20"/>
      <c r="FG217" s="20"/>
      <c r="FH217" s="20"/>
      <c r="FI217" s="20"/>
      <c r="FJ217" s="20"/>
      <c r="FK217" s="20"/>
      <c r="FL217" s="20"/>
      <c r="FM217" s="20"/>
      <c r="FN217" s="20"/>
      <c r="FO217" s="20"/>
      <c r="FP217" s="20"/>
      <c r="FQ217" s="20"/>
      <c r="FR217" s="20"/>
      <c r="FS217" s="20"/>
      <c r="FT217" s="20"/>
      <c r="FU217" s="20"/>
      <c r="FV217" s="20"/>
      <c r="FW217" s="20"/>
      <c r="FX217" s="20"/>
      <c r="FY217" s="20"/>
      <c r="FZ217" s="20"/>
      <c r="GA217" s="20"/>
      <c r="GB217" s="20"/>
      <c r="GC217" s="20"/>
      <c r="GD217" s="20"/>
      <c r="GE217" s="20"/>
      <c r="GF217" s="20"/>
      <c r="GG217" s="20"/>
      <c r="GH217" s="20"/>
      <c r="GI217" s="20"/>
      <c r="GJ217" s="20"/>
      <c r="GK217" s="20"/>
      <c r="GL217" s="20"/>
      <c r="GM217" s="20"/>
      <c r="GN217" s="20"/>
      <c r="GO217" s="20"/>
      <c r="GP217" s="20"/>
      <c r="GQ217" s="20"/>
      <c r="GR217" s="20"/>
      <c r="GS217" s="20"/>
      <c r="GT217" s="20"/>
      <c r="GU217" s="20"/>
      <c r="GV217" s="20"/>
      <c r="GW217" s="20"/>
      <c r="GX217" s="20"/>
      <c r="GY217" s="20"/>
      <c r="GZ217" s="20"/>
      <c r="HA217" s="20"/>
      <c r="HB217" s="20"/>
      <c r="HC217" s="20"/>
      <c r="HD217" s="20"/>
      <c r="HE217" s="20"/>
      <c r="HF217" s="20"/>
      <c r="HG217" s="20"/>
      <c r="HH217" s="20"/>
      <c r="HI217" s="20"/>
      <c r="HJ217" s="20"/>
      <c r="HK217" s="20"/>
      <c r="HL217" s="20"/>
      <c r="HM217" s="20"/>
      <c r="HN217" s="20"/>
      <c r="HO217" s="20"/>
      <c r="HP217" s="20"/>
      <c r="HQ217" s="20"/>
      <c r="HR217" s="20"/>
      <c r="HS217" s="20"/>
      <c r="HT217" s="20"/>
      <c r="HU217" s="20"/>
      <c r="HV217" s="20"/>
      <c r="HW217" s="20"/>
      <c r="HX217" s="20"/>
      <c r="HY217" s="20"/>
      <c r="HZ217" s="20"/>
      <c r="IA217" s="20"/>
      <c r="IB217" s="20"/>
      <c r="IC217" s="20"/>
      <c r="ID217" s="20"/>
      <c r="IE217" s="20"/>
      <c r="IF217" s="20"/>
      <c r="IG217" s="20"/>
      <c r="IH217" s="20"/>
      <c r="II217" s="20"/>
      <c r="IJ217" s="20"/>
      <c r="IK217" s="20"/>
      <c r="IL217" s="20"/>
      <c r="IM217" s="20"/>
      <c r="IN217" s="20"/>
      <c r="IO217" s="20"/>
      <c r="IP217" s="20"/>
      <c r="IQ217" s="20"/>
      <c r="IR217" s="20"/>
      <c r="IS217" s="20"/>
      <c r="IT217" s="20"/>
      <c r="IU217" s="20"/>
      <c r="IV217" s="20"/>
      <c r="IW217" s="20"/>
      <c r="IX217" s="20"/>
      <c r="IY217" s="20"/>
      <c r="IZ217" s="20"/>
      <c r="JA217" s="20"/>
      <c r="JB217" s="20"/>
      <c r="JC217" s="20"/>
      <c r="JD217" s="20"/>
      <c r="JE217" s="20"/>
      <c r="JF217" s="20"/>
      <c r="JG217" s="20"/>
      <c r="JH217" s="20"/>
      <c r="JI217" s="20"/>
    </row>
    <row r="218" spans="1:269">
      <c r="A218" s="61"/>
      <c r="B218" s="20"/>
      <c r="C218" s="20"/>
      <c r="D218" s="27"/>
      <c r="E218" s="27"/>
      <c r="F218" s="27"/>
      <c r="G218" s="18"/>
      <c r="H218" s="27"/>
      <c r="I218" s="27"/>
      <c r="J218" s="18"/>
      <c r="K218" s="27"/>
      <c r="L218" s="27"/>
      <c r="M218" s="18"/>
      <c r="N218" s="27"/>
      <c r="O218" s="27"/>
      <c r="P218" s="18"/>
      <c r="Q218" s="27"/>
      <c r="R218" s="18"/>
      <c r="S218" s="18"/>
      <c r="T218" s="18"/>
      <c r="U218" s="18"/>
      <c r="V218" s="18"/>
      <c r="W218" s="105"/>
      <c r="X218" s="105"/>
      <c r="Y218" s="18"/>
      <c r="Z218" s="105"/>
      <c r="AA218" s="105"/>
      <c r="AB218" s="18"/>
      <c r="AC218" s="105"/>
      <c r="AD218" s="105"/>
      <c r="AE218" s="18"/>
      <c r="AF218" s="105"/>
      <c r="AG218" s="105"/>
      <c r="AH218" s="105"/>
      <c r="AI218" s="105"/>
      <c r="AJ218" s="105"/>
      <c r="AK218" s="105"/>
      <c r="AL218" s="105"/>
      <c r="AM218" s="18"/>
      <c r="AN218" s="105"/>
      <c r="AO218" s="105"/>
      <c r="AP218" s="105"/>
      <c r="AQ218" s="18"/>
      <c r="AR218" s="105"/>
      <c r="AS218" s="105"/>
      <c r="AT218" s="105"/>
      <c r="AU218" s="18"/>
      <c r="AV218" s="105"/>
      <c r="AW218" s="105"/>
      <c r="AX218" s="18"/>
      <c r="AY218" s="105"/>
      <c r="AZ218" s="105"/>
      <c r="BA218" s="105"/>
      <c r="BB218" s="105"/>
      <c r="BC218" s="18"/>
      <c r="BD218" s="89"/>
      <c r="BE218" s="89"/>
      <c r="BF218" s="89"/>
      <c r="BG218" s="89"/>
      <c r="BH218" s="89"/>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c r="DU218" s="20"/>
      <c r="DV218" s="20"/>
      <c r="DW218" s="20"/>
      <c r="DX218" s="20"/>
      <c r="DY218" s="20"/>
      <c r="DZ218" s="20"/>
      <c r="EA218" s="20"/>
      <c r="EB218" s="20"/>
      <c r="EC218" s="20"/>
      <c r="ED218" s="20"/>
      <c r="EE218" s="20"/>
      <c r="EF218" s="20"/>
      <c r="EG218" s="20"/>
      <c r="EH218" s="20"/>
      <c r="EI218" s="20"/>
      <c r="EJ218" s="20"/>
      <c r="EK218" s="20"/>
      <c r="EL218" s="20"/>
      <c r="EM218" s="20"/>
      <c r="EN218" s="20"/>
      <c r="EO218" s="20"/>
      <c r="EP218" s="20"/>
      <c r="EQ218" s="20"/>
      <c r="ER218" s="20"/>
      <c r="ES218" s="20"/>
      <c r="ET218" s="20"/>
      <c r="EU218" s="20"/>
      <c r="EV218" s="20"/>
      <c r="EW218" s="20"/>
      <c r="EX218" s="20"/>
      <c r="EY218" s="20"/>
      <c r="EZ218" s="20"/>
      <c r="FA218" s="20"/>
      <c r="FB218" s="20"/>
      <c r="FC218" s="20"/>
      <c r="FD218" s="20"/>
      <c r="FE218" s="20"/>
      <c r="FF218" s="20"/>
      <c r="FG218" s="20"/>
      <c r="FH218" s="20"/>
      <c r="FI218" s="20"/>
      <c r="FJ218" s="20"/>
      <c r="FK218" s="20"/>
      <c r="FL218" s="20"/>
      <c r="FM218" s="20"/>
      <c r="FN218" s="20"/>
      <c r="FO218" s="20"/>
      <c r="FP218" s="20"/>
      <c r="FQ218" s="20"/>
      <c r="FR218" s="20"/>
      <c r="FS218" s="20"/>
      <c r="FT218" s="20"/>
      <c r="FU218" s="20"/>
      <c r="FV218" s="20"/>
      <c r="FW218" s="20"/>
      <c r="FX218" s="20"/>
      <c r="FY218" s="20"/>
      <c r="FZ218" s="20"/>
      <c r="GA218" s="20"/>
      <c r="GB218" s="20"/>
      <c r="GC218" s="20"/>
      <c r="GD218" s="20"/>
      <c r="GE218" s="20"/>
      <c r="GF218" s="20"/>
      <c r="GG218" s="20"/>
      <c r="GH218" s="20"/>
      <c r="GI218" s="20"/>
      <c r="GJ218" s="20"/>
      <c r="GK218" s="20"/>
      <c r="GL218" s="20"/>
      <c r="GM218" s="20"/>
      <c r="GN218" s="20"/>
      <c r="GO218" s="20"/>
      <c r="GP218" s="20"/>
      <c r="GQ218" s="20"/>
      <c r="GR218" s="20"/>
      <c r="GS218" s="20"/>
      <c r="GT218" s="20"/>
      <c r="GU218" s="20"/>
      <c r="GV218" s="20"/>
      <c r="GW218" s="20"/>
      <c r="GX218" s="20"/>
      <c r="GY218" s="20"/>
      <c r="GZ218" s="20"/>
      <c r="HA218" s="20"/>
      <c r="HB218" s="20"/>
      <c r="HC218" s="20"/>
      <c r="HD218" s="20"/>
      <c r="HE218" s="20"/>
      <c r="HF218" s="20"/>
      <c r="HG218" s="20"/>
      <c r="HH218" s="20"/>
      <c r="HI218" s="20"/>
      <c r="HJ218" s="20"/>
      <c r="HK218" s="20"/>
      <c r="HL218" s="20"/>
      <c r="HM218" s="20"/>
      <c r="HN218" s="20"/>
      <c r="HO218" s="20"/>
      <c r="HP218" s="20"/>
      <c r="HQ218" s="20"/>
      <c r="HR218" s="20"/>
      <c r="HS218" s="20"/>
      <c r="HT218" s="20"/>
      <c r="HU218" s="20"/>
      <c r="HV218" s="20"/>
      <c r="HW218" s="20"/>
      <c r="HX218" s="20"/>
      <c r="HY218" s="20"/>
      <c r="HZ218" s="20"/>
      <c r="IA218" s="20"/>
      <c r="IB218" s="20"/>
      <c r="IC218" s="20"/>
      <c r="ID218" s="20"/>
      <c r="IE218" s="20"/>
      <c r="IF218" s="20"/>
      <c r="IG218" s="20"/>
      <c r="IH218" s="20"/>
      <c r="II218" s="20"/>
      <c r="IJ218" s="20"/>
      <c r="IK218" s="20"/>
      <c r="IL218" s="20"/>
      <c r="IM218" s="20"/>
      <c r="IN218" s="20"/>
      <c r="IO218" s="20"/>
      <c r="IP218" s="20"/>
      <c r="IQ218" s="20"/>
      <c r="IR218" s="20"/>
      <c r="IS218" s="20"/>
      <c r="IT218" s="20"/>
      <c r="IU218" s="20"/>
      <c r="IV218" s="20"/>
      <c r="IW218" s="20"/>
      <c r="IX218" s="20"/>
      <c r="IY218" s="20"/>
      <c r="IZ218" s="20"/>
      <c r="JA218" s="20"/>
      <c r="JB218" s="20"/>
      <c r="JC218" s="20"/>
      <c r="JD218" s="20"/>
      <c r="JE218" s="20"/>
      <c r="JF218" s="20"/>
      <c r="JG218" s="20"/>
      <c r="JH218" s="20"/>
      <c r="JI218" s="20"/>
    </row>
    <row r="219" spans="1:269">
      <c r="A219" s="61"/>
      <c r="B219" s="20"/>
      <c r="C219" s="20"/>
      <c r="D219" s="27"/>
      <c r="E219" s="27"/>
      <c r="F219" s="27"/>
      <c r="G219" s="18"/>
      <c r="H219" s="27"/>
      <c r="I219" s="27"/>
      <c r="J219" s="18"/>
      <c r="K219" s="27"/>
      <c r="L219" s="27"/>
      <c r="M219" s="18"/>
      <c r="N219" s="27"/>
      <c r="O219" s="27"/>
      <c r="P219" s="18"/>
      <c r="Q219" s="27"/>
      <c r="R219" s="18"/>
      <c r="S219" s="18"/>
      <c r="T219" s="18"/>
      <c r="U219" s="18"/>
      <c r="V219" s="18"/>
      <c r="W219" s="105"/>
      <c r="X219" s="105"/>
      <c r="Y219" s="18"/>
      <c r="Z219" s="105"/>
      <c r="AA219" s="105"/>
      <c r="AB219" s="18"/>
      <c r="AC219" s="105"/>
      <c r="AD219" s="105"/>
      <c r="AE219" s="18"/>
      <c r="AF219" s="105"/>
      <c r="AG219" s="105"/>
      <c r="AH219" s="105"/>
      <c r="AI219" s="105"/>
      <c r="AJ219" s="105"/>
      <c r="AK219" s="105"/>
      <c r="AL219" s="105"/>
      <c r="AM219" s="18"/>
      <c r="AN219" s="105"/>
      <c r="AO219" s="105"/>
      <c r="AP219" s="105"/>
      <c r="AQ219" s="18"/>
      <c r="AR219" s="105"/>
      <c r="AS219" s="105"/>
      <c r="AT219" s="105"/>
      <c r="AU219" s="18"/>
      <c r="AV219" s="105"/>
      <c r="AW219" s="105"/>
      <c r="AX219" s="18"/>
      <c r="AY219" s="105"/>
      <c r="AZ219" s="105"/>
      <c r="BA219" s="105"/>
      <c r="BB219" s="105"/>
      <c r="BC219" s="18"/>
      <c r="BD219" s="89"/>
      <c r="BE219" s="89"/>
      <c r="BF219" s="89"/>
      <c r="BG219" s="89"/>
      <c r="BH219" s="89"/>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c r="DU219" s="20"/>
      <c r="DV219" s="20"/>
      <c r="DW219" s="20"/>
      <c r="DX219" s="20"/>
      <c r="DY219" s="20"/>
      <c r="DZ219" s="20"/>
      <c r="EA219" s="20"/>
      <c r="EB219" s="20"/>
      <c r="EC219" s="20"/>
      <c r="ED219" s="20"/>
      <c r="EE219" s="20"/>
      <c r="EF219" s="20"/>
      <c r="EG219" s="20"/>
      <c r="EH219" s="20"/>
      <c r="EI219" s="20"/>
      <c r="EJ219" s="20"/>
      <c r="EK219" s="20"/>
      <c r="EL219" s="20"/>
      <c r="EM219" s="20"/>
      <c r="EN219" s="20"/>
      <c r="EO219" s="20"/>
      <c r="EP219" s="20"/>
      <c r="EQ219" s="20"/>
      <c r="ER219" s="20"/>
      <c r="ES219" s="20"/>
      <c r="ET219" s="20"/>
      <c r="EU219" s="20"/>
      <c r="EV219" s="20"/>
      <c r="EW219" s="20"/>
      <c r="EX219" s="20"/>
      <c r="EY219" s="20"/>
      <c r="EZ219" s="20"/>
      <c r="FA219" s="20"/>
      <c r="FB219" s="20"/>
      <c r="FC219" s="20"/>
      <c r="FD219" s="20"/>
      <c r="FE219" s="20"/>
      <c r="FF219" s="20"/>
      <c r="FG219" s="20"/>
      <c r="FH219" s="20"/>
      <c r="FI219" s="20"/>
      <c r="FJ219" s="20"/>
      <c r="FK219" s="20"/>
      <c r="FL219" s="20"/>
      <c r="FM219" s="20"/>
      <c r="FN219" s="20"/>
      <c r="FO219" s="20"/>
      <c r="FP219" s="20"/>
      <c r="FQ219" s="20"/>
      <c r="FR219" s="20"/>
      <c r="FS219" s="20"/>
      <c r="FT219" s="20"/>
      <c r="FU219" s="20"/>
      <c r="FV219" s="20"/>
      <c r="FW219" s="20"/>
      <c r="FX219" s="20"/>
      <c r="FY219" s="20"/>
      <c r="FZ219" s="20"/>
      <c r="GA219" s="20"/>
      <c r="GB219" s="20"/>
      <c r="GC219" s="20"/>
      <c r="GD219" s="20"/>
      <c r="GE219" s="20"/>
      <c r="GF219" s="20"/>
      <c r="GG219" s="20"/>
      <c r="GH219" s="20"/>
      <c r="GI219" s="20"/>
      <c r="GJ219" s="20"/>
      <c r="GK219" s="20"/>
      <c r="GL219" s="20"/>
      <c r="GM219" s="20"/>
      <c r="GN219" s="20"/>
      <c r="GO219" s="20"/>
      <c r="GP219" s="20"/>
      <c r="GQ219" s="20"/>
      <c r="GR219" s="20"/>
      <c r="GS219" s="20"/>
      <c r="GT219" s="20"/>
      <c r="GU219" s="20"/>
      <c r="GV219" s="20"/>
      <c r="GW219" s="20"/>
      <c r="GX219" s="20"/>
      <c r="GY219" s="20"/>
      <c r="GZ219" s="20"/>
      <c r="HA219" s="20"/>
      <c r="HB219" s="20"/>
      <c r="HC219" s="20"/>
      <c r="HD219" s="20"/>
      <c r="HE219" s="20"/>
      <c r="HF219" s="20"/>
      <c r="HG219" s="20"/>
      <c r="HH219" s="20"/>
      <c r="HI219" s="20"/>
      <c r="HJ219" s="20"/>
      <c r="HK219" s="20"/>
      <c r="HL219" s="20"/>
      <c r="HM219" s="20"/>
      <c r="HN219" s="20"/>
      <c r="HO219" s="20"/>
      <c r="HP219" s="20"/>
      <c r="HQ219" s="20"/>
      <c r="HR219" s="20"/>
      <c r="HS219" s="20"/>
      <c r="HT219" s="20"/>
      <c r="HU219" s="20"/>
      <c r="HV219" s="20"/>
      <c r="HW219" s="20"/>
      <c r="HX219" s="20"/>
      <c r="HY219" s="20"/>
      <c r="HZ219" s="20"/>
      <c r="IA219" s="20"/>
      <c r="IB219" s="20"/>
      <c r="IC219" s="20"/>
      <c r="ID219" s="20"/>
      <c r="IE219" s="20"/>
      <c r="IF219" s="20"/>
      <c r="IG219" s="20"/>
      <c r="IH219" s="20"/>
      <c r="II219" s="20"/>
      <c r="IJ219" s="20"/>
      <c r="IK219" s="20"/>
      <c r="IL219" s="20"/>
      <c r="IM219" s="20"/>
      <c r="IN219" s="20"/>
      <c r="IO219" s="20"/>
      <c r="IP219" s="20"/>
      <c r="IQ219" s="20"/>
      <c r="IR219" s="20"/>
      <c r="IS219" s="20"/>
      <c r="IT219" s="20"/>
      <c r="IU219" s="20"/>
      <c r="IV219" s="20"/>
      <c r="IW219" s="20"/>
      <c r="IX219" s="20"/>
      <c r="IY219" s="20"/>
      <c r="IZ219" s="20"/>
      <c r="JA219" s="20"/>
      <c r="JB219" s="20"/>
      <c r="JC219" s="20"/>
      <c r="JD219" s="20"/>
      <c r="JE219" s="20"/>
      <c r="JF219" s="20"/>
      <c r="JG219" s="20"/>
      <c r="JH219" s="20"/>
      <c r="JI219" s="20"/>
    </row>
    <row r="220" spans="1:269">
      <c r="A220" s="61"/>
      <c r="B220" s="20"/>
      <c r="C220" s="20"/>
      <c r="D220" s="27"/>
      <c r="E220" s="27"/>
      <c r="F220" s="27"/>
      <c r="G220" s="18"/>
      <c r="H220" s="27"/>
      <c r="I220" s="27"/>
      <c r="J220" s="18"/>
      <c r="K220" s="27"/>
      <c r="L220" s="27"/>
      <c r="M220" s="18"/>
      <c r="N220" s="27"/>
      <c r="O220" s="27"/>
      <c r="P220" s="18"/>
      <c r="Q220" s="27"/>
      <c r="R220" s="18"/>
      <c r="S220" s="18"/>
      <c r="T220" s="18"/>
      <c r="U220" s="18"/>
      <c r="V220" s="18"/>
      <c r="W220" s="105"/>
      <c r="X220" s="105"/>
      <c r="Y220" s="18"/>
      <c r="Z220" s="105"/>
      <c r="AA220" s="105"/>
      <c r="AB220" s="18"/>
      <c r="AC220" s="105"/>
      <c r="AD220" s="105"/>
      <c r="AE220" s="18"/>
      <c r="AF220" s="105"/>
      <c r="AG220" s="105"/>
      <c r="AH220" s="105"/>
      <c r="AI220" s="105"/>
      <c r="AJ220" s="105"/>
      <c r="AK220" s="105"/>
      <c r="AL220" s="105"/>
      <c r="AM220" s="18"/>
      <c r="AN220" s="105"/>
      <c r="AO220" s="105"/>
      <c r="AP220" s="105"/>
      <c r="AQ220" s="18"/>
      <c r="AR220" s="105"/>
      <c r="AS220" s="105"/>
      <c r="AT220" s="105"/>
      <c r="AU220" s="18"/>
      <c r="AV220" s="105"/>
      <c r="AW220" s="105"/>
      <c r="AX220" s="18"/>
      <c r="AY220" s="105"/>
      <c r="AZ220" s="105"/>
      <c r="BA220" s="105"/>
      <c r="BB220" s="105"/>
      <c r="BC220" s="18"/>
      <c r="BD220" s="89"/>
      <c r="BE220" s="89"/>
      <c r="BF220" s="89"/>
      <c r="BG220" s="89"/>
      <c r="BH220" s="89"/>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c r="DU220" s="20"/>
      <c r="DV220" s="20"/>
      <c r="DW220" s="20"/>
      <c r="DX220" s="20"/>
      <c r="DY220" s="20"/>
      <c r="DZ220" s="20"/>
      <c r="EA220" s="20"/>
      <c r="EB220" s="20"/>
      <c r="EC220" s="20"/>
      <c r="ED220" s="20"/>
      <c r="EE220" s="20"/>
      <c r="EF220" s="20"/>
      <c r="EG220" s="20"/>
      <c r="EH220" s="20"/>
      <c r="EI220" s="20"/>
      <c r="EJ220" s="20"/>
      <c r="EK220" s="20"/>
      <c r="EL220" s="20"/>
      <c r="EM220" s="20"/>
      <c r="EN220" s="20"/>
      <c r="EO220" s="20"/>
      <c r="EP220" s="20"/>
      <c r="EQ220" s="20"/>
      <c r="ER220" s="20"/>
      <c r="ES220" s="20"/>
      <c r="ET220" s="20"/>
      <c r="EU220" s="20"/>
      <c r="EV220" s="20"/>
      <c r="EW220" s="20"/>
      <c r="EX220" s="20"/>
      <c r="EY220" s="20"/>
      <c r="EZ220" s="20"/>
      <c r="FA220" s="20"/>
      <c r="FB220" s="20"/>
      <c r="FC220" s="20"/>
      <c r="FD220" s="20"/>
      <c r="FE220" s="20"/>
      <c r="FF220" s="20"/>
      <c r="FG220" s="20"/>
      <c r="FH220" s="20"/>
      <c r="FI220" s="20"/>
      <c r="FJ220" s="20"/>
      <c r="FK220" s="20"/>
      <c r="FL220" s="20"/>
      <c r="FM220" s="20"/>
      <c r="FN220" s="20"/>
      <c r="FO220" s="20"/>
      <c r="FP220" s="20"/>
      <c r="FQ220" s="20"/>
      <c r="FR220" s="20"/>
      <c r="FS220" s="20"/>
      <c r="FT220" s="20"/>
      <c r="FU220" s="20"/>
      <c r="FV220" s="20"/>
      <c r="FW220" s="20"/>
      <c r="FX220" s="20"/>
      <c r="FY220" s="20"/>
      <c r="FZ220" s="20"/>
      <c r="GA220" s="20"/>
      <c r="GB220" s="20"/>
      <c r="GC220" s="20"/>
      <c r="GD220" s="20"/>
      <c r="GE220" s="20"/>
      <c r="GF220" s="20"/>
      <c r="GG220" s="20"/>
      <c r="GH220" s="20"/>
      <c r="GI220" s="20"/>
      <c r="GJ220" s="20"/>
      <c r="GK220" s="20"/>
      <c r="GL220" s="20"/>
      <c r="GM220" s="20"/>
      <c r="GN220" s="20"/>
      <c r="GO220" s="20"/>
      <c r="GP220" s="20"/>
      <c r="GQ220" s="20"/>
      <c r="GR220" s="20"/>
      <c r="GS220" s="20"/>
      <c r="GT220" s="20"/>
      <c r="GU220" s="20"/>
      <c r="GV220" s="20"/>
      <c r="GW220" s="20"/>
      <c r="GX220" s="20"/>
      <c r="GY220" s="20"/>
      <c r="GZ220" s="20"/>
      <c r="HA220" s="20"/>
      <c r="HB220" s="20"/>
      <c r="HC220" s="20"/>
      <c r="HD220" s="20"/>
      <c r="HE220" s="20"/>
      <c r="HF220" s="20"/>
      <c r="HG220" s="20"/>
      <c r="HH220" s="20"/>
      <c r="HI220" s="20"/>
      <c r="HJ220" s="20"/>
      <c r="HK220" s="20"/>
      <c r="HL220" s="20"/>
      <c r="HM220" s="20"/>
      <c r="HN220" s="20"/>
      <c r="HO220" s="20"/>
      <c r="HP220" s="20"/>
      <c r="HQ220" s="20"/>
      <c r="HR220" s="20"/>
      <c r="HS220" s="20"/>
      <c r="HT220" s="20"/>
      <c r="HU220" s="20"/>
      <c r="HV220" s="20"/>
      <c r="HW220" s="20"/>
      <c r="HX220" s="20"/>
      <c r="HY220" s="20"/>
      <c r="HZ220" s="20"/>
      <c r="IA220" s="20"/>
      <c r="IB220" s="20"/>
      <c r="IC220" s="20"/>
      <c r="ID220" s="20"/>
      <c r="IE220" s="20"/>
      <c r="IF220" s="20"/>
      <c r="IG220" s="20"/>
      <c r="IH220" s="20"/>
      <c r="II220" s="20"/>
      <c r="IJ220" s="20"/>
      <c r="IK220" s="20"/>
      <c r="IL220" s="20"/>
      <c r="IM220" s="20"/>
      <c r="IN220" s="20"/>
      <c r="IO220" s="20"/>
      <c r="IP220" s="20"/>
      <c r="IQ220" s="20"/>
      <c r="IR220" s="20"/>
      <c r="IS220" s="20"/>
      <c r="IT220" s="20"/>
      <c r="IU220" s="20"/>
      <c r="IV220" s="20"/>
      <c r="IW220" s="20"/>
      <c r="IX220" s="20"/>
      <c r="IY220" s="20"/>
      <c r="IZ220" s="20"/>
      <c r="JA220" s="20"/>
      <c r="JB220" s="20"/>
      <c r="JC220" s="20"/>
      <c r="JD220" s="20"/>
      <c r="JE220" s="20"/>
      <c r="JF220" s="20"/>
      <c r="JG220" s="20"/>
      <c r="JH220" s="20"/>
      <c r="JI220" s="20"/>
    </row>
    <row r="221" spans="1:269">
      <c r="A221" s="61"/>
      <c r="B221" s="20"/>
      <c r="C221" s="20"/>
      <c r="D221" s="27"/>
      <c r="E221" s="27"/>
      <c r="F221" s="27"/>
      <c r="G221" s="18"/>
      <c r="H221" s="27"/>
      <c r="I221" s="27"/>
      <c r="J221" s="18"/>
      <c r="K221" s="27"/>
      <c r="L221" s="27"/>
      <c r="M221" s="18"/>
      <c r="N221" s="27"/>
      <c r="O221" s="27"/>
      <c r="P221" s="18"/>
      <c r="Q221" s="27"/>
      <c r="R221" s="18"/>
      <c r="S221" s="18"/>
      <c r="T221" s="18"/>
      <c r="U221" s="18"/>
      <c r="V221" s="18"/>
      <c r="W221" s="105"/>
      <c r="X221" s="105"/>
      <c r="Y221" s="18"/>
      <c r="Z221" s="105"/>
      <c r="AA221" s="105"/>
      <c r="AB221" s="18"/>
      <c r="AC221" s="105"/>
      <c r="AD221" s="105"/>
      <c r="AE221" s="18"/>
      <c r="AF221" s="105"/>
      <c r="AG221" s="105"/>
      <c r="AH221" s="105"/>
      <c r="AI221" s="105"/>
      <c r="AJ221" s="105"/>
      <c r="AK221" s="105"/>
      <c r="AL221" s="105"/>
      <c r="AM221" s="18"/>
      <c r="AN221" s="105"/>
      <c r="AO221" s="105"/>
      <c r="AP221" s="105"/>
      <c r="AQ221" s="18"/>
      <c r="AR221" s="105"/>
      <c r="AS221" s="105"/>
      <c r="AT221" s="105"/>
      <c r="AU221" s="18"/>
      <c r="AV221" s="105"/>
      <c r="AW221" s="105"/>
      <c r="AX221" s="18"/>
      <c r="AY221" s="105"/>
      <c r="AZ221" s="105"/>
      <c r="BA221" s="105"/>
      <c r="BB221" s="105"/>
      <c r="BC221" s="18"/>
      <c r="BD221" s="89"/>
      <c r="BE221" s="89"/>
      <c r="BF221" s="89"/>
      <c r="BG221" s="89"/>
      <c r="BH221" s="89"/>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c r="DU221" s="20"/>
      <c r="DV221" s="20"/>
      <c r="DW221" s="20"/>
      <c r="DX221" s="20"/>
      <c r="DY221" s="20"/>
      <c r="DZ221" s="20"/>
      <c r="EA221" s="20"/>
      <c r="EB221" s="20"/>
      <c r="EC221" s="20"/>
      <c r="ED221" s="20"/>
      <c r="EE221" s="20"/>
      <c r="EF221" s="20"/>
      <c r="EG221" s="20"/>
      <c r="EH221" s="20"/>
      <c r="EI221" s="20"/>
      <c r="EJ221" s="20"/>
      <c r="EK221" s="20"/>
      <c r="EL221" s="20"/>
      <c r="EM221" s="20"/>
      <c r="EN221" s="20"/>
      <c r="EO221" s="20"/>
      <c r="EP221" s="20"/>
      <c r="EQ221" s="20"/>
      <c r="ER221" s="20"/>
      <c r="ES221" s="20"/>
      <c r="ET221" s="20"/>
      <c r="EU221" s="20"/>
      <c r="EV221" s="20"/>
      <c r="EW221" s="20"/>
      <c r="EX221" s="20"/>
      <c r="EY221" s="20"/>
      <c r="EZ221" s="20"/>
      <c r="FA221" s="20"/>
      <c r="FB221" s="20"/>
      <c r="FC221" s="20"/>
      <c r="FD221" s="20"/>
      <c r="FE221" s="20"/>
      <c r="FF221" s="20"/>
      <c r="FG221" s="20"/>
      <c r="FH221" s="20"/>
      <c r="FI221" s="20"/>
      <c r="FJ221" s="20"/>
      <c r="FK221" s="20"/>
      <c r="FL221" s="20"/>
      <c r="FM221" s="20"/>
      <c r="FN221" s="20"/>
      <c r="FO221" s="20"/>
      <c r="FP221" s="20"/>
      <c r="FQ221" s="20"/>
      <c r="FR221" s="20"/>
      <c r="FS221" s="20"/>
      <c r="FT221" s="20"/>
      <c r="FU221" s="20"/>
      <c r="FV221" s="20"/>
      <c r="FW221" s="20"/>
      <c r="FX221" s="20"/>
      <c r="FY221" s="20"/>
      <c r="FZ221" s="20"/>
      <c r="GA221" s="20"/>
      <c r="GB221" s="20"/>
      <c r="GC221" s="20"/>
      <c r="GD221" s="20"/>
      <c r="GE221" s="20"/>
      <c r="GF221" s="20"/>
      <c r="GG221" s="20"/>
      <c r="GH221" s="20"/>
      <c r="GI221" s="20"/>
      <c r="GJ221" s="20"/>
      <c r="GK221" s="20"/>
      <c r="GL221" s="20"/>
      <c r="GM221" s="20"/>
      <c r="GN221" s="20"/>
      <c r="GO221" s="20"/>
      <c r="GP221" s="20"/>
      <c r="GQ221" s="20"/>
      <c r="GR221" s="20"/>
      <c r="GS221" s="20"/>
      <c r="GT221" s="20"/>
      <c r="GU221" s="20"/>
      <c r="GV221" s="20"/>
      <c r="GW221" s="20"/>
      <c r="GX221" s="20"/>
      <c r="GY221" s="20"/>
      <c r="GZ221" s="20"/>
      <c r="HA221" s="20"/>
      <c r="HB221" s="20"/>
      <c r="HC221" s="20"/>
      <c r="HD221" s="20"/>
      <c r="HE221" s="20"/>
      <c r="HF221" s="20"/>
      <c r="HG221" s="20"/>
      <c r="HH221" s="20"/>
      <c r="HI221" s="20"/>
      <c r="HJ221" s="20"/>
      <c r="HK221" s="20"/>
      <c r="HL221" s="20"/>
      <c r="HM221" s="20"/>
      <c r="HN221" s="20"/>
      <c r="HO221" s="20"/>
      <c r="HP221" s="20"/>
      <c r="HQ221" s="20"/>
      <c r="HR221" s="20"/>
      <c r="HS221" s="20"/>
      <c r="HT221" s="20"/>
      <c r="HU221" s="20"/>
      <c r="HV221" s="20"/>
      <c r="HW221" s="20"/>
      <c r="HX221" s="20"/>
      <c r="HY221" s="20"/>
      <c r="HZ221" s="20"/>
      <c r="IA221" s="20"/>
      <c r="IB221" s="20"/>
      <c r="IC221" s="20"/>
      <c r="ID221" s="20"/>
      <c r="IE221" s="20"/>
      <c r="IF221" s="20"/>
      <c r="IG221" s="20"/>
      <c r="IH221" s="20"/>
      <c r="II221" s="20"/>
      <c r="IJ221" s="20"/>
      <c r="IK221" s="20"/>
      <c r="IL221" s="20"/>
      <c r="IM221" s="20"/>
      <c r="IN221" s="20"/>
      <c r="IO221" s="20"/>
      <c r="IP221" s="20"/>
      <c r="IQ221" s="20"/>
      <c r="IR221" s="20"/>
      <c r="IS221" s="20"/>
      <c r="IT221" s="20"/>
      <c r="IU221" s="20"/>
      <c r="IV221" s="20"/>
      <c r="IW221" s="20"/>
      <c r="IX221" s="20"/>
      <c r="IY221" s="20"/>
      <c r="IZ221" s="20"/>
      <c r="JA221" s="20"/>
      <c r="JB221" s="20"/>
      <c r="JC221" s="20"/>
      <c r="JD221" s="20"/>
      <c r="JE221" s="20"/>
      <c r="JF221" s="20"/>
      <c r="JG221" s="20"/>
      <c r="JH221" s="20"/>
      <c r="JI221" s="20"/>
    </row>
    <row r="222" spans="1:269">
      <c r="A222" s="61" ph="1"/>
      <c r="B222" s="20" ph="1"/>
      <c r="C222" s="20" ph="1"/>
      <c r="D222" s="27" ph="1"/>
      <c r="E222" s="27" ph="1"/>
      <c r="F222" s="27" ph="1"/>
      <c r="G222" s="18" ph="1"/>
      <c r="H222" s="27" ph="1"/>
      <c r="I222" s="27" ph="1"/>
      <c r="J222" s="18" ph="1"/>
      <c r="K222" s="27" ph="1"/>
      <c r="L222" s="27" ph="1"/>
      <c r="M222" s="18" ph="1"/>
      <c r="N222" s="27" ph="1"/>
      <c r="O222" s="27" ph="1"/>
      <c r="P222" s="18" ph="1"/>
      <c r="Q222" s="27" ph="1"/>
      <c r="R222" s="18" ph="1"/>
      <c r="S222" s="18" ph="1"/>
      <c r="T222" s="18" ph="1"/>
      <c r="U222" s="18" ph="1"/>
      <c r="V222" s="18" ph="1"/>
      <c r="W222" s="105" ph="1"/>
      <c r="X222" s="105" ph="1"/>
      <c r="Y222" s="18" ph="1"/>
      <c r="Z222" s="105" ph="1"/>
      <c r="AA222" s="105" ph="1"/>
      <c r="AB222" s="18" ph="1"/>
      <c r="AC222" s="105" ph="1"/>
      <c r="AD222" s="105" ph="1"/>
      <c r="AE222" s="18" ph="1"/>
      <c r="AF222" s="105" ph="1"/>
      <c r="AG222" s="105" ph="1"/>
      <c r="AH222" s="105" ph="1"/>
      <c r="AI222" s="105" ph="1"/>
      <c r="AJ222" s="105" ph="1"/>
      <c r="AK222" s="105" ph="1"/>
      <c r="AL222" s="105" ph="1"/>
      <c r="AM222" s="18" ph="1"/>
      <c r="AN222" s="105" ph="1"/>
      <c r="AO222" s="105" ph="1"/>
      <c r="AP222" s="105" ph="1"/>
      <c r="AQ222" s="18" ph="1"/>
      <c r="AR222" s="105" ph="1"/>
      <c r="AS222" s="105" ph="1"/>
      <c r="AT222" s="105" ph="1"/>
      <c r="AU222" s="18" ph="1"/>
      <c r="AV222" s="105" ph="1"/>
      <c r="AW222" s="105" ph="1"/>
      <c r="AX222" s="18" ph="1"/>
      <c r="AY222" s="105" ph="1"/>
      <c r="AZ222" s="105" ph="1"/>
      <c r="BA222" s="105" ph="1"/>
      <c r="BB222" s="105" ph="1"/>
      <c r="BC222" s="18" ph="1"/>
      <c r="BD222" s="89"/>
      <c r="BE222" s="89"/>
      <c r="BF222" s="89"/>
      <c r="BG222" s="89"/>
      <c r="BH222" s="89"/>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c r="DU222" s="20"/>
      <c r="DV222" s="20"/>
      <c r="DW222" s="20"/>
      <c r="DX222" s="20"/>
      <c r="DY222" s="20"/>
      <c r="DZ222" s="20"/>
      <c r="EA222" s="20"/>
      <c r="EB222" s="20"/>
      <c r="EC222" s="20"/>
      <c r="ED222" s="20"/>
      <c r="EE222" s="20"/>
      <c r="EF222" s="20"/>
      <c r="EG222" s="20"/>
      <c r="EH222" s="20"/>
      <c r="EI222" s="20"/>
      <c r="EJ222" s="20"/>
      <c r="EK222" s="20"/>
      <c r="EL222" s="20"/>
      <c r="EM222" s="20"/>
      <c r="EN222" s="20"/>
      <c r="EO222" s="20"/>
      <c r="EP222" s="20"/>
      <c r="EQ222" s="20"/>
      <c r="ER222" s="20"/>
      <c r="ES222" s="20"/>
      <c r="ET222" s="20"/>
      <c r="EU222" s="20"/>
      <c r="EV222" s="20"/>
      <c r="EW222" s="20"/>
      <c r="EX222" s="20"/>
      <c r="EY222" s="20"/>
      <c r="EZ222" s="20"/>
      <c r="FA222" s="20"/>
      <c r="FB222" s="20"/>
      <c r="FC222" s="20"/>
      <c r="FD222" s="20"/>
      <c r="FE222" s="20"/>
      <c r="FF222" s="20"/>
      <c r="FG222" s="20"/>
      <c r="FH222" s="20"/>
      <c r="FI222" s="20"/>
      <c r="FJ222" s="20"/>
      <c r="FK222" s="20"/>
      <c r="FL222" s="20"/>
      <c r="FM222" s="20"/>
      <c r="FN222" s="20"/>
      <c r="FO222" s="20"/>
      <c r="FP222" s="20"/>
      <c r="FQ222" s="20"/>
      <c r="FR222" s="20"/>
      <c r="FS222" s="20"/>
      <c r="FT222" s="20"/>
      <c r="FU222" s="20"/>
      <c r="FV222" s="20"/>
      <c r="FW222" s="20"/>
      <c r="FX222" s="20"/>
      <c r="FY222" s="20"/>
      <c r="FZ222" s="20"/>
      <c r="GA222" s="20"/>
      <c r="GB222" s="20"/>
      <c r="GC222" s="20"/>
      <c r="GD222" s="20"/>
      <c r="GE222" s="20"/>
      <c r="GF222" s="20"/>
      <c r="GG222" s="20"/>
      <c r="GH222" s="20"/>
      <c r="GI222" s="20"/>
      <c r="GJ222" s="20"/>
      <c r="GK222" s="20"/>
      <c r="GL222" s="20"/>
      <c r="GM222" s="20"/>
      <c r="GN222" s="20"/>
      <c r="GO222" s="20"/>
      <c r="GP222" s="20"/>
      <c r="GQ222" s="20"/>
      <c r="GR222" s="20"/>
      <c r="GS222" s="20"/>
      <c r="GT222" s="20"/>
      <c r="GU222" s="20"/>
      <c r="GV222" s="20"/>
      <c r="GW222" s="20"/>
      <c r="GX222" s="20"/>
      <c r="GY222" s="20"/>
      <c r="GZ222" s="20"/>
      <c r="HA222" s="20"/>
      <c r="HB222" s="20"/>
      <c r="HC222" s="20"/>
      <c r="HD222" s="20"/>
      <c r="HE222" s="20"/>
      <c r="HF222" s="20"/>
      <c r="HG222" s="20"/>
      <c r="HH222" s="20"/>
      <c r="HI222" s="20"/>
      <c r="HJ222" s="20"/>
      <c r="HK222" s="20"/>
      <c r="HL222" s="20"/>
      <c r="HM222" s="20"/>
      <c r="HN222" s="20"/>
      <c r="HO222" s="20"/>
      <c r="HP222" s="20"/>
      <c r="HQ222" s="20"/>
      <c r="HR222" s="20"/>
      <c r="HS222" s="20"/>
      <c r="HT222" s="20"/>
      <c r="HU222" s="20"/>
      <c r="HV222" s="20"/>
      <c r="HW222" s="20"/>
      <c r="HX222" s="20"/>
      <c r="HY222" s="20"/>
      <c r="HZ222" s="20"/>
      <c r="IA222" s="20"/>
      <c r="IB222" s="20"/>
      <c r="IC222" s="20"/>
      <c r="ID222" s="20"/>
      <c r="IE222" s="20"/>
      <c r="IF222" s="20"/>
      <c r="IG222" s="20"/>
      <c r="IH222" s="20"/>
      <c r="II222" s="20"/>
      <c r="IJ222" s="20"/>
      <c r="IK222" s="20"/>
      <c r="IL222" s="20"/>
      <c r="IM222" s="20"/>
      <c r="IN222" s="20"/>
      <c r="IO222" s="20"/>
      <c r="IP222" s="20"/>
      <c r="IQ222" s="20"/>
      <c r="IR222" s="20"/>
      <c r="IS222" s="20"/>
      <c r="IT222" s="20"/>
      <c r="IU222" s="20"/>
      <c r="IV222" s="20"/>
      <c r="IW222" s="20"/>
      <c r="IX222" s="20"/>
      <c r="IY222" s="20"/>
      <c r="IZ222" s="20"/>
      <c r="JA222" s="20"/>
      <c r="JB222" s="20"/>
      <c r="JC222" s="20"/>
      <c r="JD222" s="20"/>
      <c r="JE222" s="20"/>
      <c r="JF222" s="20"/>
      <c r="JG222" s="20"/>
      <c r="JH222" s="20"/>
      <c r="JI222" s="20"/>
    </row>
    <row r="223" spans="1:269">
      <c r="A223" s="61"/>
      <c r="B223" s="20"/>
      <c r="C223" s="20"/>
      <c r="D223" s="27"/>
      <c r="E223" s="27"/>
      <c r="F223" s="27"/>
      <c r="G223" s="18"/>
      <c r="H223" s="27"/>
      <c r="I223" s="27"/>
      <c r="J223" s="18"/>
      <c r="K223" s="27"/>
      <c r="L223" s="27"/>
      <c r="M223" s="18"/>
      <c r="N223" s="27"/>
      <c r="O223" s="27"/>
      <c r="P223" s="18"/>
      <c r="Q223" s="27"/>
      <c r="R223" s="18"/>
      <c r="S223" s="18"/>
      <c r="T223" s="18"/>
      <c r="U223" s="18"/>
      <c r="V223" s="18"/>
      <c r="W223" s="105"/>
      <c r="X223" s="105"/>
      <c r="Y223" s="18"/>
      <c r="Z223" s="105"/>
      <c r="AA223" s="105"/>
      <c r="AB223" s="18"/>
      <c r="AC223" s="105"/>
      <c r="AD223" s="105"/>
      <c r="AE223" s="18"/>
      <c r="AF223" s="105"/>
      <c r="AG223" s="105"/>
      <c r="AH223" s="105"/>
      <c r="AI223" s="105"/>
      <c r="AJ223" s="105"/>
      <c r="AK223" s="105"/>
      <c r="AL223" s="105"/>
      <c r="AM223" s="18"/>
      <c r="AN223" s="105"/>
      <c r="AO223" s="105"/>
      <c r="AP223" s="105"/>
      <c r="AQ223" s="18"/>
      <c r="AR223" s="105"/>
      <c r="AS223" s="105"/>
      <c r="AT223" s="105"/>
      <c r="AU223" s="18"/>
      <c r="AV223" s="105"/>
      <c r="AW223" s="105"/>
      <c r="AX223" s="18"/>
      <c r="AY223" s="105"/>
      <c r="AZ223" s="105"/>
      <c r="BA223" s="105"/>
      <c r="BB223" s="105"/>
      <c r="BC223" s="18"/>
      <c r="BD223" s="89"/>
      <c r="BE223" s="89"/>
      <c r="BF223" s="89"/>
      <c r="BG223" s="89"/>
      <c r="BH223" s="89"/>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c r="DU223" s="20"/>
      <c r="DV223" s="20"/>
      <c r="DW223" s="20"/>
      <c r="DX223" s="20"/>
      <c r="DY223" s="20"/>
      <c r="DZ223" s="20"/>
      <c r="EA223" s="20"/>
      <c r="EB223" s="20"/>
      <c r="EC223" s="20"/>
      <c r="ED223" s="20"/>
      <c r="EE223" s="20"/>
      <c r="EF223" s="20"/>
      <c r="EG223" s="20"/>
      <c r="EH223" s="20"/>
      <c r="EI223" s="20"/>
      <c r="EJ223" s="20"/>
      <c r="EK223" s="20"/>
      <c r="EL223" s="20"/>
      <c r="EM223" s="20"/>
      <c r="EN223" s="20"/>
      <c r="EO223" s="20"/>
      <c r="EP223" s="20"/>
      <c r="EQ223" s="20"/>
      <c r="ER223" s="20"/>
      <c r="ES223" s="20"/>
      <c r="ET223" s="20"/>
      <c r="EU223" s="20"/>
      <c r="EV223" s="20"/>
      <c r="EW223" s="20"/>
      <c r="EX223" s="20"/>
      <c r="EY223" s="20"/>
      <c r="EZ223" s="20"/>
      <c r="FA223" s="20"/>
      <c r="FB223" s="20"/>
      <c r="FC223" s="20"/>
      <c r="FD223" s="20"/>
      <c r="FE223" s="20"/>
      <c r="FF223" s="20"/>
      <c r="FG223" s="20"/>
      <c r="FH223" s="20"/>
      <c r="FI223" s="20"/>
      <c r="FJ223" s="20"/>
      <c r="FK223" s="20"/>
      <c r="FL223" s="20"/>
      <c r="FM223" s="20"/>
      <c r="FN223" s="20"/>
      <c r="FO223" s="20"/>
      <c r="FP223" s="20"/>
      <c r="FQ223" s="20"/>
      <c r="FR223" s="20"/>
      <c r="FS223" s="20"/>
      <c r="FT223" s="20"/>
      <c r="FU223" s="20"/>
      <c r="FV223" s="20"/>
      <c r="FW223" s="20"/>
      <c r="FX223" s="20"/>
      <c r="FY223" s="20"/>
      <c r="FZ223" s="20"/>
      <c r="GA223" s="20"/>
      <c r="GB223" s="20"/>
      <c r="GC223" s="20"/>
      <c r="GD223" s="20"/>
      <c r="GE223" s="20"/>
      <c r="GF223" s="20"/>
      <c r="GG223" s="20"/>
      <c r="GH223" s="20"/>
      <c r="GI223" s="20"/>
      <c r="GJ223" s="20"/>
      <c r="GK223" s="20"/>
      <c r="GL223" s="20"/>
      <c r="GM223" s="20"/>
      <c r="GN223" s="20"/>
      <c r="GO223" s="20"/>
      <c r="GP223" s="20"/>
      <c r="GQ223" s="20"/>
      <c r="GR223" s="20"/>
      <c r="GS223" s="20"/>
      <c r="GT223" s="20"/>
      <c r="GU223" s="20"/>
      <c r="GV223" s="20"/>
      <c r="GW223" s="20"/>
      <c r="GX223" s="20"/>
      <c r="GY223" s="20"/>
      <c r="GZ223" s="20"/>
      <c r="HA223" s="20"/>
      <c r="HB223" s="20"/>
      <c r="HC223" s="20"/>
      <c r="HD223" s="20"/>
      <c r="HE223" s="20"/>
      <c r="HF223" s="20"/>
      <c r="HG223" s="20"/>
      <c r="HH223" s="20"/>
      <c r="HI223" s="20"/>
      <c r="HJ223" s="20"/>
      <c r="HK223" s="20"/>
      <c r="HL223" s="20"/>
      <c r="HM223" s="20"/>
      <c r="HN223" s="20"/>
      <c r="HO223" s="20"/>
      <c r="HP223" s="20"/>
      <c r="HQ223" s="20"/>
      <c r="HR223" s="20"/>
      <c r="HS223" s="20"/>
      <c r="HT223" s="20"/>
      <c r="HU223" s="20"/>
      <c r="HV223" s="20"/>
      <c r="HW223" s="20"/>
      <c r="HX223" s="20"/>
      <c r="HY223" s="20"/>
      <c r="HZ223" s="20"/>
      <c r="IA223" s="20"/>
      <c r="IB223" s="20"/>
      <c r="IC223" s="20"/>
      <c r="ID223" s="20"/>
      <c r="IE223" s="20"/>
      <c r="IF223" s="20"/>
      <c r="IG223" s="20"/>
      <c r="IH223" s="20"/>
      <c r="II223" s="20"/>
      <c r="IJ223" s="20"/>
      <c r="IK223" s="20"/>
      <c r="IL223" s="20"/>
      <c r="IM223" s="20"/>
      <c r="IN223" s="20"/>
      <c r="IO223" s="20"/>
      <c r="IP223" s="20"/>
      <c r="IQ223" s="20"/>
      <c r="IR223" s="20"/>
      <c r="IS223" s="20"/>
      <c r="IT223" s="20"/>
      <c r="IU223" s="20"/>
      <c r="IV223" s="20"/>
      <c r="IW223" s="20"/>
      <c r="IX223" s="20"/>
      <c r="IY223" s="20"/>
      <c r="IZ223" s="20"/>
      <c r="JA223" s="20"/>
      <c r="JB223" s="20"/>
      <c r="JC223" s="20"/>
      <c r="JD223" s="20"/>
      <c r="JE223" s="20"/>
      <c r="JF223" s="20"/>
      <c r="JG223" s="20"/>
      <c r="JH223" s="20"/>
      <c r="JI223" s="20"/>
    </row>
    <row r="224" spans="1:269">
      <c r="A224" s="61" ph="1"/>
      <c r="B224" s="20" ph="1"/>
      <c r="C224" s="20" ph="1"/>
      <c r="D224" s="27" ph="1"/>
      <c r="E224" s="27" ph="1"/>
      <c r="F224" s="27" ph="1"/>
      <c r="G224" s="18" ph="1"/>
      <c r="H224" s="27" ph="1"/>
      <c r="I224" s="27" ph="1"/>
      <c r="J224" s="18" ph="1"/>
      <c r="K224" s="27" ph="1"/>
      <c r="L224" s="27" ph="1"/>
      <c r="M224" s="18" ph="1"/>
      <c r="N224" s="27" ph="1"/>
      <c r="O224" s="27" ph="1"/>
      <c r="P224" s="18" ph="1"/>
      <c r="Q224" s="27" ph="1"/>
      <c r="R224" s="18" ph="1"/>
      <c r="S224" s="18" ph="1"/>
      <c r="T224" s="18" ph="1"/>
      <c r="U224" s="18" ph="1"/>
      <c r="V224" s="18" ph="1"/>
      <c r="W224" s="105" ph="1"/>
      <c r="X224" s="105" ph="1"/>
      <c r="Y224" s="18" ph="1"/>
      <c r="Z224" s="105" ph="1"/>
      <c r="AA224" s="105" ph="1"/>
      <c r="AB224" s="18" ph="1"/>
      <c r="AC224" s="105" ph="1"/>
      <c r="AD224" s="105" ph="1"/>
      <c r="AE224" s="18" ph="1"/>
      <c r="AF224" s="105" ph="1"/>
      <c r="AG224" s="105" ph="1"/>
      <c r="AH224" s="105" ph="1"/>
      <c r="AI224" s="105" ph="1"/>
      <c r="AJ224" s="105" ph="1"/>
      <c r="AK224" s="105" ph="1"/>
      <c r="AL224" s="105" ph="1"/>
      <c r="AM224" s="18" ph="1"/>
      <c r="AN224" s="105" ph="1"/>
      <c r="AO224" s="105" ph="1"/>
      <c r="AP224" s="105" ph="1"/>
      <c r="AQ224" s="18" ph="1"/>
      <c r="AR224" s="105" ph="1"/>
      <c r="AS224" s="105" ph="1"/>
      <c r="AT224" s="105" ph="1"/>
      <c r="AU224" s="18" ph="1"/>
      <c r="AV224" s="105" ph="1"/>
      <c r="AW224" s="105" ph="1"/>
      <c r="AX224" s="18" ph="1"/>
      <c r="AY224" s="105" ph="1"/>
      <c r="AZ224" s="105" ph="1"/>
      <c r="BA224" s="105" ph="1"/>
      <c r="BB224" s="105" ph="1"/>
      <c r="BC224" s="18" ph="1"/>
      <c r="BD224" s="89"/>
      <c r="BE224" s="89"/>
      <c r="BF224" s="89"/>
      <c r="BG224" s="89"/>
      <c r="BH224" s="89"/>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c r="DU224" s="20"/>
      <c r="DV224" s="20"/>
      <c r="DW224" s="20"/>
      <c r="DX224" s="20"/>
      <c r="DY224" s="20"/>
      <c r="DZ224" s="20"/>
      <c r="EA224" s="20"/>
      <c r="EB224" s="20"/>
      <c r="EC224" s="20"/>
      <c r="ED224" s="20"/>
      <c r="EE224" s="20"/>
      <c r="EF224" s="20"/>
      <c r="EG224" s="20"/>
      <c r="EH224" s="20"/>
      <c r="EI224" s="20"/>
      <c r="EJ224" s="20"/>
      <c r="EK224" s="20"/>
      <c r="EL224" s="20"/>
      <c r="EM224" s="20"/>
      <c r="EN224" s="20"/>
      <c r="EO224" s="20"/>
      <c r="EP224" s="20"/>
      <c r="EQ224" s="20"/>
      <c r="ER224" s="20"/>
      <c r="ES224" s="20"/>
      <c r="ET224" s="20"/>
      <c r="EU224" s="20"/>
      <c r="EV224" s="20"/>
      <c r="EW224" s="20"/>
      <c r="EX224" s="20"/>
      <c r="EY224" s="20"/>
      <c r="EZ224" s="20"/>
      <c r="FA224" s="20"/>
      <c r="FB224" s="20"/>
      <c r="FC224" s="20"/>
      <c r="FD224" s="20"/>
      <c r="FE224" s="20"/>
      <c r="FF224" s="20"/>
      <c r="FG224" s="20"/>
      <c r="FH224" s="20"/>
      <c r="FI224" s="20"/>
      <c r="FJ224" s="20"/>
      <c r="FK224" s="20"/>
      <c r="FL224" s="20"/>
      <c r="FM224" s="20"/>
      <c r="FN224" s="20"/>
      <c r="FO224" s="20"/>
      <c r="FP224" s="20"/>
      <c r="FQ224" s="20"/>
      <c r="FR224" s="20"/>
      <c r="FS224" s="20"/>
      <c r="FT224" s="20"/>
      <c r="FU224" s="20"/>
      <c r="FV224" s="20"/>
      <c r="FW224" s="20"/>
      <c r="FX224" s="20"/>
      <c r="FY224" s="20"/>
      <c r="FZ224" s="20"/>
      <c r="GA224" s="20"/>
      <c r="GB224" s="20"/>
      <c r="GC224" s="20"/>
      <c r="GD224" s="20"/>
      <c r="GE224" s="20"/>
      <c r="GF224" s="20"/>
      <c r="GG224" s="20"/>
      <c r="GH224" s="20"/>
      <c r="GI224" s="20"/>
      <c r="GJ224" s="20"/>
      <c r="GK224" s="20"/>
      <c r="GL224" s="20"/>
      <c r="GM224" s="20"/>
      <c r="GN224" s="20"/>
      <c r="GO224" s="20"/>
      <c r="GP224" s="20"/>
      <c r="GQ224" s="20"/>
      <c r="GR224" s="20"/>
      <c r="GS224" s="20"/>
      <c r="GT224" s="20"/>
      <c r="GU224" s="20"/>
      <c r="GV224" s="20"/>
      <c r="GW224" s="20"/>
      <c r="GX224" s="20"/>
      <c r="GY224" s="20"/>
      <c r="GZ224" s="20"/>
      <c r="HA224" s="20"/>
      <c r="HB224" s="20"/>
      <c r="HC224" s="20"/>
      <c r="HD224" s="20"/>
      <c r="HE224" s="20"/>
      <c r="HF224" s="20"/>
      <c r="HG224" s="20"/>
      <c r="HH224" s="20"/>
      <c r="HI224" s="20"/>
      <c r="HJ224" s="20"/>
      <c r="HK224" s="20"/>
      <c r="HL224" s="20"/>
      <c r="HM224" s="20"/>
      <c r="HN224" s="20"/>
      <c r="HO224" s="20"/>
      <c r="HP224" s="20"/>
      <c r="HQ224" s="20"/>
      <c r="HR224" s="20"/>
      <c r="HS224" s="20"/>
      <c r="HT224" s="20"/>
      <c r="HU224" s="20"/>
      <c r="HV224" s="20"/>
      <c r="HW224" s="20"/>
      <c r="HX224" s="20"/>
      <c r="HY224" s="20"/>
      <c r="HZ224" s="20"/>
      <c r="IA224" s="20"/>
      <c r="IB224" s="20"/>
      <c r="IC224" s="20"/>
      <c r="ID224" s="20"/>
      <c r="IE224" s="20"/>
      <c r="IF224" s="20"/>
      <c r="IG224" s="20"/>
      <c r="IH224" s="20"/>
      <c r="II224" s="20"/>
      <c r="IJ224" s="20"/>
      <c r="IK224" s="20"/>
      <c r="IL224" s="20"/>
      <c r="IM224" s="20"/>
      <c r="IN224" s="20"/>
      <c r="IO224" s="20"/>
      <c r="IP224" s="20"/>
      <c r="IQ224" s="20"/>
      <c r="IR224" s="20"/>
      <c r="IS224" s="20"/>
      <c r="IT224" s="20"/>
      <c r="IU224" s="20"/>
      <c r="IV224" s="20"/>
      <c r="IW224" s="20"/>
      <c r="IX224" s="20"/>
      <c r="IY224" s="20"/>
      <c r="IZ224" s="20"/>
      <c r="JA224" s="20"/>
      <c r="JB224" s="20"/>
      <c r="JC224" s="20"/>
      <c r="JD224" s="20"/>
      <c r="JE224" s="20"/>
      <c r="JF224" s="20"/>
      <c r="JG224" s="20"/>
      <c r="JH224" s="20"/>
      <c r="JI224" s="20"/>
    </row>
    <row r="225" spans="1:269">
      <c r="A225" s="61" ph="1"/>
      <c r="B225" s="20" ph="1"/>
      <c r="C225" s="20" ph="1"/>
      <c r="D225" s="27" ph="1"/>
      <c r="E225" s="27" ph="1"/>
      <c r="F225" s="27" ph="1"/>
      <c r="G225" s="18" ph="1"/>
      <c r="H225" s="27" ph="1"/>
      <c r="I225" s="27" ph="1"/>
      <c r="J225" s="18" ph="1"/>
      <c r="K225" s="27" ph="1"/>
      <c r="L225" s="27" ph="1"/>
      <c r="M225" s="18" ph="1"/>
      <c r="N225" s="27" ph="1"/>
      <c r="O225" s="27" ph="1"/>
      <c r="P225" s="18" ph="1"/>
      <c r="Q225" s="27" ph="1"/>
      <c r="R225" s="18" ph="1"/>
      <c r="S225" s="18" ph="1"/>
      <c r="T225" s="18" ph="1"/>
      <c r="U225" s="18" ph="1"/>
      <c r="V225" s="18" ph="1"/>
      <c r="W225" s="105" ph="1"/>
      <c r="X225" s="105" ph="1"/>
      <c r="Y225" s="18" ph="1"/>
      <c r="Z225" s="105" ph="1"/>
      <c r="AA225" s="105" ph="1"/>
      <c r="AB225" s="18" ph="1"/>
      <c r="AC225" s="105" ph="1"/>
      <c r="AD225" s="105" ph="1"/>
      <c r="AE225" s="18" ph="1"/>
      <c r="AF225" s="105" ph="1"/>
      <c r="AG225" s="105" ph="1"/>
      <c r="AH225" s="105" ph="1"/>
      <c r="AI225" s="105" ph="1"/>
      <c r="AJ225" s="105" ph="1"/>
      <c r="AK225" s="105" ph="1"/>
      <c r="AL225" s="105" ph="1"/>
      <c r="AM225" s="18" ph="1"/>
      <c r="AN225" s="105" ph="1"/>
      <c r="AO225" s="105" ph="1"/>
      <c r="AP225" s="105" ph="1"/>
      <c r="AQ225" s="18" ph="1"/>
      <c r="AR225" s="105" ph="1"/>
      <c r="AS225" s="105" ph="1"/>
      <c r="AT225" s="105" ph="1"/>
      <c r="AU225" s="18" ph="1"/>
      <c r="AV225" s="105" ph="1"/>
      <c r="AW225" s="105" ph="1"/>
      <c r="AX225" s="18" ph="1"/>
      <c r="AY225" s="105" ph="1"/>
      <c r="AZ225" s="105" ph="1"/>
      <c r="BA225" s="105" ph="1"/>
      <c r="BB225" s="105" ph="1"/>
      <c r="BC225" s="18" ph="1"/>
      <c r="BD225" s="89"/>
      <c r="BE225" s="89"/>
      <c r="BF225" s="89"/>
      <c r="BG225" s="89"/>
      <c r="BH225" s="89"/>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c r="DU225" s="20"/>
      <c r="DV225" s="20"/>
      <c r="DW225" s="20"/>
      <c r="DX225" s="20"/>
      <c r="DY225" s="20"/>
      <c r="DZ225" s="20"/>
      <c r="EA225" s="20"/>
      <c r="EB225" s="20"/>
      <c r="EC225" s="20"/>
      <c r="ED225" s="20"/>
      <c r="EE225" s="20"/>
      <c r="EF225" s="20"/>
      <c r="EG225" s="20"/>
      <c r="EH225" s="20"/>
      <c r="EI225" s="20"/>
      <c r="EJ225" s="20"/>
      <c r="EK225" s="20"/>
      <c r="EL225" s="20"/>
      <c r="EM225" s="20"/>
      <c r="EN225" s="20"/>
      <c r="EO225" s="20"/>
      <c r="EP225" s="20"/>
      <c r="EQ225" s="20"/>
      <c r="ER225" s="20"/>
      <c r="ES225" s="20"/>
      <c r="ET225" s="20"/>
      <c r="EU225" s="20"/>
      <c r="EV225" s="20"/>
      <c r="EW225" s="20"/>
      <c r="EX225" s="20"/>
      <c r="EY225" s="20"/>
      <c r="EZ225" s="20"/>
      <c r="FA225" s="20"/>
      <c r="FB225" s="20"/>
      <c r="FC225" s="20"/>
      <c r="FD225" s="20"/>
      <c r="FE225" s="20"/>
      <c r="FF225" s="20"/>
      <c r="FG225" s="20"/>
      <c r="FH225" s="20"/>
      <c r="FI225" s="20"/>
      <c r="FJ225" s="20"/>
      <c r="FK225" s="20"/>
      <c r="FL225" s="20"/>
      <c r="FM225" s="20"/>
      <c r="FN225" s="20"/>
      <c r="FO225" s="20"/>
      <c r="FP225" s="20"/>
      <c r="FQ225" s="20"/>
      <c r="FR225" s="20"/>
      <c r="FS225" s="20"/>
      <c r="FT225" s="20"/>
      <c r="FU225" s="20"/>
      <c r="FV225" s="20"/>
      <c r="FW225" s="20"/>
      <c r="FX225" s="20"/>
      <c r="FY225" s="20"/>
      <c r="FZ225" s="20"/>
      <c r="GA225" s="20"/>
      <c r="GB225" s="20"/>
      <c r="GC225" s="20"/>
      <c r="GD225" s="20"/>
      <c r="GE225" s="20"/>
      <c r="GF225" s="20"/>
      <c r="GG225" s="20"/>
      <c r="GH225" s="20"/>
      <c r="GI225" s="20"/>
      <c r="GJ225" s="20"/>
      <c r="GK225" s="20"/>
      <c r="GL225" s="20"/>
      <c r="GM225" s="20"/>
      <c r="GN225" s="20"/>
      <c r="GO225" s="20"/>
      <c r="GP225" s="20"/>
      <c r="GQ225" s="20"/>
      <c r="GR225" s="20"/>
      <c r="GS225" s="20"/>
      <c r="GT225" s="20"/>
      <c r="GU225" s="20"/>
      <c r="GV225" s="20"/>
      <c r="GW225" s="20"/>
      <c r="GX225" s="20"/>
      <c r="GY225" s="20"/>
      <c r="GZ225" s="20"/>
      <c r="HA225" s="20"/>
      <c r="HB225" s="20"/>
      <c r="HC225" s="20"/>
      <c r="HD225" s="20"/>
      <c r="HE225" s="20"/>
      <c r="HF225" s="20"/>
      <c r="HG225" s="20"/>
      <c r="HH225" s="20"/>
      <c r="HI225" s="20"/>
      <c r="HJ225" s="20"/>
      <c r="HK225" s="20"/>
      <c r="HL225" s="20"/>
      <c r="HM225" s="20"/>
      <c r="HN225" s="20"/>
      <c r="HO225" s="20"/>
      <c r="HP225" s="20"/>
      <c r="HQ225" s="20"/>
      <c r="HR225" s="20"/>
      <c r="HS225" s="20"/>
      <c r="HT225" s="20"/>
      <c r="HU225" s="20"/>
      <c r="HV225" s="20"/>
      <c r="HW225" s="20"/>
      <c r="HX225" s="20"/>
      <c r="HY225" s="20"/>
      <c r="HZ225" s="20"/>
      <c r="IA225" s="20"/>
      <c r="IB225" s="20"/>
      <c r="IC225" s="20"/>
      <c r="ID225" s="20"/>
      <c r="IE225" s="20"/>
      <c r="IF225" s="20"/>
      <c r="IG225" s="20"/>
      <c r="IH225" s="20"/>
      <c r="II225" s="20"/>
      <c r="IJ225" s="20"/>
      <c r="IK225" s="20"/>
      <c r="IL225" s="20"/>
      <c r="IM225" s="20"/>
      <c r="IN225" s="20"/>
      <c r="IO225" s="20"/>
      <c r="IP225" s="20"/>
      <c r="IQ225" s="20"/>
      <c r="IR225" s="20"/>
      <c r="IS225" s="20"/>
      <c r="IT225" s="20"/>
      <c r="IU225" s="20"/>
      <c r="IV225" s="20"/>
      <c r="IW225" s="20"/>
      <c r="IX225" s="20"/>
      <c r="IY225" s="20"/>
      <c r="IZ225" s="20"/>
      <c r="JA225" s="20"/>
      <c r="JB225" s="20"/>
      <c r="JC225" s="20"/>
      <c r="JD225" s="20"/>
      <c r="JE225" s="20"/>
      <c r="JF225" s="20"/>
      <c r="JG225" s="20"/>
      <c r="JH225" s="20"/>
      <c r="JI225" s="20"/>
    </row>
    <row r="226" spans="1:269">
      <c r="A226" s="61" ph="1"/>
      <c r="B226" s="20" ph="1"/>
      <c r="C226" s="20" ph="1"/>
      <c r="D226" s="27" ph="1"/>
      <c r="E226" s="27" ph="1"/>
      <c r="F226" s="27" ph="1"/>
      <c r="G226" s="18" ph="1"/>
      <c r="H226" s="27" ph="1"/>
      <c r="I226" s="27" ph="1"/>
      <c r="J226" s="18" ph="1"/>
      <c r="K226" s="27" ph="1"/>
      <c r="L226" s="27" ph="1"/>
      <c r="M226" s="18" ph="1"/>
      <c r="N226" s="27" ph="1"/>
      <c r="O226" s="27" ph="1"/>
      <c r="P226" s="18" ph="1"/>
      <c r="Q226" s="27" ph="1"/>
      <c r="R226" s="18" ph="1"/>
      <c r="S226" s="18" ph="1"/>
      <c r="T226" s="18" ph="1"/>
      <c r="U226" s="18" ph="1"/>
      <c r="V226" s="18" ph="1"/>
      <c r="W226" s="105" ph="1"/>
      <c r="X226" s="105" ph="1"/>
      <c r="Y226" s="18" ph="1"/>
      <c r="Z226" s="105" ph="1"/>
      <c r="AA226" s="105" ph="1"/>
      <c r="AB226" s="18" ph="1"/>
      <c r="AC226" s="105" ph="1"/>
      <c r="AD226" s="105" ph="1"/>
      <c r="AE226" s="18" ph="1"/>
      <c r="AF226" s="105" ph="1"/>
      <c r="AG226" s="105" ph="1"/>
      <c r="AH226" s="105" ph="1"/>
      <c r="AI226" s="105" ph="1"/>
      <c r="AJ226" s="105" ph="1"/>
      <c r="AK226" s="105" ph="1"/>
      <c r="AL226" s="105" ph="1"/>
      <c r="AM226" s="18" ph="1"/>
      <c r="AN226" s="105" ph="1"/>
      <c r="AO226" s="105" ph="1"/>
      <c r="AP226" s="105" ph="1"/>
      <c r="AQ226" s="18" ph="1"/>
      <c r="AR226" s="105" ph="1"/>
      <c r="AS226" s="105" ph="1"/>
      <c r="AT226" s="105" ph="1"/>
      <c r="AU226" s="18" ph="1"/>
      <c r="AV226" s="105" ph="1"/>
      <c r="AW226" s="105" ph="1"/>
      <c r="AX226" s="18" ph="1"/>
      <c r="AY226" s="105" ph="1"/>
      <c r="AZ226" s="105" ph="1"/>
      <c r="BA226" s="105" ph="1"/>
      <c r="BB226" s="105" ph="1"/>
      <c r="BC226" s="18" ph="1"/>
      <c r="BD226" s="89"/>
      <c r="BE226" s="89"/>
      <c r="BF226" s="89"/>
      <c r="BG226" s="89"/>
      <c r="BH226" s="89"/>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c r="DU226" s="20"/>
      <c r="DV226" s="20"/>
      <c r="DW226" s="20"/>
      <c r="DX226" s="20"/>
      <c r="DY226" s="20"/>
      <c r="DZ226" s="20"/>
      <c r="EA226" s="20"/>
      <c r="EB226" s="20"/>
      <c r="EC226" s="20"/>
      <c r="ED226" s="20"/>
      <c r="EE226" s="20"/>
      <c r="EF226" s="20"/>
      <c r="EG226" s="20"/>
      <c r="EH226" s="20"/>
      <c r="EI226" s="20"/>
      <c r="EJ226" s="20"/>
      <c r="EK226" s="20"/>
      <c r="EL226" s="20"/>
      <c r="EM226" s="20"/>
      <c r="EN226" s="20"/>
      <c r="EO226" s="20"/>
      <c r="EP226" s="20"/>
      <c r="EQ226" s="20"/>
      <c r="ER226" s="20"/>
      <c r="ES226" s="20"/>
      <c r="ET226" s="20"/>
      <c r="EU226" s="20"/>
      <c r="EV226" s="20"/>
      <c r="EW226" s="20"/>
      <c r="EX226" s="20"/>
      <c r="EY226" s="20"/>
      <c r="EZ226" s="20"/>
      <c r="FA226" s="20"/>
      <c r="FB226" s="20"/>
      <c r="FC226" s="20"/>
      <c r="FD226" s="20"/>
      <c r="FE226" s="20"/>
      <c r="FF226" s="20"/>
      <c r="FG226" s="20"/>
      <c r="FH226" s="20"/>
      <c r="FI226" s="20"/>
      <c r="FJ226" s="20"/>
      <c r="FK226" s="20"/>
      <c r="FL226" s="20"/>
      <c r="FM226" s="20"/>
      <c r="FN226" s="20"/>
      <c r="FO226" s="20"/>
      <c r="FP226" s="20"/>
      <c r="FQ226" s="20"/>
      <c r="FR226" s="20"/>
      <c r="FS226" s="20"/>
      <c r="FT226" s="20"/>
      <c r="FU226" s="20"/>
      <c r="FV226" s="20"/>
      <c r="FW226" s="20"/>
      <c r="FX226" s="20"/>
      <c r="FY226" s="20"/>
      <c r="FZ226" s="20"/>
      <c r="GA226" s="20"/>
      <c r="GB226" s="20"/>
      <c r="GC226" s="20"/>
      <c r="GD226" s="20"/>
      <c r="GE226" s="20"/>
      <c r="GF226" s="20"/>
      <c r="GG226" s="20"/>
      <c r="GH226" s="20"/>
      <c r="GI226" s="20"/>
      <c r="GJ226" s="20"/>
      <c r="GK226" s="20"/>
      <c r="GL226" s="20"/>
      <c r="GM226" s="20"/>
      <c r="GN226" s="20"/>
      <c r="GO226" s="20"/>
      <c r="GP226" s="20"/>
      <c r="GQ226" s="20"/>
      <c r="GR226" s="20"/>
      <c r="GS226" s="20"/>
      <c r="GT226" s="20"/>
      <c r="GU226" s="20"/>
      <c r="GV226" s="20"/>
      <c r="GW226" s="20"/>
      <c r="GX226" s="20"/>
      <c r="GY226" s="20"/>
      <c r="GZ226" s="20"/>
      <c r="HA226" s="20"/>
      <c r="HB226" s="20"/>
      <c r="HC226" s="20"/>
      <c r="HD226" s="20"/>
      <c r="HE226" s="20"/>
      <c r="HF226" s="20"/>
      <c r="HG226" s="20"/>
      <c r="HH226" s="20"/>
      <c r="HI226" s="20"/>
      <c r="HJ226" s="20"/>
      <c r="HK226" s="20"/>
      <c r="HL226" s="20"/>
      <c r="HM226" s="20"/>
      <c r="HN226" s="20"/>
      <c r="HO226" s="20"/>
      <c r="HP226" s="20"/>
      <c r="HQ226" s="20"/>
      <c r="HR226" s="20"/>
      <c r="HS226" s="20"/>
      <c r="HT226" s="20"/>
      <c r="HU226" s="20"/>
      <c r="HV226" s="20"/>
      <c r="HW226" s="20"/>
      <c r="HX226" s="20"/>
      <c r="HY226" s="20"/>
      <c r="HZ226" s="20"/>
      <c r="IA226" s="20"/>
      <c r="IB226" s="20"/>
      <c r="IC226" s="20"/>
      <c r="ID226" s="20"/>
      <c r="IE226" s="20"/>
      <c r="IF226" s="20"/>
      <c r="IG226" s="20"/>
      <c r="IH226" s="20"/>
      <c r="II226" s="20"/>
      <c r="IJ226" s="20"/>
      <c r="IK226" s="20"/>
      <c r="IL226" s="20"/>
      <c r="IM226" s="20"/>
      <c r="IN226" s="20"/>
      <c r="IO226" s="20"/>
      <c r="IP226" s="20"/>
      <c r="IQ226" s="20"/>
      <c r="IR226" s="20"/>
      <c r="IS226" s="20"/>
      <c r="IT226" s="20"/>
      <c r="IU226" s="20"/>
      <c r="IV226" s="20"/>
      <c r="IW226" s="20"/>
      <c r="IX226" s="20"/>
      <c r="IY226" s="20"/>
      <c r="IZ226" s="20"/>
      <c r="JA226" s="20"/>
      <c r="JB226" s="20"/>
      <c r="JC226" s="20"/>
      <c r="JD226" s="20"/>
      <c r="JE226" s="20"/>
      <c r="JF226" s="20"/>
      <c r="JG226" s="20"/>
      <c r="JH226" s="20"/>
      <c r="JI226" s="20"/>
    </row>
    <row r="227" spans="1:269">
      <c r="A227" s="61" ph="1"/>
      <c r="B227" s="20" ph="1"/>
      <c r="C227" s="20" ph="1"/>
      <c r="D227" s="27" ph="1"/>
      <c r="E227" s="27" ph="1"/>
      <c r="F227" s="27" ph="1"/>
      <c r="G227" s="18" ph="1"/>
      <c r="H227" s="27" ph="1"/>
      <c r="I227" s="27" ph="1"/>
      <c r="J227" s="18" ph="1"/>
      <c r="K227" s="27" ph="1"/>
      <c r="L227" s="27" ph="1"/>
      <c r="M227" s="18" ph="1"/>
      <c r="N227" s="27" ph="1"/>
      <c r="O227" s="27" ph="1"/>
      <c r="P227" s="18" ph="1"/>
      <c r="Q227" s="27" ph="1"/>
      <c r="R227" s="18" ph="1"/>
      <c r="S227" s="18" ph="1"/>
      <c r="T227" s="18" ph="1"/>
      <c r="U227" s="18" ph="1"/>
      <c r="V227" s="18" ph="1"/>
      <c r="W227" s="105" ph="1"/>
      <c r="X227" s="105" ph="1"/>
      <c r="Y227" s="18" ph="1"/>
      <c r="Z227" s="105" ph="1"/>
      <c r="AA227" s="105" ph="1"/>
      <c r="AB227" s="18" ph="1"/>
      <c r="AC227" s="105" ph="1"/>
      <c r="AD227" s="105" ph="1"/>
      <c r="AE227" s="18" ph="1"/>
      <c r="AF227" s="105" ph="1"/>
      <c r="AG227" s="105" ph="1"/>
      <c r="AH227" s="105" ph="1"/>
      <c r="AI227" s="105" ph="1"/>
      <c r="AJ227" s="105" ph="1"/>
      <c r="AK227" s="105" ph="1"/>
      <c r="AL227" s="105" ph="1"/>
      <c r="AM227" s="18" ph="1"/>
      <c r="AN227" s="105" ph="1"/>
      <c r="AO227" s="105" ph="1"/>
      <c r="AP227" s="105" ph="1"/>
      <c r="AQ227" s="18" ph="1"/>
      <c r="AR227" s="105" ph="1"/>
      <c r="AS227" s="105" ph="1"/>
      <c r="AT227" s="105" ph="1"/>
      <c r="AU227" s="18" ph="1"/>
      <c r="AV227" s="105" ph="1"/>
      <c r="AW227" s="105" ph="1"/>
      <c r="AX227" s="18" ph="1"/>
      <c r="AY227" s="105" ph="1"/>
      <c r="AZ227" s="105" ph="1"/>
      <c r="BA227" s="105" ph="1"/>
      <c r="BB227" s="105" ph="1"/>
      <c r="BC227" s="18" ph="1"/>
      <c r="BD227" s="89"/>
      <c r="BE227" s="89"/>
      <c r="BF227" s="89"/>
      <c r="BG227" s="89"/>
      <c r="BH227" s="89"/>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c r="DU227" s="20"/>
      <c r="DV227" s="20"/>
      <c r="DW227" s="20"/>
      <c r="DX227" s="20"/>
      <c r="DY227" s="20"/>
      <c r="DZ227" s="20"/>
      <c r="EA227" s="20"/>
      <c r="EB227" s="20"/>
      <c r="EC227" s="20"/>
      <c r="ED227" s="20"/>
      <c r="EE227" s="20"/>
      <c r="EF227" s="20"/>
      <c r="EG227" s="20"/>
      <c r="EH227" s="20"/>
      <c r="EI227" s="20"/>
      <c r="EJ227" s="20"/>
      <c r="EK227" s="20"/>
      <c r="EL227" s="20"/>
      <c r="EM227" s="20"/>
      <c r="EN227" s="20"/>
      <c r="EO227" s="20"/>
      <c r="EP227" s="20"/>
      <c r="EQ227" s="20"/>
      <c r="ER227" s="20"/>
      <c r="ES227" s="20"/>
      <c r="ET227" s="20"/>
      <c r="EU227" s="20"/>
      <c r="EV227" s="20"/>
      <c r="EW227" s="20"/>
      <c r="EX227" s="20"/>
      <c r="EY227" s="20"/>
      <c r="EZ227" s="20"/>
      <c r="FA227" s="20"/>
      <c r="FB227" s="20"/>
      <c r="FC227" s="20"/>
      <c r="FD227" s="20"/>
      <c r="FE227" s="20"/>
      <c r="FF227" s="20"/>
      <c r="FG227" s="20"/>
      <c r="FH227" s="20"/>
      <c r="FI227" s="20"/>
      <c r="FJ227" s="20"/>
      <c r="FK227" s="20"/>
      <c r="FL227" s="20"/>
      <c r="FM227" s="20"/>
      <c r="FN227" s="20"/>
      <c r="FO227" s="20"/>
      <c r="FP227" s="20"/>
      <c r="FQ227" s="20"/>
      <c r="FR227" s="20"/>
      <c r="FS227" s="20"/>
      <c r="FT227" s="20"/>
      <c r="FU227" s="20"/>
      <c r="FV227" s="20"/>
      <c r="FW227" s="20"/>
      <c r="FX227" s="20"/>
      <c r="FY227" s="20"/>
      <c r="FZ227" s="20"/>
      <c r="GA227" s="20"/>
      <c r="GB227" s="20"/>
      <c r="GC227" s="20"/>
      <c r="GD227" s="20"/>
      <c r="GE227" s="20"/>
      <c r="GF227" s="20"/>
      <c r="GG227" s="20"/>
      <c r="GH227" s="20"/>
      <c r="GI227" s="20"/>
      <c r="GJ227" s="20"/>
      <c r="GK227" s="20"/>
      <c r="GL227" s="20"/>
      <c r="GM227" s="20"/>
      <c r="GN227" s="20"/>
      <c r="GO227" s="20"/>
      <c r="GP227" s="20"/>
      <c r="GQ227" s="20"/>
      <c r="GR227" s="20"/>
      <c r="GS227" s="20"/>
      <c r="GT227" s="20"/>
      <c r="GU227" s="20"/>
      <c r="GV227" s="20"/>
      <c r="GW227" s="20"/>
      <c r="GX227" s="20"/>
      <c r="GY227" s="20"/>
      <c r="GZ227" s="20"/>
      <c r="HA227" s="20"/>
      <c r="HB227" s="20"/>
      <c r="HC227" s="20"/>
      <c r="HD227" s="20"/>
      <c r="HE227" s="20"/>
      <c r="HF227" s="20"/>
      <c r="HG227" s="20"/>
      <c r="HH227" s="20"/>
      <c r="HI227" s="20"/>
      <c r="HJ227" s="20"/>
      <c r="HK227" s="20"/>
      <c r="HL227" s="20"/>
      <c r="HM227" s="20"/>
      <c r="HN227" s="20"/>
      <c r="HO227" s="20"/>
      <c r="HP227" s="20"/>
      <c r="HQ227" s="20"/>
      <c r="HR227" s="20"/>
      <c r="HS227" s="20"/>
      <c r="HT227" s="20"/>
      <c r="HU227" s="20"/>
      <c r="HV227" s="20"/>
      <c r="HW227" s="20"/>
      <c r="HX227" s="20"/>
      <c r="HY227" s="20"/>
      <c r="HZ227" s="20"/>
      <c r="IA227" s="20"/>
      <c r="IB227" s="20"/>
      <c r="IC227" s="20"/>
      <c r="ID227" s="20"/>
      <c r="IE227" s="20"/>
      <c r="IF227" s="20"/>
      <c r="IG227" s="20"/>
      <c r="IH227" s="20"/>
      <c r="II227" s="20"/>
      <c r="IJ227" s="20"/>
      <c r="IK227" s="20"/>
      <c r="IL227" s="20"/>
      <c r="IM227" s="20"/>
      <c r="IN227" s="20"/>
      <c r="IO227" s="20"/>
      <c r="IP227" s="20"/>
      <c r="IQ227" s="20"/>
      <c r="IR227" s="20"/>
      <c r="IS227" s="20"/>
      <c r="IT227" s="20"/>
      <c r="IU227" s="20"/>
      <c r="IV227" s="20"/>
      <c r="IW227" s="20"/>
      <c r="IX227" s="20"/>
      <c r="IY227" s="20"/>
      <c r="IZ227" s="20"/>
      <c r="JA227" s="20"/>
      <c r="JB227" s="20"/>
      <c r="JC227" s="20"/>
      <c r="JD227" s="20"/>
      <c r="JE227" s="20"/>
      <c r="JF227" s="20"/>
      <c r="JG227" s="20"/>
      <c r="JH227" s="20"/>
      <c r="JI227" s="20"/>
    </row>
    <row r="228" spans="1:269">
      <c r="A228" s="61" ph="1"/>
      <c r="B228" s="20" ph="1"/>
      <c r="C228" s="20" ph="1"/>
      <c r="D228" s="27" ph="1"/>
      <c r="E228" s="27" ph="1"/>
      <c r="F228" s="27" ph="1"/>
      <c r="G228" s="18" ph="1"/>
      <c r="H228" s="27" ph="1"/>
      <c r="I228" s="27" ph="1"/>
      <c r="J228" s="18" ph="1"/>
      <c r="K228" s="27" ph="1"/>
      <c r="L228" s="27" ph="1"/>
      <c r="M228" s="18" ph="1"/>
      <c r="N228" s="27" ph="1"/>
      <c r="O228" s="27" ph="1"/>
      <c r="P228" s="18" ph="1"/>
      <c r="Q228" s="27" ph="1"/>
      <c r="R228" s="18" ph="1"/>
      <c r="S228" s="18" ph="1"/>
      <c r="T228" s="18" ph="1"/>
      <c r="U228" s="18" ph="1"/>
      <c r="V228" s="18" ph="1"/>
      <c r="W228" s="105" ph="1"/>
      <c r="X228" s="105" ph="1"/>
      <c r="Y228" s="18" ph="1"/>
      <c r="Z228" s="105" ph="1"/>
      <c r="AA228" s="105" ph="1"/>
      <c r="AB228" s="18" ph="1"/>
      <c r="AC228" s="105" ph="1"/>
      <c r="AD228" s="105" ph="1"/>
      <c r="AE228" s="18" ph="1"/>
      <c r="AF228" s="105" ph="1"/>
      <c r="AG228" s="105" ph="1"/>
      <c r="AH228" s="105" ph="1"/>
      <c r="AI228" s="105" ph="1"/>
      <c r="AJ228" s="105" ph="1"/>
      <c r="AK228" s="105" ph="1"/>
      <c r="AL228" s="105" ph="1"/>
      <c r="AM228" s="18" ph="1"/>
      <c r="AN228" s="105" ph="1"/>
      <c r="AO228" s="105" ph="1"/>
      <c r="AP228" s="105" ph="1"/>
      <c r="AQ228" s="18" ph="1"/>
      <c r="AR228" s="105" ph="1"/>
      <c r="AS228" s="105" ph="1"/>
      <c r="AT228" s="105" ph="1"/>
      <c r="AU228" s="18" ph="1"/>
      <c r="AV228" s="105" ph="1"/>
      <c r="AW228" s="105" ph="1"/>
      <c r="AX228" s="18" ph="1"/>
      <c r="AY228" s="105" ph="1"/>
      <c r="AZ228" s="105" ph="1"/>
      <c r="BA228" s="105" ph="1"/>
      <c r="BB228" s="105" ph="1"/>
      <c r="BC228" s="18" ph="1"/>
      <c r="BD228" s="89"/>
      <c r="BE228" s="89"/>
      <c r="BF228" s="89"/>
      <c r="BG228" s="89"/>
      <c r="BH228" s="89"/>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c r="DU228" s="20"/>
      <c r="DV228" s="20"/>
      <c r="DW228" s="20"/>
      <c r="DX228" s="20"/>
      <c r="DY228" s="20"/>
      <c r="DZ228" s="20"/>
      <c r="EA228" s="20"/>
      <c r="EB228" s="20"/>
      <c r="EC228" s="20"/>
      <c r="ED228" s="20"/>
      <c r="EE228" s="20"/>
      <c r="EF228" s="20"/>
      <c r="EG228" s="20"/>
      <c r="EH228" s="20"/>
      <c r="EI228" s="20"/>
      <c r="EJ228" s="20"/>
      <c r="EK228" s="20"/>
      <c r="EL228" s="20"/>
      <c r="EM228" s="20"/>
      <c r="EN228" s="20"/>
      <c r="EO228" s="20"/>
      <c r="EP228" s="20"/>
      <c r="EQ228" s="20"/>
      <c r="ER228" s="20"/>
      <c r="ES228" s="20"/>
      <c r="ET228" s="20"/>
      <c r="EU228" s="20"/>
      <c r="EV228" s="20"/>
      <c r="EW228" s="20"/>
      <c r="EX228" s="20"/>
      <c r="EY228" s="20"/>
      <c r="EZ228" s="20"/>
      <c r="FA228" s="20"/>
      <c r="FB228" s="20"/>
      <c r="FC228" s="20"/>
      <c r="FD228" s="20"/>
      <c r="FE228" s="20"/>
      <c r="FF228" s="20"/>
      <c r="FG228" s="20"/>
      <c r="FH228" s="20"/>
      <c r="FI228" s="20"/>
      <c r="FJ228" s="20"/>
      <c r="FK228" s="20"/>
      <c r="FL228" s="20"/>
      <c r="FM228" s="20"/>
      <c r="FN228" s="20"/>
      <c r="FO228" s="20"/>
      <c r="FP228" s="20"/>
      <c r="FQ228" s="20"/>
      <c r="FR228" s="20"/>
      <c r="FS228" s="20"/>
      <c r="FT228" s="20"/>
      <c r="FU228" s="20"/>
      <c r="FV228" s="20"/>
      <c r="FW228" s="20"/>
      <c r="FX228" s="20"/>
      <c r="FY228" s="20"/>
      <c r="FZ228" s="20"/>
      <c r="GA228" s="20"/>
      <c r="GB228" s="20"/>
      <c r="GC228" s="20"/>
      <c r="GD228" s="20"/>
      <c r="GE228" s="20"/>
      <c r="GF228" s="20"/>
      <c r="GG228" s="20"/>
      <c r="GH228" s="20"/>
      <c r="GI228" s="20"/>
      <c r="GJ228" s="20"/>
      <c r="GK228" s="20"/>
      <c r="GL228" s="20"/>
      <c r="GM228" s="20"/>
      <c r="GN228" s="20"/>
      <c r="GO228" s="20"/>
      <c r="GP228" s="20"/>
      <c r="GQ228" s="20"/>
      <c r="GR228" s="20"/>
      <c r="GS228" s="20"/>
      <c r="GT228" s="20"/>
      <c r="GU228" s="20"/>
      <c r="GV228" s="20"/>
      <c r="GW228" s="20"/>
      <c r="GX228" s="20"/>
      <c r="GY228" s="20"/>
      <c r="GZ228" s="20"/>
      <c r="HA228" s="20"/>
      <c r="HB228" s="20"/>
      <c r="HC228" s="20"/>
      <c r="HD228" s="20"/>
      <c r="HE228" s="20"/>
      <c r="HF228" s="20"/>
      <c r="HG228" s="20"/>
      <c r="HH228" s="20"/>
      <c r="HI228" s="20"/>
      <c r="HJ228" s="20"/>
      <c r="HK228" s="20"/>
      <c r="HL228" s="20"/>
      <c r="HM228" s="20"/>
      <c r="HN228" s="20"/>
      <c r="HO228" s="20"/>
      <c r="HP228" s="20"/>
      <c r="HQ228" s="20"/>
      <c r="HR228" s="20"/>
      <c r="HS228" s="20"/>
      <c r="HT228" s="20"/>
      <c r="HU228" s="20"/>
      <c r="HV228" s="20"/>
      <c r="HW228" s="20"/>
      <c r="HX228" s="20"/>
      <c r="HY228" s="20"/>
      <c r="HZ228" s="20"/>
      <c r="IA228" s="20"/>
      <c r="IB228" s="20"/>
      <c r="IC228" s="20"/>
      <c r="ID228" s="20"/>
      <c r="IE228" s="20"/>
      <c r="IF228" s="20"/>
      <c r="IG228" s="20"/>
      <c r="IH228" s="20"/>
      <c r="II228" s="20"/>
      <c r="IJ228" s="20"/>
      <c r="IK228" s="20"/>
      <c r="IL228" s="20"/>
      <c r="IM228" s="20"/>
      <c r="IN228" s="20"/>
      <c r="IO228" s="20"/>
      <c r="IP228" s="20"/>
      <c r="IQ228" s="20"/>
      <c r="IR228" s="20"/>
      <c r="IS228" s="20"/>
      <c r="IT228" s="20"/>
      <c r="IU228" s="20"/>
      <c r="IV228" s="20"/>
      <c r="IW228" s="20"/>
      <c r="IX228" s="20"/>
      <c r="IY228" s="20"/>
      <c r="IZ228" s="20"/>
      <c r="JA228" s="20"/>
      <c r="JB228" s="20"/>
      <c r="JC228" s="20"/>
      <c r="JD228" s="20"/>
      <c r="JE228" s="20"/>
      <c r="JF228" s="20"/>
      <c r="JG228" s="20"/>
      <c r="JH228" s="20"/>
      <c r="JI228" s="20"/>
    </row>
    <row r="229" spans="1:269">
      <c r="A229" s="61" ph="1"/>
      <c r="B229" s="20" ph="1"/>
      <c r="C229" s="20" ph="1"/>
      <c r="D229" s="27" ph="1"/>
      <c r="E229" s="27" ph="1"/>
      <c r="F229" s="27" ph="1"/>
      <c r="G229" s="18" ph="1"/>
      <c r="H229" s="27" ph="1"/>
      <c r="I229" s="27" ph="1"/>
      <c r="J229" s="18" ph="1"/>
      <c r="K229" s="27" ph="1"/>
      <c r="L229" s="27" ph="1"/>
      <c r="M229" s="18" ph="1"/>
      <c r="N229" s="27" ph="1"/>
      <c r="O229" s="27" ph="1"/>
      <c r="P229" s="18" ph="1"/>
      <c r="Q229" s="27" ph="1"/>
      <c r="R229" s="18" ph="1"/>
      <c r="S229" s="18" ph="1"/>
      <c r="T229" s="18" ph="1"/>
      <c r="U229" s="18" ph="1"/>
      <c r="V229" s="18" ph="1"/>
      <c r="W229" s="105" ph="1"/>
      <c r="X229" s="105" ph="1"/>
      <c r="Y229" s="18" ph="1"/>
      <c r="Z229" s="105" ph="1"/>
      <c r="AA229" s="105" ph="1"/>
      <c r="AB229" s="18" ph="1"/>
      <c r="AC229" s="105" ph="1"/>
      <c r="AD229" s="105" ph="1"/>
      <c r="AE229" s="18" ph="1"/>
      <c r="AF229" s="105" ph="1"/>
      <c r="AG229" s="105" ph="1"/>
      <c r="AH229" s="105" ph="1"/>
      <c r="AI229" s="105" ph="1"/>
      <c r="AJ229" s="105" ph="1"/>
      <c r="AK229" s="105" ph="1"/>
      <c r="AL229" s="105" ph="1"/>
      <c r="AM229" s="18" ph="1"/>
      <c r="AN229" s="105" ph="1"/>
      <c r="AO229" s="105" ph="1"/>
      <c r="AP229" s="105" ph="1"/>
      <c r="AQ229" s="18" ph="1"/>
      <c r="AR229" s="105" ph="1"/>
      <c r="AS229" s="105" ph="1"/>
      <c r="AT229" s="105" ph="1"/>
      <c r="AU229" s="18" ph="1"/>
      <c r="AV229" s="105" ph="1"/>
      <c r="AW229" s="105" ph="1"/>
      <c r="AX229" s="18" ph="1"/>
      <c r="AY229" s="105" ph="1"/>
      <c r="AZ229" s="105" ph="1"/>
      <c r="BA229" s="105" ph="1"/>
      <c r="BB229" s="105" ph="1"/>
      <c r="BC229" s="18" ph="1"/>
      <c r="BD229" s="89"/>
      <c r="BE229" s="89"/>
      <c r="BF229" s="89"/>
      <c r="BG229" s="89"/>
      <c r="BH229" s="89"/>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c r="DU229" s="20"/>
      <c r="DV229" s="20"/>
      <c r="DW229" s="20"/>
      <c r="DX229" s="20"/>
      <c r="DY229" s="20"/>
      <c r="DZ229" s="20"/>
      <c r="EA229" s="20"/>
      <c r="EB229" s="20"/>
      <c r="EC229" s="20"/>
      <c r="ED229" s="20"/>
      <c r="EE229" s="20"/>
      <c r="EF229" s="20"/>
      <c r="EG229" s="20"/>
      <c r="EH229" s="20"/>
      <c r="EI229" s="20"/>
      <c r="EJ229" s="20"/>
      <c r="EK229" s="20"/>
      <c r="EL229" s="20"/>
      <c r="EM229" s="20"/>
      <c r="EN229" s="20"/>
      <c r="EO229" s="20"/>
      <c r="EP229" s="20"/>
      <c r="EQ229" s="20"/>
      <c r="ER229" s="20"/>
      <c r="ES229" s="20"/>
      <c r="ET229" s="20"/>
      <c r="EU229" s="20"/>
      <c r="EV229" s="20"/>
      <c r="EW229" s="20"/>
      <c r="EX229" s="20"/>
      <c r="EY229" s="20"/>
      <c r="EZ229" s="20"/>
      <c r="FA229" s="20"/>
      <c r="FB229" s="20"/>
      <c r="FC229" s="20"/>
      <c r="FD229" s="20"/>
      <c r="FE229" s="20"/>
      <c r="FF229" s="20"/>
      <c r="FG229" s="20"/>
      <c r="FH229" s="20"/>
      <c r="FI229" s="20"/>
      <c r="FJ229" s="20"/>
      <c r="FK229" s="20"/>
      <c r="FL229" s="20"/>
      <c r="FM229" s="20"/>
      <c r="FN229" s="20"/>
      <c r="FO229" s="20"/>
      <c r="FP229" s="20"/>
      <c r="FQ229" s="20"/>
      <c r="FR229" s="20"/>
      <c r="FS229" s="20"/>
      <c r="FT229" s="20"/>
      <c r="FU229" s="20"/>
      <c r="FV229" s="20"/>
      <c r="FW229" s="20"/>
      <c r="FX229" s="20"/>
      <c r="FY229" s="20"/>
      <c r="FZ229" s="20"/>
      <c r="GA229" s="20"/>
      <c r="GB229" s="20"/>
      <c r="GC229" s="20"/>
      <c r="GD229" s="20"/>
      <c r="GE229" s="20"/>
      <c r="GF229" s="20"/>
      <c r="GG229" s="20"/>
      <c r="GH229" s="20"/>
      <c r="GI229" s="20"/>
      <c r="GJ229" s="20"/>
      <c r="GK229" s="20"/>
      <c r="GL229" s="20"/>
      <c r="GM229" s="20"/>
      <c r="GN229" s="20"/>
      <c r="GO229" s="20"/>
      <c r="GP229" s="20"/>
      <c r="GQ229" s="20"/>
      <c r="GR229" s="20"/>
      <c r="GS229" s="20"/>
      <c r="GT229" s="20"/>
      <c r="GU229" s="20"/>
      <c r="GV229" s="20"/>
      <c r="GW229" s="20"/>
      <c r="GX229" s="20"/>
      <c r="GY229" s="20"/>
      <c r="GZ229" s="20"/>
      <c r="HA229" s="20"/>
      <c r="HB229" s="20"/>
      <c r="HC229" s="20"/>
      <c r="HD229" s="20"/>
      <c r="HE229" s="20"/>
      <c r="HF229" s="20"/>
      <c r="HG229" s="20"/>
      <c r="HH229" s="20"/>
      <c r="HI229" s="20"/>
      <c r="HJ229" s="20"/>
      <c r="HK229" s="20"/>
      <c r="HL229" s="20"/>
      <c r="HM229" s="20"/>
      <c r="HN229" s="20"/>
      <c r="HO229" s="20"/>
      <c r="HP229" s="20"/>
      <c r="HQ229" s="20"/>
      <c r="HR229" s="20"/>
      <c r="HS229" s="20"/>
      <c r="HT229" s="20"/>
      <c r="HU229" s="20"/>
      <c r="HV229" s="20"/>
      <c r="HW229" s="20"/>
      <c r="HX229" s="20"/>
      <c r="HY229" s="20"/>
      <c r="HZ229" s="20"/>
      <c r="IA229" s="20"/>
      <c r="IB229" s="20"/>
      <c r="IC229" s="20"/>
      <c r="ID229" s="20"/>
      <c r="IE229" s="20"/>
      <c r="IF229" s="20"/>
      <c r="IG229" s="20"/>
      <c r="IH229" s="20"/>
      <c r="II229" s="20"/>
      <c r="IJ229" s="20"/>
      <c r="IK229" s="20"/>
      <c r="IL229" s="20"/>
      <c r="IM229" s="20"/>
      <c r="IN229" s="20"/>
      <c r="IO229" s="20"/>
      <c r="IP229" s="20"/>
      <c r="IQ229" s="20"/>
      <c r="IR229" s="20"/>
      <c r="IS229" s="20"/>
      <c r="IT229" s="20"/>
      <c r="IU229" s="20"/>
      <c r="IV229" s="20"/>
      <c r="IW229" s="20"/>
      <c r="IX229" s="20"/>
      <c r="IY229" s="20"/>
      <c r="IZ229" s="20"/>
      <c r="JA229" s="20"/>
      <c r="JB229" s="20"/>
      <c r="JC229" s="20"/>
      <c r="JD229" s="20"/>
      <c r="JE229" s="20"/>
      <c r="JF229" s="20"/>
      <c r="JG229" s="20"/>
      <c r="JH229" s="20"/>
      <c r="JI229" s="20"/>
    </row>
    <row r="230" spans="1:269">
      <c r="A230" s="61" ph="1"/>
      <c r="B230" s="20" ph="1"/>
      <c r="C230" s="20" ph="1"/>
      <c r="D230" s="27" ph="1"/>
      <c r="E230" s="27" ph="1"/>
      <c r="F230" s="27" ph="1"/>
      <c r="G230" s="18" ph="1"/>
      <c r="H230" s="27" ph="1"/>
      <c r="I230" s="27" ph="1"/>
      <c r="J230" s="18" ph="1"/>
      <c r="K230" s="27" ph="1"/>
      <c r="L230" s="27" ph="1"/>
      <c r="M230" s="18" ph="1"/>
      <c r="N230" s="27" ph="1"/>
      <c r="O230" s="27" ph="1"/>
      <c r="P230" s="18" ph="1"/>
      <c r="Q230" s="27" ph="1"/>
      <c r="R230" s="18" ph="1"/>
      <c r="S230" s="18" ph="1"/>
      <c r="T230" s="18" ph="1"/>
      <c r="U230" s="18" ph="1"/>
      <c r="V230" s="18" ph="1"/>
      <c r="W230" s="105" ph="1"/>
      <c r="X230" s="105" ph="1"/>
      <c r="Y230" s="18" ph="1"/>
      <c r="Z230" s="105" ph="1"/>
      <c r="AA230" s="105" ph="1"/>
      <c r="AB230" s="18" ph="1"/>
      <c r="AC230" s="105" ph="1"/>
      <c r="AD230" s="105" ph="1"/>
      <c r="AE230" s="18" ph="1"/>
      <c r="AF230" s="105" ph="1"/>
      <c r="AG230" s="105" ph="1"/>
      <c r="AH230" s="105" ph="1"/>
      <c r="AI230" s="105" ph="1"/>
      <c r="AJ230" s="105" ph="1"/>
      <c r="AK230" s="105" ph="1"/>
      <c r="AL230" s="105" ph="1"/>
      <c r="AM230" s="18" ph="1"/>
      <c r="AN230" s="105" ph="1"/>
      <c r="AO230" s="105" ph="1"/>
      <c r="AP230" s="105" ph="1"/>
      <c r="AQ230" s="18" ph="1"/>
      <c r="AR230" s="105" ph="1"/>
      <c r="AS230" s="105" ph="1"/>
      <c r="AT230" s="105" ph="1"/>
      <c r="AU230" s="18" ph="1"/>
      <c r="AV230" s="105" ph="1"/>
      <c r="AW230" s="105" ph="1"/>
      <c r="AX230" s="18" ph="1"/>
      <c r="AY230" s="105" ph="1"/>
      <c r="AZ230" s="105" ph="1"/>
      <c r="BA230" s="105" ph="1"/>
      <c r="BB230" s="105" ph="1"/>
      <c r="BC230" s="18" ph="1"/>
      <c r="BD230" s="89"/>
      <c r="BE230" s="89"/>
      <c r="BF230" s="89"/>
      <c r="BG230" s="89"/>
      <c r="BH230" s="89"/>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c r="DU230" s="20"/>
      <c r="DV230" s="20"/>
      <c r="DW230" s="20"/>
      <c r="DX230" s="20"/>
      <c r="DY230" s="20"/>
      <c r="DZ230" s="20"/>
      <c r="EA230" s="20"/>
      <c r="EB230" s="20"/>
      <c r="EC230" s="20"/>
      <c r="ED230" s="20"/>
      <c r="EE230" s="20"/>
      <c r="EF230" s="20"/>
      <c r="EG230" s="20"/>
      <c r="EH230" s="20"/>
      <c r="EI230" s="20"/>
      <c r="EJ230" s="20"/>
      <c r="EK230" s="20"/>
      <c r="EL230" s="20"/>
      <c r="EM230" s="20"/>
      <c r="EN230" s="20"/>
      <c r="EO230" s="20"/>
      <c r="EP230" s="20"/>
      <c r="EQ230" s="20"/>
      <c r="ER230" s="20"/>
      <c r="ES230" s="20"/>
      <c r="ET230" s="20"/>
      <c r="EU230" s="20"/>
      <c r="EV230" s="20"/>
      <c r="EW230" s="20"/>
      <c r="EX230" s="20"/>
      <c r="EY230" s="20"/>
      <c r="EZ230" s="20"/>
      <c r="FA230" s="20"/>
      <c r="FB230" s="20"/>
      <c r="FC230" s="20"/>
      <c r="FD230" s="20"/>
      <c r="FE230" s="20"/>
      <c r="FF230" s="20"/>
      <c r="FG230" s="20"/>
      <c r="FH230" s="20"/>
      <c r="FI230" s="20"/>
      <c r="FJ230" s="20"/>
      <c r="FK230" s="20"/>
      <c r="FL230" s="20"/>
      <c r="FM230" s="20"/>
      <c r="FN230" s="20"/>
      <c r="FO230" s="20"/>
      <c r="FP230" s="20"/>
      <c r="FQ230" s="20"/>
      <c r="FR230" s="20"/>
      <c r="FS230" s="20"/>
      <c r="FT230" s="20"/>
      <c r="FU230" s="20"/>
      <c r="FV230" s="20"/>
      <c r="FW230" s="20"/>
      <c r="FX230" s="20"/>
      <c r="FY230" s="20"/>
      <c r="FZ230" s="20"/>
      <c r="GA230" s="20"/>
      <c r="GB230" s="20"/>
      <c r="GC230" s="20"/>
      <c r="GD230" s="20"/>
      <c r="GE230" s="20"/>
      <c r="GF230" s="20"/>
      <c r="GG230" s="20"/>
      <c r="GH230" s="20"/>
      <c r="GI230" s="20"/>
      <c r="GJ230" s="20"/>
      <c r="GK230" s="20"/>
      <c r="GL230" s="20"/>
      <c r="GM230" s="20"/>
      <c r="GN230" s="20"/>
      <c r="GO230" s="20"/>
      <c r="GP230" s="20"/>
      <c r="GQ230" s="20"/>
      <c r="GR230" s="20"/>
      <c r="GS230" s="20"/>
      <c r="GT230" s="20"/>
      <c r="GU230" s="20"/>
      <c r="GV230" s="20"/>
      <c r="GW230" s="20"/>
      <c r="GX230" s="20"/>
      <c r="GY230" s="20"/>
      <c r="GZ230" s="20"/>
      <c r="HA230" s="20"/>
      <c r="HB230" s="20"/>
      <c r="HC230" s="20"/>
      <c r="HD230" s="20"/>
      <c r="HE230" s="20"/>
      <c r="HF230" s="20"/>
      <c r="HG230" s="20"/>
      <c r="HH230" s="20"/>
      <c r="HI230" s="20"/>
      <c r="HJ230" s="20"/>
      <c r="HK230" s="20"/>
      <c r="HL230" s="20"/>
      <c r="HM230" s="20"/>
      <c r="HN230" s="20"/>
      <c r="HO230" s="20"/>
      <c r="HP230" s="20"/>
      <c r="HQ230" s="20"/>
      <c r="HR230" s="20"/>
      <c r="HS230" s="20"/>
      <c r="HT230" s="20"/>
      <c r="HU230" s="20"/>
      <c r="HV230" s="20"/>
      <c r="HW230" s="20"/>
      <c r="HX230" s="20"/>
      <c r="HY230" s="20"/>
      <c r="HZ230" s="20"/>
      <c r="IA230" s="20"/>
      <c r="IB230" s="20"/>
      <c r="IC230" s="20"/>
      <c r="ID230" s="20"/>
      <c r="IE230" s="20"/>
      <c r="IF230" s="20"/>
      <c r="IG230" s="20"/>
      <c r="IH230" s="20"/>
      <c r="II230" s="20"/>
      <c r="IJ230" s="20"/>
      <c r="IK230" s="20"/>
      <c r="IL230" s="20"/>
      <c r="IM230" s="20"/>
      <c r="IN230" s="20"/>
      <c r="IO230" s="20"/>
      <c r="IP230" s="20"/>
      <c r="IQ230" s="20"/>
      <c r="IR230" s="20"/>
      <c r="IS230" s="20"/>
      <c r="IT230" s="20"/>
      <c r="IU230" s="20"/>
      <c r="IV230" s="20"/>
      <c r="IW230" s="20"/>
      <c r="IX230" s="20"/>
      <c r="IY230" s="20"/>
      <c r="IZ230" s="20"/>
      <c r="JA230" s="20"/>
      <c r="JB230" s="20"/>
      <c r="JC230" s="20"/>
      <c r="JD230" s="20"/>
      <c r="JE230" s="20"/>
      <c r="JF230" s="20"/>
      <c r="JG230" s="20"/>
      <c r="JH230" s="20"/>
      <c r="JI230" s="20"/>
    </row>
    <row r="231" spans="1:269">
      <c r="A231" s="61" ph="1"/>
      <c r="B231" s="20" ph="1"/>
      <c r="C231" s="20" ph="1"/>
      <c r="D231" s="27" ph="1"/>
      <c r="E231" s="27" ph="1"/>
      <c r="F231" s="27" ph="1"/>
      <c r="G231" s="18" ph="1"/>
      <c r="H231" s="27" ph="1"/>
      <c r="I231" s="27" ph="1"/>
      <c r="J231" s="18" ph="1"/>
      <c r="K231" s="27" ph="1"/>
      <c r="L231" s="27" ph="1"/>
      <c r="M231" s="18" ph="1"/>
      <c r="N231" s="27" ph="1"/>
      <c r="O231" s="27" ph="1"/>
      <c r="P231" s="18" ph="1"/>
      <c r="Q231" s="27" ph="1"/>
      <c r="R231" s="18" ph="1"/>
      <c r="S231" s="18" ph="1"/>
      <c r="T231" s="18" ph="1"/>
      <c r="U231" s="18" ph="1"/>
      <c r="V231" s="18" ph="1"/>
      <c r="W231" s="105" ph="1"/>
      <c r="X231" s="105" ph="1"/>
      <c r="Y231" s="18" ph="1"/>
      <c r="Z231" s="105" ph="1"/>
      <c r="AA231" s="105" ph="1"/>
      <c r="AB231" s="18" ph="1"/>
      <c r="AC231" s="105" ph="1"/>
      <c r="AD231" s="105" ph="1"/>
      <c r="AE231" s="18" ph="1"/>
      <c r="AF231" s="105" ph="1"/>
      <c r="AG231" s="105" ph="1"/>
      <c r="AH231" s="105" ph="1"/>
      <c r="AI231" s="105" ph="1"/>
      <c r="AJ231" s="105" ph="1"/>
      <c r="AK231" s="105" ph="1"/>
      <c r="AL231" s="105" ph="1"/>
      <c r="AM231" s="18" ph="1"/>
      <c r="AN231" s="105" ph="1"/>
      <c r="AO231" s="105" ph="1"/>
      <c r="AP231" s="105" ph="1"/>
      <c r="AQ231" s="18" ph="1"/>
      <c r="AR231" s="105" ph="1"/>
      <c r="AS231" s="105" ph="1"/>
      <c r="AT231" s="105" ph="1"/>
      <c r="AU231" s="18" ph="1"/>
      <c r="AV231" s="105" ph="1"/>
      <c r="AW231" s="105" ph="1"/>
      <c r="AX231" s="18" ph="1"/>
      <c r="AY231" s="105" ph="1"/>
      <c r="AZ231" s="105" ph="1"/>
      <c r="BA231" s="105" ph="1"/>
      <c r="BB231" s="105" ph="1"/>
      <c r="BC231" s="18" ph="1"/>
      <c r="BD231" s="89"/>
      <c r="BE231" s="89"/>
      <c r="BF231" s="89"/>
      <c r="BG231" s="89"/>
      <c r="BH231" s="89"/>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c r="DU231" s="20"/>
      <c r="DV231" s="20"/>
      <c r="DW231" s="20"/>
      <c r="DX231" s="20"/>
      <c r="DY231" s="20"/>
      <c r="DZ231" s="20"/>
      <c r="EA231" s="20"/>
      <c r="EB231" s="20"/>
      <c r="EC231" s="20"/>
      <c r="ED231" s="20"/>
      <c r="EE231" s="20"/>
      <c r="EF231" s="20"/>
      <c r="EG231" s="20"/>
      <c r="EH231" s="20"/>
      <c r="EI231" s="20"/>
      <c r="EJ231" s="20"/>
      <c r="EK231" s="20"/>
      <c r="EL231" s="20"/>
      <c r="EM231" s="20"/>
      <c r="EN231" s="20"/>
      <c r="EO231" s="20"/>
      <c r="EP231" s="20"/>
      <c r="EQ231" s="20"/>
      <c r="ER231" s="20"/>
      <c r="ES231" s="20"/>
      <c r="ET231" s="20"/>
      <c r="EU231" s="20"/>
      <c r="EV231" s="20"/>
      <c r="EW231" s="20"/>
      <c r="EX231" s="20"/>
      <c r="EY231" s="20"/>
      <c r="EZ231" s="20"/>
      <c r="FA231" s="20"/>
      <c r="FB231" s="20"/>
      <c r="FC231" s="20"/>
      <c r="FD231" s="20"/>
      <c r="FE231" s="20"/>
      <c r="FF231" s="20"/>
      <c r="FG231" s="20"/>
      <c r="FH231" s="20"/>
      <c r="FI231" s="20"/>
      <c r="FJ231" s="20"/>
      <c r="FK231" s="20"/>
      <c r="FL231" s="20"/>
      <c r="FM231" s="20"/>
      <c r="FN231" s="20"/>
      <c r="FO231" s="20"/>
      <c r="FP231" s="20"/>
      <c r="FQ231" s="20"/>
      <c r="FR231" s="20"/>
      <c r="FS231" s="20"/>
      <c r="FT231" s="20"/>
      <c r="FU231" s="20"/>
      <c r="FV231" s="20"/>
      <c r="FW231" s="20"/>
      <c r="FX231" s="20"/>
      <c r="FY231" s="20"/>
      <c r="FZ231" s="20"/>
      <c r="GA231" s="20"/>
      <c r="GB231" s="20"/>
      <c r="GC231" s="20"/>
      <c r="GD231" s="20"/>
      <c r="GE231" s="20"/>
      <c r="GF231" s="20"/>
      <c r="GG231" s="20"/>
      <c r="GH231" s="20"/>
      <c r="GI231" s="20"/>
      <c r="GJ231" s="20"/>
      <c r="GK231" s="20"/>
      <c r="GL231" s="20"/>
      <c r="GM231" s="20"/>
      <c r="GN231" s="20"/>
      <c r="GO231" s="20"/>
      <c r="GP231" s="20"/>
      <c r="GQ231" s="20"/>
      <c r="GR231" s="20"/>
      <c r="GS231" s="20"/>
      <c r="GT231" s="20"/>
      <c r="GU231" s="20"/>
      <c r="GV231" s="20"/>
      <c r="GW231" s="20"/>
      <c r="GX231" s="20"/>
      <c r="GY231" s="20"/>
      <c r="GZ231" s="20"/>
      <c r="HA231" s="20"/>
      <c r="HB231" s="20"/>
      <c r="HC231" s="20"/>
      <c r="HD231" s="20"/>
      <c r="HE231" s="20"/>
      <c r="HF231" s="20"/>
      <c r="HG231" s="20"/>
      <c r="HH231" s="20"/>
      <c r="HI231" s="20"/>
      <c r="HJ231" s="20"/>
      <c r="HK231" s="20"/>
      <c r="HL231" s="20"/>
      <c r="HM231" s="20"/>
      <c r="HN231" s="20"/>
      <c r="HO231" s="20"/>
      <c r="HP231" s="20"/>
      <c r="HQ231" s="20"/>
      <c r="HR231" s="20"/>
      <c r="HS231" s="20"/>
      <c r="HT231" s="20"/>
      <c r="HU231" s="20"/>
      <c r="HV231" s="20"/>
      <c r="HW231" s="20"/>
      <c r="HX231" s="20"/>
      <c r="HY231" s="20"/>
      <c r="HZ231" s="20"/>
      <c r="IA231" s="20"/>
      <c r="IB231" s="20"/>
      <c r="IC231" s="20"/>
      <c r="ID231" s="20"/>
      <c r="IE231" s="20"/>
      <c r="IF231" s="20"/>
      <c r="IG231" s="20"/>
      <c r="IH231" s="20"/>
      <c r="II231" s="20"/>
      <c r="IJ231" s="20"/>
      <c r="IK231" s="20"/>
      <c r="IL231" s="20"/>
      <c r="IM231" s="20"/>
      <c r="IN231" s="20"/>
      <c r="IO231" s="20"/>
      <c r="IP231" s="20"/>
      <c r="IQ231" s="20"/>
      <c r="IR231" s="20"/>
      <c r="IS231" s="20"/>
      <c r="IT231" s="20"/>
      <c r="IU231" s="20"/>
      <c r="IV231" s="20"/>
      <c r="IW231" s="20"/>
      <c r="IX231" s="20"/>
      <c r="IY231" s="20"/>
      <c r="IZ231" s="20"/>
      <c r="JA231" s="20"/>
      <c r="JB231" s="20"/>
      <c r="JC231" s="20"/>
      <c r="JD231" s="20"/>
      <c r="JE231" s="20"/>
      <c r="JF231" s="20"/>
      <c r="JG231" s="20"/>
      <c r="JH231" s="20"/>
      <c r="JI231" s="20"/>
    </row>
    <row r="232" spans="1:269">
      <c r="A232" s="61" ph="1"/>
      <c r="B232" s="20" ph="1"/>
      <c r="C232" s="20" ph="1"/>
      <c r="D232" s="27" ph="1"/>
      <c r="E232" s="27" ph="1"/>
      <c r="F232" s="27" ph="1"/>
      <c r="G232" s="18" ph="1"/>
      <c r="H232" s="27" ph="1"/>
      <c r="I232" s="27" ph="1"/>
      <c r="J232" s="18" ph="1"/>
      <c r="K232" s="27" ph="1"/>
      <c r="L232" s="27" ph="1"/>
      <c r="M232" s="18" ph="1"/>
      <c r="N232" s="27" ph="1"/>
      <c r="O232" s="27" ph="1"/>
      <c r="P232" s="18" ph="1"/>
      <c r="Q232" s="27" ph="1"/>
      <c r="R232" s="18" ph="1"/>
      <c r="S232" s="18" ph="1"/>
      <c r="T232" s="18" ph="1"/>
      <c r="U232" s="18" ph="1"/>
      <c r="V232" s="18" ph="1"/>
      <c r="W232" s="105" ph="1"/>
      <c r="X232" s="105" ph="1"/>
      <c r="Y232" s="18" ph="1"/>
      <c r="Z232" s="105" ph="1"/>
      <c r="AA232" s="105" ph="1"/>
      <c r="AB232" s="18" ph="1"/>
      <c r="AC232" s="105" ph="1"/>
      <c r="AD232" s="105" ph="1"/>
      <c r="AE232" s="18" ph="1"/>
      <c r="AF232" s="105" ph="1"/>
      <c r="AG232" s="105" ph="1"/>
      <c r="AH232" s="105" ph="1"/>
      <c r="AI232" s="105" ph="1"/>
      <c r="AJ232" s="105" ph="1"/>
      <c r="AK232" s="105" ph="1"/>
      <c r="AL232" s="105" ph="1"/>
      <c r="AM232" s="18" ph="1"/>
      <c r="AN232" s="105" ph="1"/>
      <c r="AO232" s="105" ph="1"/>
      <c r="AP232" s="105" ph="1"/>
      <c r="AQ232" s="18" ph="1"/>
      <c r="AR232" s="105" ph="1"/>
      <c r="AS232" s="105" ph="1"/>
      <c r="AT232" s="105" ph="1"/>
      <c r="AU232" s="18" ph="1"/>
      <c r="AV232" s="105" ph="1"/>
      <c r="AW232" s="105" ph="1"/>
      <c r="AX232" s="18" ph="1"/>
      <c r="AY232" s="105" ph="1"/>
      <c r="AZ232" s="105" ph="1"/>
      <c r="BA232" s="105" ph="1"/>
      <c r="BB232" s="105" ph="1"/>
      <c r="BC232" s="18" ph="1"/>
      <c r="BD232" s="89"/>
      <c r="BE232" s="89"/>
      <c r="BF232" s="89"/>
      <c r="BG232" s="89"/>
      <c r="BH232" s="89"/>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c r="DU232" s="20"/>
      <c r="DV232" s="20"/>
      <c r="DW232" s="20"/>
      <c r="DX232" s="20"/>
      <c r="DY232" s="20"/>
      <c r="DZ232" s="20"/>
      <c r="EA232" s="20"/>
      <c r="EB232" s="20"/>
      <c r="EC232" s="20"/>
      <c r="ED232" s="20"/>
      <c r="EE232" s="20"/>
      <c r="EF232" s="20"/>
      <c r="EG232" s="20"/>
      <c r="EH232" s="20"/>
      <c r="EI232" s="20"/>
      <c r="EJ232" s="20"/>
      <c r="EK232" s="20"/>
      <c r="EL232" s="20"/>
      <c r="EM232" s="20"/>
      <c r="EN232" s="20"/>
      <c r="EO232" s="20"/>
      <c r="EP232" s="20"/>
      <c r="EQ232" s="20"/>
      <c r="ER232" s="20"/>
      <c r="ES232" s="20"/>
      <c r="ET232" s="20"/>
      <c r="EU232" s="20"/>
      <c r="EV232" s="20"/>
      <c r="EW232" s="20"/>
      <c r="EX232" s="20"/>
      <c r="EY232" s="20"/>
      <c r="EZ232" s="20"/>
      <c r="FA232" s="20"/>
      <c r="FB232" s="20"/>
      <c r="FC232" s="20"/>
      <c r="FD232" s="20"/>
      <c r="FE232" s="20"/>
      <c r="FF232" s="20"/>
      <c r="FG232" s="20"/>
      <c r="FH232" s="20"/>
      <c r="FI232" s="20"/>
      <c r="FJ232" s="20"/>
      <c r="FK232" s="20"/>
      <c r="FL232" s="20"/>
      <c r="FM232" s="20"/>
      <c r="FN232" s="20"/>
      <c r="FO232" s="20"/>
      <c r="FP232" s="20"/>
      <c r="FQ232" s="20"/>
      <c r="FR232" s="20"/>
      <c r="FS232" s="20"/>
      <c r="FT232" s="20"/>
      <c r="FU232" s="20"/>
      <c r="FV232" s="20"/>
      <c r="FW232" s="20"/>
      <c r="FX232" s="20"/>
      <c r="FY232" s="20"/>
      <c r="FZ232" s="20"/>
      <c r="GA232" s="20"/>
      <c r="GB232" s="20"/>
      <c r="GC232" s="20"/>
      <c r="GD232" s="20"/>
      <c r="GE232" s="20"/>
      <c r="GF232" s="20"/>
      <c r="GG232" s="20"/>
      <c r="GH232" s="20"/>
      <c r="GI232" s="20"/>
      <c r="GJ232" s="20"/>
      <c r="GK232" s="20"/>
      <c r="GL232" s="20"/>
      <c r="GM232" s="20"/>
      <c r="GN232" s="20"/>
      <c r="GO232" s="20"/>
      <c r="GP232" s="20"/>
      <c r="GQ232" s="20"/>
      <c r="GR232" s="20"/>
      <c r="GS232" s="20"/>
      <c r="GT232" s="20"/>
      <c r="GU232" s="20"/>
      <c r="GV232" s="20"/>
      <c r="GW232" s="20"/>
      <c r="GX232" s="20"/>
      <c r="GY232" s="20"/>
      <c r="GZ232" s="20"/>
      <c r="HA232" s="20"/>
      <c r="HB232" s="20"/>
      <c r="HC232" s="20"/>
      <c r="HD232" s="20"/>
      <c r="HE232" s="20"/>
      <c r="HF232" s="20"/>
      <c r="HG232" s="20"/>
      <c r="HH232" s="20"/>
      <c r="HI232" s="20"/>
      <c r="HJ232" s="20"/>
      <c r="HK232" s="20"/>
      <c r="HL232" s="20"/>
      <c r="HM232" s="20"/>
      <c r="HN232" s="20"/>
      <c r="HO232" s="20"/>
      <c r="HP232" s="20"/>
      <c r="HQ232" s="20"/>
      <c r="HR232" s="20"/>
      <c r="HS232" s="20"/>
      <c r="HT232" s="20"/>
      <c r="HU232" s="20"/>
      <c r="HV232" s="20"/>
      <c r="HW232" s="20"/>
      <c r="HX232" s="20"/>
      <c r="HY232" s="20"/>
      <c r="HZ232" s="20"/>
      <c r="IA232" s="20"/>
      <c r="IB232" s="20"/>
      <c r="IC232" s="20"/>
      <c r="ID232" s="20"/>
      <c r="IE232" s="20"/>
      <c r="IF232" s="20"/>
      <c r="IG232" s="20"/>
      <c r="IH232" s="20"/>
      <c r="II232" s="20"/>
      <c r="IJ232" s="20"/>
      <c r="IK232" s="20"/>
      <c r="IL232" s="20"/>
      <c r="IM232" s="20"/>
      <c r="IN232" s="20"/>
      <c r="IO232" s="20"/>
      <c r="IP232" s="20"/>
      <c r="IQ232" s="20"/>
      <c r="IR232" s="20"/>
      <c r="IS232" s="20"/>
      <c r="IT232" s="20"/>
      <c r="IU232" s="20"/>
      <c r="IV232" s="20"/>
      <c r="IW232" s="20"/>
      <c r="IX232" s="20"/>
      <c r="IY232" s="20"/>
      <c r="IZ232" s="20"/>
      <c r="JA232" s="20"/>
      <c r="JB232" s="20"/>
      <c r="JC232" s="20"/>
      <c r="JD232" s="20"/>
      <c r="JE232" s="20"/>
      <c r="JF232" s="20"/>
      <c r="JG232" s="20"/>
      <c r="JH232" s="20"/>
      <c r="JI232" s="20"/>
    </row>
    <row r="233" spans="1:269">
      <c r="A233" s="61" ph="1"/>
      <c r="B233" s="20" ph="1"/>
      <c r="C233" s="20" ph="1"/>
      <c r="D233" s="27" ph="1"/>
      <c r="E233" s="27" ph="1"/>
      <c r="F233" s="27" ph="1"/>
      <c r="G233" s="18" ph="1"/>
      <c r="H233" s="27" ph="1"/>
      <c r="I233" s="27" ph="1"/>
      <c r="J233" s="18" ph="1"/>
      <c r="K233" s="27" ph="1"/>
      <c r="L233" s="27" ph="1"/>
      <c r="M233" s="18" ph="1"/>
      <c r="N233" s="27" ph="1"/>
      <c r="O233" s="27" ph="1"/>
      <c r="P233" s="18" ph="1"/>
      <c r="Q233" s="27" ph="1"/>
      <c r="R233" s="18" ph="1"/>
      <c r="S233" s="18" ph="1"/>
      <c r="T233" s="18" ph="1"/>
      <c r="U233" s="18" ph="1"/>
      <c r="V233" s="18" ph="1"/>
      <c r="W233" s="105" ph="1"/>
      <c r="X233" s="105" ph="1"/>
      <c r="Y233" s="18" ph="1"/>
      <c r="Z233" s="105" ph="1"/>
      <c r="AA233" s="105" ph="1"/>
      <c r="AB233" s="18" ph="1"/>
      <c r="AC233" s="105" ph="1"/>
      <c r="AD233" s="105" ph="1"/>
      <c r="AE233" s="18" ph="1"/>
      <c r="AF233" s="105" ph="1"/>
      <c r="AG233" s="105" ph="1"/>
      <c r="AH233" s="105" ph="1"/>
      <c r="AI233" s="105" ph="1"/>
      <c r="AJ233" s="105" ph="1"/>
      <c r="AK233" s="105" ph="1"/>
      <c r="AL233" s="105" ph="1"/>
      <c r="AM233" s="18" ph="1"/>
      <c r="AN233" s="105" ph="1"/>
      <c r="AO233" s="105" ph="1"/>
      <c r="AP233" s="105" ph="1"/>
      <c r="AQ233" s="18" ph="1"/>
      <c r="AR233" s="105" ph="1"/>
      <c r="AS233" s="105" ph="1"/>
      <c r="AT233" s="105" ph="1"/>
      <c r="AU233" s="18" ph="1"/>
      <c r="AV233" s="105" ph="1"/>
      <c r="AW233" s="105" ph="1"/>
      <c r="AX233" s="18" ph="1"/>
      <c r="AY233" s="105" ph="1"/>
      <c r="AZ233" s="105" ph="1"/>
      <c r="BA233" s="105" ph="1"/>
      <c r="BB233" s="105" ph="1"/>
      <c r="BC233" s="18" ph="1"/>
      <c r="BD233" s="89"/>
      <c r="BE233" s="89"/>
      <c r="BF233" s="89"/>
      <c r="BG233" s="89"/>
      <c r="BH233" s="89"/>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c r="DU233" s="20"/>
      <c r="DV233" s="20"/>
      <c r="DW233" s="20"/>
      <c r="DX233" s="20"/>
      <c r="DY233" s="20"/>
      <c r="DZ233" s="20"/>
      <c r="EA233" s="20"/>
      <c r="EB233" s="20"/>
      <c r="EC233" s="20"/>
      <c r="ED233" s="20"/>
      <c r="EE233" s="20"/>
      <c r="EF233" s="20"/>
      <c r="EG233" s="20"/>
      <c r="EH233" s="20"/>
      <c r="EI233" s="20"/>
      <c r="EJ233" s="20"/>
      <c r="EK233" s="20"/>
      <c r="EL233" s="20"/>
      <c r="EM233" s="20"/>
      <c r="EN233" s="20"/>
      <c r="EO233" s="20"/>
      <c r="EP233" s="20"/>
      <c r="EQ233" s="20"/>
      <c r="ER233" s="20"/>
      <c r="ES233" s="20"/>
      <c r="ET233" s="20"/>
      <c r="EU233" s="20"/>
      <c r="EV233" s="20"/>
      <c r="EW233" s="20"/>
      <c r="EX233" s="20"/>
      <c r="EY233" s="20"/>
      <c r="EZ233" s="20"/>
      <c r="FA233" s="20"/>
      <c r="FB233" s="20"/>
      <c r="FC233" s="20"/>
      <c r="FD233" s="20"/>
      <c r="FE233" s="20"/>
      <c r="FF233" s="20"/>
      <c r="FG233" s="20"/>
      <c r="FH233" s="20"/>
      <c r="FI233" s="20"/>
      <c r="FJ233" s="20"/>
      <c r="FK233" s="20"/>
      <c r="FL233" s="20"/>
      <c r="FM233" s="20"/>
      <c r="FN233" s="20"/>
      <c r="FO233" s="20"/>
      <c r="FP233" s="20"/>
      <c r="FQ233" s="20"/>
      <c r="FR233" s="20"/>
      <c r="FS233" s="20"/>
      <c r="FT233" s="20"/>
      <c r="FU233" s="20"/>
      <c r="FV233" s="20"/>
      <c r="FW233" s="20"/>
      <c r="FX233" s="20"/>
      <c r="FY233" s="20"/>
      <c r="FZ233" s="20"/>
      <c r="GA233" s="20"/>
      <c r="GB233" s="20"/>
      <c r="GC233" s="20"/>
      <c r="GD233" s="20"/>
      <c r="GE233" s="20"/>
      <c r="GF233" s="20"/>
      <c r="GG233" s="20"/>
      <c r="GH233" s="20"/>
      <c r="GI233" s="20"/>
      <c r="GJ233" s="20"/>
      <c r="GK233" s="20"/>
      <c r="GL233" s="20"/>
      <c r="GM233" s="20"/>
      <c r="GN233" s="20"/>
      <c r="GO233" s="20"/>
      <c r="GP233" s="20"/>
      <c r="GQ233" s="20"/>
      <c r="GR233" s="20"/>
      <c r="GS233" s="20"/>
      <c r="GT233" s="20"/>
      <c r="GU233" s="20"/>
      <c r="GV233" s="20"/>
      <c r="GW233" s="20"/>
      <c r="GX233" s="20"/>
      <c r="GY233" s="20"/>
      <c r="GZ233" s="20"/>
      <c r="HA233" s="20"/>
      <c r="HB233" s="20"/>
      <c r="HC233" s="20"/>
      <c r="HD233" s="20"/>
      <c r="HE233" s="20"/>
      <c r="HF233" s="20"/>
      <c r="HG233" s="20"/>
      <c r="HH233" s="20"/>
      <c r="HI233" s="20"/>
      <c r="HJ233" s="20"/>
      <c r="HK233" s="20"/>
      <c r="HL233" s="20"/>
      <c r="HM233" s="20"/>
      <c r="HN233" s="20"/>
      <c r="HO233" s="20"/>
      <c r="HP233" s="20"/>
      <c r="HQ233" s="20"/>
      <c r="HR233" s="20"/>
      <c r="HS233" s="20"/>
      <c r="HT233" s="20"/>
      <c r="HU233" s="20"/>
      <c r="HV233" s="20"/>
      <c r="HW233" s="20"/>
      <c r="HX233" s="20"/>
      <c r="HY233" s="20"/>
      <c r="HZ233" s="20"/>
      <c r="IA233" s="20"/>
      <c r="IB233" s="20"/>
      <c r="IC233" s="20"/>
      <c r="ID233" s="20"/>
      <c r="IE233" s="20"/>
      <c r="IF233" s="20"/>
      <c r="IG233" s="20"/>
      <c r="IH233" s="20"/>
      <c r="II233" s="20"/>
      <c r="IJ233" s="20"/>
      <c r="IK233" s="20"/>
      <c r="IL233" s="20"/>
      <c r="IM233" s="20"/>
      <c r="IN233" s="20"/>
      <c r="IO233" s="20"/>
      <c r="IP233" s="20"/>
      <c r="IQ233" s="20"/>
      <c r="IR233" s="20"/>
      <c r="IS233" s="20"/>
      <c r="IT233" s="20"/>
      <c r="IU233" s="20"/>
      <c r="IV233" s="20"/>
      <c r="IW233" s="20"/>
      <c r="IX233" s="20"/>
      <c r="IY233" s="20"/>
      <c r="IZ233" s="20"/>
      <c r="JA233" s="20"/>
      <c r="JB233" s="20"/>
      <c r="JC233" s="20"/>
      <c r="JD233" s="20"/>
      <c r="JE233" s="20"/>
      <c r="JF233" s="20"/>
      <c r="JG233" s="20"/>
      <c r="JH233" s="20"/>
      <c r="JI233" s="20"/>
    </row>
    <row r="234" spans="1:269">
      <c r="A234" s="61"/>
      <c r="B234" s="20"/>
      <c r="C234" s="20"/>
      <c r="D234" s="27"/>
      <c r="E234" s="27"/>
      <c r="F234" s="27"/>
      <c r="G234" s="18"/>
      <c r="H234" s="27"/>
      <c r="I234" s="27"/>
      <c r="J234" s="18"/>
      <c r="K234" s="27"/>
      <c r="L234" s="27"/>
      <c r="M234" s="18"/>
      <c r="N234" s="27"/>
      <c r="O234" s="27"/>
      <c r="P234" s="18"/>
      <c r="Q234" s="27"/>
      <c r="R234" s="18"/>
      <c r="S234" s="18"/>
      <c r="T234" s="18"/>
      <c r="U234" s="18"/>
      <c r="V234" s="18"/>
      <c r="W234" s="105"/>
      <c r="X234" s="105"/>
      <c r="Y234" s="18"/>
      <c r="Z234" s="105"/>
      <c r="AA234" s="105"/>
      <c r="AB234" s="18"/>
      <c r="AC234" s="105"/>
      <c r="AD234" s="105"/>
      <c r="AE234" s="18"/>
      <c r="AF234" s="105"/>
      <c r="AG234" s="105"/>
      <c r="AH234" s="105"/>
      <c r="AI234" s="105"/>
      <c r="AJ234" s="105"/>
      <c r="AK234" s="105"/>
      <c r="AL234" s="105"/>
      <c r="AM234" s="18"/>
      <c r="AN234" s="105"/>
      <c r="AO234" s="105"/>
      <c r="AP234" s="105"/>
      <c r="AQ234" s="18"/>
      <c r="AR234" s="105"/>
      <c r="AS234" s="105"/>
      <c r="AT234" s="105"/>
      <c r="AU234" s="18"/>
      <c r="AV234" s="105"/>
      <c r="AW234" s="105"/>
      <c r="AX234" s="18"/>
      <c r="AY234" s="105"/>
      <c r="AZ234" s="105"/>
      <c r="BA234" s="105"/>
      <c r="BB234" s="105"/>
      <c r="BC234" s="18"/>
      <c r="BD234" s="89"/>
      <c r="BE234" s="89"/>
      <c r="BF234" s="89"/>
      <c r="BG234" s="89"/>
      <c r="BH234" s="89"/>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c r="DU234" s="20"/>
      <c r="DV234" s="20"/>
      <c r="DW234" s="20"/>
      <c r="DX234" s="20"/>
      <c r="DY234" s="20"/>
      <c r="DZ234" s="20"/>
      <c r="EA234" s="20"/>
      <c r="EB234" s="20"/>
      <c r="EC234" s="20"/>
      <c r="ED234" s="20"/>
      <c r="EE234" s="20"/>
      <c r="EF234" s="20"/>
      <c r="EG234" s="20"/>
      <c r="EH234" s="20"/>
      <c r="EI234" s="20"/>
      <c r="EJ234" s="20"/>
      <c r="EK234" s="20"/>
      <c r="EL234" s="20"/>
      <c r="EM234" s="20"/>
      <c r="EN234" s="20"/>
      <c r="EO234" s="20"/>
      <c r="EP234" s="20"/>
      <c r="EQ234" s="20"/>
      <c r="ER234" s="20"/>
      <c r="ES234" s="20"/>
      <c r="ET234" s="20"/>
      <c r="EU234" s="20"/>
      <c r="EV234" s="20"/>
      <c r="EW234" s="20"/>
      <c r="EX234" s="20"/>
      <c r="EY234" s="20"/>
      <c r="EZ234" s="20"/>
      <c r="FA234" s="20"/>
      <c r="FB234" s="20"/>
      <c r="FC234" s="20"/>
      <c r="FD234" s="20"/>
      <c r="FE234" s="20"/>
      <c r="FF234" s="20"/>
      <c r="FG234" s="20"/>
      <c r="FH234" s="20"/>
      <c r="FI234" s="20"/>
      <c r="FJ234" s="20"/>
      <c r="FK234" s="20"/>
      <c r="FL234" s="20"/>
      <c r="FM234" s="20"/>
      <c r="FN234" s="20"/>
      <c r="FO234" s="20"/>
      <c r="FP234" s="20"/>
      <c r="FQ234" s="20"/>
      <c r="FR234" s="20"/>
      <c r="FS234" s="20"/>
      <c r="FT234" s="20"/>
      <c r="FU234" s="20"/>
      <c r="FV234" s="20"/>
      <c r="FW234" s="20"/>
      <c r="FX234" s="20"/>
      <c r="FY234" s="20"/>
      <c r="FZ234" s="20"/>
      <c r="GA234" s="20"/>
      <c r="GB234" s="20"/>
      <c r="GC234" s="20"/>
      <c r="GD234" s="20"/>
      <c r="GE234" s="20"/>
      <c r="GF234" s="20"/>
      <c r="GG234" s="20"/>
      <c r="GH234" s="20"/>
      <c r="GI234" s="20"/>
      <c r="GJ234" s="20"/>
      <c r="GK234" s="20"/>
      <c r="GL234" s="20"/>
      <c r="GM234" s="20"/>
      <c r="GN234" s="20"/>
      <c r="GO234" s="20"/>
      <c r="GP234" s="20"/>
      <c r="GQ234" s="20"/>
      <c r="GR234" s="20"/>
      <c r="GS234" s="20"/>
      <c r="GT234" s="20"/>
      <c r="GU234" s="20"/>
      <c r="GV234" s="20"/>
      <c r="GW234" s="20"/>
      <c r="GX234" s="20"/>
      <c r="GY234" s="20"/>
      <c r="GZ234" s="20"/>
      <c r="HA234" s="20"/>
      <c r="HB234" s="20"/>
      <c r="HC234" s="20"/>
      <c r="HD234" s="20"/>
      <c r="HE234" s="20"/>
      <c r="HF234" s="20"/>
      <c r="HG234" s="20"/>
      <c r="HH234" s="20"/>
      <c r="HI234" s="20"/>
      <c r="HJ234" s="20"/>
      <c r="HK234" s="20"/>
      <c r="HL234" s="20"/>
      <c r="HM234" s="20"/>
      <c r="HN234" s="20"/>
      <c r="HO234" s="20"/>
      <c r="HP234" s="20"/>
      <c r="HQ234" s="20"/>
      <c r="HR234" s="20"/>
      <c r="HS234" s="20"/>
      <c r="HT234" s="20"/>
      <c r="HU234" s="20"/>
      <c r="HV234" s="20"/>
      <c r="HW234" s="20"/>
      <c r="HX234" s="20"/>
      <c r="HY234" s="20"/>
      <c r="HZ234" s="20"/>
      <c r="IA234" s="20"/>
      <c r="IB234" s="20"/>
      <c r="IC234" s="20"/>
      <c r="ID234" s="20"/>
      <c r="IE234" s="20"/>
      <c r="IF234" s="20"/>
      <c r="IG234" s="20"/>
      <c r="IH234" s="20"/>
      <c r="II234" s="20"/>
      <c r="IJ234" s="20"/>
      <c r="IK234" s="20"/>
      <c r="IL234" s="20"/>
      <c r="IM234" s="20"/>
      <c r="IN234" s="20"/>
      <c r="IO234" s="20"/>
      <c r="IP234" s="20"/>
      <c r="IQ234" s="20"/>
      <c r="IR234" s="20"/>
      <c r="IS234" s="20"/>
      <c r="IT234" s="20"/>
      <c r="IU234" s="20"/>
      <c r="IV234" s="20"/>
      <c r="IW234" s="20"/>
      <c r="IX234" s="20"/>
      <c r="IY234" s="20"/>
      <c r="IZ234" s="20"/>
      <c r="JA234" s="20"/>
      <c r="JB234" s="20"/>
      <c r="JC234" s="20"/>
      <c r="JD234" s="20"/>
      <c r="JE234" s="20"/>
      <c r="JF234" s="20"/>
      <c r="JG234" s="20"/>
      <c r="JH234" s="20"/>
      <c r="JI234" s="20"/>
    </row>
    <row r="235" spans="1:269">
      <c r="A235" s="61" ph="1"/>
      <c r="B235" s="20" ph="1"/>
      <c r="C235" s="20" ph="1"/>
      <c r="D235" s="27" ph="1"/>
      <c r="E235" s="27" ph="1"/>
      <c r="F235" s="27" ph="1"/>
      <c r="G235" s="18" ph="1"/>
      <c r="H235" s="27" ph="1"/>
      <c r="I235" s="27" ph="1"/>
      <c r="J235" s="18" ph="1"/>
      <c r="K235" s="27" ph="1"/>
      <c r="L235" s="27" ph="1"/>
      <c r="M235" s="18" ph="1"/>
      <c r="N235" s="27" ph="1"/>
      <c r="O235" s="27" ph="1"/>
      <c r="P235" s="18" ph="1"/>
      <c r="Q235" s="27" ph="1"/>
      <c r="R235" s="18" ph="1"/>
      <c r="S235" s="18" ph="1"/>
      <c r="T235" s="18" ph="1"/>
      <c r="U235" s="18" ph="1"/>
      <c r="V235" s="18" ph="1"/>
      <c r="W235" s="105" ph="1"/>
      <c r="X235" s="105" ph="1"/>
      <c r="Y235" s="18" ph="1"/>
      <c r="Z235" s="105" ph="1"/>
      <c r="AA235" s="105" ph="1"/>
      <c r="AB235" s="18" ph="1"/>
      <c r="AC235" s="105" ph="1"/>
      <c r="AD235" s="105" ph="1"/>
      <c r="AE235" s="18" ph="1"/>
      <c r="AF235" s="105" ph="1"/>
      <c r="AG235" s="105" ph="1"/>
      <c r="AH235" s="105" ph="1"/>
      <c r="AI235" s="105" ph="1"/>
      <c r="AJ235" s="105" ph="1"/>
      <c r="AK235" s="105" ph="1"/>
      <c r="AL235" s="105" ph="1"/>
      <c r="AM235" s="18" ph="1"/>
      <c r="AN235" s="105" ph="1"/>
      <c r="AO235" s="105" ph="1"/>
      <c r="AP235" s="105" ph="1"/>
      <c r="AQ235" s="18" ph="1"/>
      <c r="AR235" s="105" ph="1"/>
      <c r="AS235" s="105" ph="1"/>
      <c r="AT235" s="105" ph="1"/>
      <c r="AU235" s="18" ph="1"/>
      <c r="AV235" s="105" ph="1"/>
      <c r="AW235" s="105" ph="1"/>
      <c r="AX235" s="18" ph="1"/>
      <c r="AY235" s="105" ph="1"/>
      <c r="AZ235" s="105" ph="1"/>
      <c r="BA235" s="105" ph="1"/>
      <c r="BB235" s="105" ph="1"/>
      <c r="BC235" s="18" ph="1"/>
      <c r="BD235" s="89"/>
      <c r="BE235" s="89"/>
      <c r="BF235" s="89"/>
      <c r="BG235" s="89"/>
      <c r="BH235" s="89"/>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c r="DU235" s="20"/>
      <c r="DV235" s="20"/>
      <c r="DW235" s="20"/>
      <c r="DX235" s="20"/>
      <c r="DY235" s="20"/>
      <c r="DZ235" s="20"/>
      <c r="EA235" s="20"/>
      <c r="EB235" s="20"/>
      <c r="EC235" s="20"/>
      <c r="ED235" s="20"/>
      <c r="EE235" s="20"/>
      <c r="EF235" s="20"/>
      <c r="EG235" s="20"/>
      <c r="EH235" s="20"/>
      <c r="EI235" s="20"/>
      <c r="EJ235" s="20"/>
      <c r="EK235" s="20"/>
      <c r="EL235" s="20"/>
      <c r="EM235" s="20"/>
      <c r="EN235" s="20"/>
      <c r="EO235" s="20"/>
      <c r="EP235" s="20"/>
      <c r="EQ235" s="20"/>
      <c r="ER235" s="20"/>
      <c r="ES235" s="20"/>
      <c r="ET235" s="20"/>
      <c r="EU235" s="20"/>
      <c r="EV235" s="20"/>
      <c r="EW235" s="20"/>
      <c r="EX235" s="20"/>
      <c r="EY235" s="20"/>
      <c r="EZ235" s="20"/>
      <c r="FA235" s="20"/>
      <c r="FB235" s="20"/>
      <c r="FC235" s="20"/>
      <c r="FD235" s="20"/>
      <c r="FE235" s="20"/>
      <c r="FF235" s="20"/>
      <c r="FG235" s="20"/>
      <c r="FH235" s="20"/>
      <c r="FI235" s="20"/>
      <c r="FJ235" s="20"/>
      <c r="FK235" s="20"/>
      <c r="FL235" s="20"/>
      <c r="FM235" s="20"/>
      <c r="FN235" s="20"/>
      <c r="FO235" s="20"/>
      <c r="FP235" s="20"/>
      <c r="FQ235" s="20"/>
      <c r="FR235" s="20"/>
      <c r="FS235" s="20"/>
      <c r="FT235" s="20"/>
      <c r="FU235" s="20"/>
      <c r="FV235" s="20"/>
      <c r="FW235" s="20"/>
      <c r="FX235" s="20"/>
      <c r="FY235" s="20"/>
      <c r="FZ235" s="20"/>
      <c r="GA235" s="20"/>
      <c r="GB235" s="20"/>
      <c r="GC235" s="20"/>
      <c r="GD235" s="20"/>
      <c r="GE235" s="20"/>
      <c r="GF235" s="20"/>
      <c r="GG235" s="20"/>
      <c r="GH235" s="20"/>
      <c r="GI235" s="20"/>
      <c r="GJ235" s="20"/>
      <c r="GK235" s="20"/>
      <c r="GL235" s="20"/>
      <c r="GM235" s="20"/>
      <c r="GN235" s="20"/>
      <c r="GO235" s="20"/>
      <c r="GP235" s="20"/>
      <c r="GQ235" s="20"/>
      <c r="GR235" s="20"/>
      <c r="GS235" s="20"/>
      <c r="GT235" s="20"/>
      <c r="GU235" s="20"/>
      <c r="GV235" s="20"/>
      <c r="GW235" s="20"/>
      <c r="GX235" s="20"/>
      <c r="GY235" s="20"/>
      <c r="GZ235" s="20"/>
      <c r="HA235" s="20"/>
      <c r="HB235" s="20"/>
      <c r="HC235" s="20"/>
      <c r="HD235" s="20"/>
      <c r="HE235" s="20"/>
      <c r="HF235" s="20"/>
      <c r="HG235" s="20"/>
      <c r="HH235" s="20"/>
      <c r="HI235" s="20"/>
      <c r="HJ235" s="20"/>
      <c r="HK235" s="20"/>
      <c r="HL235" s="20"/>
      <c r="HM235" s="20"/>
      <c r="HN235" s="20"/>
      <c r="HO235" s="20"/>
      <c r="HP235" s="20"/>
      <c r="HQ235" s="20"/>
      <c r="HR235" s="20"/>
      <c r="HS235" s="20"/>
      <c r="HT235" s="20"/>
      <c r="HU235" s="20"/>
      <c r="HV235" s="20"/>
      <c r="HW235" s="20"/>
      <c r="HX235" s="20"/>
      <c r="HY235" s="20"/>
      <c r="HZ235" s="20"/>
      <c r="IA235" s="20"/>
      <c r="IB235" s="20"/>
      <c r="IC235" s="20"/>
      <c r="ID235" s="20"/>
      <c r="IE235" s="20"/>
      <c r="IF235" s="20"/>
      <c r="IG235" s="20"/>
      <c r="IH235" s="20"/>
      <c r="II235" s="20"/>
      <c r="IJ235" s="20"/>
      <c r="IK235" s="20"/>
      <c r="IL235" s="20"/>
      <c r="IM235" s="20"/>
      <c r="IN235" s="20"/>
      <c r="IO235" s="20"/>
      <c r="IP235" s="20"/>
      <c r="IQ235" s="20"/>
      <c r="IR235" s="20"/>
      <c r="IS235" s="20"/>
      <c r="IT235" s="20"/>
      <c r="IU235" s="20"/>
      <c r="IV235" s="20"/>
      <c r="IW235" s="20"/>
      <c r="IX235" s="20"/>
      <c r="IY235" s="20"/>
      <c r="IZ235" s="20"/>
      <c r="JA235" s="20"/>
      <c r="JB235" s="20"/>
      <c r="JC235" s="20"/>
      <c r="JD235" s="20"/>
      <c r="JE235" s="20"/>
      <c r="JF235" s="20"/>
      <c r="JG235" s="20"/>
      <c r="JH235" s="20"/>
      <c r="JI235" s="20"/>
    </row>
    <row r="236" spans="1:269">
      <c r="A236" s="61" ph="1"/>
      <c r="B236" s="20" ph="1"/>
      <c r="C236" s="20" ph="1"/>
      <c r="D236" s="27" ph="1"/>
      <c r="E236" s="27" ph="1"/>
      <c r="F236" s="27" ph="1"/>
      <c r="G236" s="18" ph="1"/>
      <c r="H236" s="27" ph="1"/>
      <c r="I236" s="27" ph="1"/>
      <c r="J236" s="18" ph="1"/>
      <c r="K236" s="27" ph="1"/>
      <c r="L236" s="27" ph="1"/>
      <c r="M236" s="18" ph="1"/>
      <c r="N236" s="27" ph="1"/>
      <c r="O236" s="27" ph="1"/>
      <c r="P236" s="18" ph="1"/>
      <c r="Q236" s="27" ph="1"/>
      <c r="R236" s="18" ph="1"/>
      <c r="S236" s="18" ph="1"/>
      <c r="T236" s="18" ph="1"/>
      <c r="U236" s="18" ph="1"/>
      <c r="V236" s="18" ph="1"/>
      <c r="W236" s="105" ph="1"/>
      <c r="X236" s="105" ph="1"/>
      <c r="Y236" s="18" ph="1"/>
      <c r="Z236" s="105" ph="1"/>
      <c r="AA236" s="105" ph="1"/>
      <c r="AB236" s="18" ph="1"/>
      <c r="AC236" s="105" ph="1"/>
      <c r="AD236" s="105" ph="1"/>
      <c r="AE236" s="18" ph="1"/>
      <c r="AF236" s="105" ph="1"/>
      <c r="AG236" s="105" ph="1"/>
      <c r="AH236" s="105" ph="1"/>
      <c r="AI236" s="105" ph="1"/>
      <c r="AJ236" s="105" ph="1"/>
      <c r="AK236" s="105" ph="1"/>
      <c r="AL236" s="105" ph="1"/>
      <c r="AM236" s="18" ph="1"/>
      <c r="AN236" s="105" ph="1"/>
      <c r="AO236" s="105" ph="1"/>
      <c r="AP236" s="105" ph="1"/>
      <c r="AQ236" s="18" ph="1"/>
      <c r="AR236" s="105" ph="1"/>
      <c r="AS236" s="105" ph="1"/>
      <c r="AT236" s="105" ph="1"/>
      <c r="AU236" s="18" ph="1"/>
      <c r="AV236" s="105" ph="1"/>
      <c r="AW236" s="105" ph="1"/>
      <c r="AX236" s="18" ph="1"/>
      <c r="AY236" s="105" ph="1"/>
      <c r="AZ236" s="105" ph="1"/>
      <c r="BA236" s="105" ph="1"/>
      <c r="BB236" s="105" ph="1"/>
      <c r="BC236" s="18" ph="1"/>
      <c r="BD236" s="89"/>
      <c r="BE236" s="89"/>
      <c r="BF236" s="89"/>
      <c r="BG236" s="89"/>
      <c r="BH236" s="89"/>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c r="DU236" s="20"/>
      <c r="DV236" s="20"/>
      <c r="DW236" s="20"/>
      <c r="DX236" s="20"/>
      <c r="DY236" s="20"/>
      <c r="DZ236" s="20"/>
      <c r="EA236" s="20"/>
      <c r="EB236" s="20"/>
      <c r="EC236" s="20"/>
      <c r="ED236" s="20"/>
      <c r="EE236" s="20"/>
      <c r="EF236" s="20"/>
      <c r="EG236" s="20"/>
      <c r="EH236" s="20"/>
      <c r="EI236" s="20"/>
      <c r="EJ236" s="20"/>
      <c r="EK236" s="20"/>
      <c r="EL236" s="20"/>
      <c r="EM236" s="20"/>
      <c r="EN236" s="20"/>
      <c r="EO236" s="20"/>
      <c r="EP236" s="20"/>
      <c r="EQ236" s="20"/>
      <c r="ER236" s="20"/>
      <c r="ES236" s="20"/>
      <c r="ET236" s="20"/>
      <c r="EU236" s="20"/>
      <c r="EV236" s="20"/>
      <c r="EW236" s="20"/>
      <c r="EX236" s="20"/>
      <c r="EY236" s="20"/>
      <c r="EZ236" s="20"/>
      <c r="FA236" s="20"/>
      <c r="FB236" s="20"/>
      <c r="FC236" s="20"/>
      <c r="FD236" s="20"/>
      <c r="FE236" s="20"/>
      <c r="FF236" s="20"/>
      <c r="FG236" s="20"/>
      <c r="FH236" s="20"/>
      <c r="FI236" s="20"/>
      <c r="FJ236" s="20"/>
      <c r="FK236" s="20"/>
      <c r="FL236" s="20"/>
      <c r="FM236" s="20"/>
      <c r="FN236" s="20"/>
      <c r="FO236" s="20"/>
      <c r="FP236" s="20"/>
      <c r="FQ236" s="20"/>
      <c r="FR236" s="20"/>
      <c r="FS236" s="20"/>
      <c r="FT236" s="20"/>
      <c r="FU236" s="20"/>
      <c r="FV236" s="20"/>
      <c r="FW236" s="20"/>
      <c r="FX236" s="20"/>
      <c r="FY236" s="20"/>
      <c r="FZ236" s="20"/>
      <c r="GA236" s="20"/>
      <c r="GB236" s="20"/>
      <c r="GC236" s="20"/>
      <c r="GD236" s="20"/>
      <c r="GE236" s="20"/>
      <c r="GF236" s="20"/>
      <c r="GG236" s="20"/>
      <c r="GH236" s="20"/>
      <c r="GI236" s="20"/>
      <c r="GJ236" s="20"/>
      <c r="GK236" s="20"/>
      <c r="GL236" s="20"/>
      <c r="GM236" s="20"/>
      <c r="GN236" s="20"/>
      <c r="GO236" s="20"/>
      <c r="GP236" s="20"/>
      <c r="GQ236" s="20"/>
      <c r="GR236" s="20"/>
      <c r="GS236" s="20"/>
      <c r="GT236" s="20"/>
      <c r="GU236" s="20"/>
      <c r="GV236" s="20"/>
      <c r="GW236" s="20"/>
      <c r="GX236" s="20"/>
      <c r="GY236" s="20"/>
      <c r="GZ236" s="20"/>
      <c r="HA236" s="20"/>
      <c r="HB236" s="20"/>
      <c r="HC236" s="20"/>
      <c r="HD236" s="20"/>
      <c r="HE236" s="20"/>
      <c r="HF236" s="20"/>
      <c r="HG236" s="20"/>
      <c r="HH236" s="20"/>
      <c r="HI236" s="20"/>
      <c r="HJ236" s="20"/>
      <c r="HK236" s="20"/>
      <c r="HL236" s="20"/>
      <c r="HM236" s="20"/>
      <c r="HN236" s="20"/>
      <c r="HO236" s="20"/>
      <c r="HP236" s="20"/>
      <c r="HQ236" s="20"/>
      <c r="HR236" s="20"/>
      <c r="HS236" s="20"/>
      <c r="HT236" s="20"/>
      <c r="HU236" s="20"/>
      <c r="HV236" s="20"/>
      <c r="HW236" s="20"/>
      <c r="HX236" s="20"/>
      <c r="HY236" s="20"/>
      <c r="HZ236" s="20"/>
      <c r="IA236" s="20"/>
      <c r="IB236" s="20"/>
      <c r="IC236" s="20"/>
      <c r="ID236" s="20"/>
      <c r="IE236" s="20"/>
      <c r="IF236" s="20"/>
      <c r="IG236" s="20"/>
      <c r="IH236" s="20"/>
      <c r="II236" s="20"/>
      <c r="IJ236" s="20"/>
      <c r="IK236" s="20"/>
      <c r="IL236" s="20"/>
      <c r="IM236" s="20"/>
      <c r="IN236" s="20"/>
      <c r="IO236" s="20"/>
      <c r="IP236" s="20"/>
      <c r="IQ236" s="20"/>
      <c r="IR236" s="20"/>
      <c r="IS236" s="20"/>
      <c r="IT236" s="20"/>
      <c r="IU236" s="20"/>
      <c r="IV236" s="20"/>
      <c r="IW236" s="20"/>
      <c r="IX236" s="20"/>
      <c r="IY236" s="20"/>
      <c r="IZ236" s="20"/>
      <c r="JA236" s="20"/>
      <c r="JB236" s="20"/>
      <c r="JC236" s="20"/>
      <c r="JD236" s="20"/>
      <c r="JE236" s="20"/>
      <c r="JF236" s="20"/>
      <c r="JG236" s="20"/>
      <c r="JH236" s="20"/>
      <c r="JI236" s="20"/>
    </row>
    <row r="237" spans="1:269">
      <c r="A237" s="61" ph="1"/>
      <c r="B237" s="20" ph="1"/>
      <c r="C237" s="20" ph="1"/>
      <c r="D237" s="27" ph="1"/>
      <c r="E237" s="27" ph="1"/>
      <c r="F237" s="27" ph="1"/>
      <c r="G237" s="18" ph="1"/>
      <c r="H237" s="27" ph="1"/>
      <c r="I237" s="27" ph="1"/>
      <c r="J237" s="18" ph="1"/>
      <c r="K237" s="27" ph="1"/>
      <c r="L237" s="27" ph="1"/>
      <c r="M237" s="18" ph="1"/>
      <c r="N237" s="27" ph="1"/>
      <c r="O237" s="27" ph="1"/>
      <c r="P237" s="18" ph="1"/>
      <c r="Q237" s="27" ph="1"/>
      <c r="R237" s="18" ph="1"/>
      <c r="S237" s="18" ph="1"/>
      <c r="T237" s="18" ph="1"/>
      <c r="U237" s="18" ph="1"/>
      <c r="V237" s="18" ph="1"/>
      <c r="W237" s="105" ph="1"/>
      <c r="X237" s="105" ph="1"/>
      <c r="Y237" s="18" ph="1"/>
      <c r="Z237" s="105" ph="1"/>
      <c r="AA237" s="105" ph="1"/>
      <c r="AB237" s="18" ph="1"/>
      <c r="AC237" s="105" ph="1"/>
      <c r="AD237" s="105" ph="1"/>
      <c r="AE237" s="18" ph="1"/>
      <c r="AF237" s="105" ph="1"/>
      <c r="AG237" s="105" ph="1"/>
      <c r="AH237" s="105" ph="1"/>
      <c r="AI237" s="105" ph="1"/>
      <c r="AJ237" s="105" ph="1"/>
      <c r="AK237" s="105" ph="1"/>
      <c r="AL237" s="105" ph="1"/>
      <c r="AM237" s="18" ph="1"/>
      <c r="AN237" s="105" ph="1"/>
      <c r="AO237" s="105" ph="1"/>
      <c r="AP237" s="105" ph="1"/>
      <c r="AQ237" s="18" ph="1"/>
      <c r="AR237" s="105" ph="1"/>
      <c r="AS237" s="105" ph="1"/>
      <c r="AT237" s="105" ph="1"/>
      <c r="AU237" s="18" ph="1"/>
      <c r="AV237" s="105" ph="1"/>
      <c r="AW237" s="105" ph="1"/>
      <c r="AX237" s="18" ph="1"/>
      <c r="AY237" s="105" ph="1"/>
      <c r="AZ237" s="105" ph="1"/>
      <c r="BA237" s="105" ph="1"/>
      <c r="BB237" s="105" ph="1"/>
      <c r="BC237" s="18" ph="1"/>
      <c r="BD237" s="89"/>
      <c r="BE237" s="89"/>
      <c r="BF237" s="89"/>
      <c r="BG237" s="89"/>
      <c r="BH237" s="89"/>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c r="DU237" s="20"/>
      <c r="DV237" s="20"/>
      <c r="DW237" s="20"/>
      <c r="DX237" s="20"/>
      <c r="DY237" s="20"/>
      <c r="DZ237" s="20"/>
      <c r="EA237" s="20"/>
      <c r="EB237" s="20"/>
      <c r="EC237" s="20"/>
      <c r="ED237" s="20"/>
      <c r="EE237" s="20"/>
      <c r="EF237" s="20"/>
      <c r="EG237" s="20"/>
      <c r="EH237" s="20"/>
      <c r="EI237" s="20"/>
      <c r="EJ237" s="20"/>
      <c r="EK237" s="20"/>
      <c r="EL237" s="20"/>
      <c r="EM237" s="20"/>
      <c r="EN237" s="20"/>
      <c r="EO237" s="20"/>
      <c r="EP237" s="20"/>
      <c r="EQ237" s="20"/>
      <c r="ER237" s="20"/>
      <c r="ES237" s="20"/>
      <c r="ET237" s="20"/>
      <c r="EU237" s="20"/>
      <c r="EV237" s="20"/>
      <c r="EW237" s="20"/>
      <c r="EX237" s="20"/>
      <c r="EY237" s="20"/>
      <c r="EZ237" s="20"/>
      <c r="FA237" s="20"/>
      <c r="FB237" s="20"/>
      <c r="FC237" s="20"/>
      <c r="FD237" s="20"/>
      <c r="FE237" s="20"/>
      <c r="FF237" s="20"/>
      <c r="FG237" s="20"/>
      <c r="FH237" s="20"/>
      <c r="FI237" s="20"/>
      <c r="FJ237" s="20"/>
      <c r="FK237" s="20"/>
      <c r="FL237" s="20"/>
      <c r="FM237" s="20"/>
      <c r="FN237" s="20"/>
      <c r="FO237" s="20"/>
      <c r="FP237" s="20"/>
      <c r="FQ237" s="20"/>
      <c r="FR237" s="20"/>
      <c r="FS237" s="20"/>
      <c r="FT237" s="20"/>
      <c r="FU237" s="20"/>
      <c r="FV237" s="20"/>
      <c r="FW237" s="20"/>
      <c r="FX237" s="20"/>
      <c r="FY237" s="20"/>
      <c r="FZ237" s="20"/>
      <c r="GA237" s="20"/>
      <c r="GB237" s="20"/>
      <c r="GC237" s="20"/>
      <c r="GD237" s="20"/>
      <c r="GE237" s="20"/>
      <c r="GF237" s="20"/>
      <c r="GG237" s="20"/>
      <c r="GH237" s="20"/>
      <c r="GI237" s="20"/>
      <c r="GJ237" s="20"/>
      <c r="GK237" s="20"/>
      <c r="GL237" s="20"/>
      <c r="GM237" s="20"/>
      <c r="GN237" s="20"/>
      <c r="GO237" s="20"/>
      <c r="GP237" s="20"/>
      <c r="GQ237" s="20"/>
      <c r="GR237" s="20"/>
      <c r="GS237" s="20"/>
      <c r="GT237" s="20"/>
      <c r="GU237" s="20"/>
      <c r="GV237" s="20"/>
      <c r="GW237" s="20"/>
      <c r="GX237" s="20"/>
      <c r="GY237" s="20"/>
      <c r="GZ237" s="20"/>
      <c r="HA237" s="20"/>
      <c r="HB237" s="20"/>
      <c r="HC237" s="20"/>
      <c r="HD237" s="20"/>
      <c r="HE237" s="20"/>
      <c r="HF237" s="20"/>
      <c r="HG237" s="20"/>
      <c r="HH237" s="20"/>
      <c r="HI237" s="20"/>
      <c r="HJ237" s="20"/>
      <c r="HK237" s="20"/>
      <c r="HL237" s="20"/>
      <c r="HM237" s="20"/>
      <c r="HN237" s="20"/>
      <c r="HO237" s="20"/>
      <c r="HP237" s="20"/>
      <c r="HQ237" s="20"/>
      <c r="HR237" s="20"/>
      <c r="HS237" s="20"/>
      <c r="HT237" s="20"/>
      <c r="HU237" s="20"/>
      <c r="HV237" s="20"/>
      <c r="HW237" s="20"/>
      <c r="HX237" s="20"/>
      <c r="HY237" s="20"/>
      <c r="HZ237" s="20"/>
      <c r="IA237" s="20"/>
      <c r="IB237" s="20"/>
      <c r="IC237" s="20"/>
      <c r="ID237" s="20"/>
      <c r="IE237" s="20"/>
      <c r="IF237" s="20"/>
      <c r="IG237" s="20"/>
      <c r="IH237" s="20"/>
      <c r="II237" s="20"/>
      <c r="IJ237" s="20"/>
      <c r="IK237" s="20"/>
      <c r="IL237" s="20"/>
      <c r="IM237" s="20"/>
      <c r="IN237" s="20"/>
      <c r="IO237" s="20"/>
      <c r="IP237" s="20"/>
      <c r="IQ237" s="20"/>
      <c r="IR237" s="20"/>
      <c r="IS237" s="20"/>
      <c r="IT237" s="20"/>
      <c r="IU237" s="20"/>
      <c r="IV237" s="20"/>
      <c r="IW237" s="20"/>
      <c r="IX237" s="20"/>
      <c r="IY237" s="20"/>
      <c r="IZ237" s="20"/>
      <c r="JA237" s="20"/>
      <c r="JB237" s="20"/>
      <c r="JC237" s="20"/>
      <c r="JD237" s="20"/>
      <c r="JE237" s="20"/>
      <c r="JF237" s="20"/>
      <c r="JG237" s="20"/>
      <c r="JH237" s="20"/>
      <c r="JI237" s="20"/>
    </row>
    <row r="238" spans="1:269">
      <c r="A238" s="61"/>
      <c r="B238" s="20"/>
      <c r="C238" s="20"/>
      <c r="D238" s="27"/>
      <c r="E238" s="27"/>
      <c r="F238" s="27"/>
      <c r="G238" s="18"/>
      <c r="H238" s="27"/>
      <c r="I238" s="27"/>
      <c r="J238" s="18"/>
      <c r="K238" s="27"/>
      <c r="L238" s="27"/>
      <c r="M238" s="18"/>
      <c r="N238" s="27"/>
      <c r="O238" s="27"/>
      <c r="P238" s="18"/>
      <c r="Q238" s="27"/>
      <c r="R238" s="18"/>
      <c r="S238" s="18"/>
      <c r="T238" s="18"/>
      <c r="U238" s="18"/>
      <c r="V238" s="18"/>
      <c r="W238" s="105"/>
      <c r="X238" s="105"/>
      <c r="Y238" s="18"/>
      <c r="Z238" s="105"/>
      <c r="AA238" s="105"/>
      <c r="AB238" s="18"/>
      <c r="AC238" s="105"/>
      <c r="AD238" s="105"/>
      <c r="AE238" s="18"/>
      <c r="AF238" s="105"/>
      <c r="AG238" s="105"/>
      <c r="AH238" s="105"/>
      <c r="AI238" s="105"/>
      <c r="AJ238" s="105"/>
      <c r="AK238" s="105"/>
      <c r="AL238" s="105"/>
      <c r="AM238" s="18"/>
      <c r="AN238" s="105"/>
      <c r="AO238" s="105"/>
      <c r="AP238" s="105"/>
      <c r="AQ238" s="18"/>
      <c r="AR238" s="105"/>
      <c r="AS238" s="105"/>
      <c r="AT238" s="105"/>
      <c r="AU238" s="18"/>
      <c r="AV238" s="105"/>
      <c r="AW238" s="105"/>
      <c r="AX238" s="18"/>
      <c r="AY238" s="105"/>
      <c r="AZ238" s="105"/>
      <c r="BA238" s="105"/>
      <c r="BB238" s="105"/>
      <c r="BC238" s="18"/>
      <c r="BD238" s="89"/>
      <c r="BE238" s="89"/>
      <c r="BF238" s="89"/>
      <c r="BG238" s="89"/>
      <c r="BH238" s="89"/>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c r="DU238" s="20"/>
      <c r="DV238" s="20"/>
      <c r="DW238" s="20"/>
      <c r="DX238" s="20"/>
      <c r="DY238" s="20"/>
      <c r="DZ238" s="20"/>
      <c r="EA238" s="20"/>
      <c r="EB238" s="20"/>
      <c r="EC238" s="20"/>
      <c r="ED238" s="20"/>
      <c r="EE238" s="20"/>
      <c r="EF238" s="20"/>
      <c r="EG238" s="20"/>
      <c r="EH238" s="20"/>
      <c r="EI238" s="20"/>
      <c r="EJ238" s="20"/>
      <c r="EK238" s="20"/>
      <c r="EL238" s="20"/>
      <c r="EM238" s="20"/>
      <c r="EN238" s="20"/>
      <c r="EO238" s="20"/>
      <c r="EP238" s="20"/>
      <c r="EQ238" s="20"/>
      <c r="ER238" s="20"/>
      <c r="ES238" s="20"/>
      <c r="ET238" s="20"/>
      <c r="EU238" s="20"/>
      <c r="EV238" s="20"/>
      <c r="EW238" s="20"/>
      <c r="EX238" s="20"/>
      <c r="EY238" s="20"/>
      <c r="EZ238" s="20"/>
      <c r="FA238" s="20"/>
      <c r="FB238" s="20"/>
      <c r="FC238" s="20"/>
      <c r="FD238" s="20"/>
      <c r="FE238" s="20"/>
      <c r="FF238" s="20"/>
      <c r="FG238" s="20"/>
      <c r="FH238" s="20"/>
      <c r="FI238" s="20"/>
      <c r="FJ238" s="20"/>
      <c r="FK238" s="20"/>
      <c r="FL238" s="20"/>
      <c r="FM238" s="20"/>
      <c r="FN238" s="20"/>
      <c r="FO238" s="20"/>
      <c r="FP238" s="20"/>
      <c r="FQ238" s="20"/>
      <c r="FR238" s="20"/>
      <c r="FS238" s="20"/>
      <c r="FT238" s="20"/>
      <c r="FU238" s="20"/>
      <c r="FV238" s="20"/>
      <c r="FW238" s="20"/>
      <c r="FX238" s="20"/>
      <c r="FY238" s="20"/>
      <c r="FZ238" s="20"/>
      <c r="GA238" s="20"/>
      <c r="GB238" s="20"/>
      <c r="GC238" s="20"/>
      <c r="GD238" s="20"/>
      <c r="GE238" s="20"/>
      <c r="GF238" s="20"/>
      <c r="GG238" s="20"/>
      <c r="GH238" s="20"/>
      <c r="GI238" s="20"/>
      <c r="GJ238" s="20"/>
      <c r="GK238" s="20"/>
      <c r="GL238" s="20"/>
      <c r="GM238" s="20"/>
      <c r="GN238" s="20"/>
      <c r="GO238" s="20"/>
      <c r="GP238" s="20"/>
      <c r="GQ238" s="20"/>
      <c r="GR238" s="20"/>
      <c r="GS238" s="20"/>
      <c r="GT238" s="20"/>
      <c r="GU238" s="20"/>
      <c r="GV238" s="20"/>
      <c r="GW238" s="20"/>
      <c r="GX238" s="20"/>
      <c r="GY238" s="20"/>
      <c r="GZ238" s="20"/>
      <c r="HA238" s="20"/>
      <c r="HB238" s="20"/>
      <c r="HC238" s="20"/>
      <c r="HD238" s="20"/>
      <c r="HE238" s="20"/>
      <c r="HF238" s="20"/>
      <c r="HG238" s="20"/>
      <c r="HH238" s="20"/>
      <c r="HI238" s="20"/>
      <c r="HJ238" s="20"/>
      <c r="HK238" s="20"/>
      <c r="HL238" s="20"/>
      <c r="HM238" s="20"/>
      <c r="HN238" s="20"/>
      <c r="HO238" s="20"/>
      <c r="HP238" s="20"/>
      <c r="HQ238" s="20"/>
      <c r="HR238" s="20"/>
      <c r="HS238" s="20"/>
      <c r="HT238" s="20"/>
      <c r="HU238" s="20"/>
      <c r="HV238" s="20"/>
      <c r="HW238" s="20"/>
      <c r="HX238" s="20"/>
      <c r="HY238" s="20"/>
      <c r="HZ238" s="20"/>
      <c r="IA238" s="20"/>
      <c r="IB238" s="20"/>
      <c r="IC238" s="20"/>
      <c r="ID238" s="20"/>
      <c r="IE238" s="20"/>
      <c r="IF238" s="20"/>
      <c r="IG238" s="20"/>
      <c r="IH238" s="20"/>
      <c r="II238" s="20"/>
      <c r="IJ238" s="20"/>
      <c r="IK238" s="20"/>
      <c r="IL238" s="20"/>
      <c r="IM238" s="20"/>
      <c r="IN238" s="20"/>
      <c r="IO238" s="20"/>
      <c r="IP238" s="20"/>
      <c r="IQ238" s="20"/>
      <c r="IR238" s="20"/>
      <c r="IS238" s="20"/>
      <c r="IT238" s="20"/>
      <c r="IU238" s="20"/>
      <c r="IV238" s="20"/>
      <c r="IW238" s="20"/>
      <c r="IX238" s="20"/>
      <c r="IY238" s="20"/>
      <c r="IZ238" s="20"/>
      <c r="JA238" s="20"/>
      <c r="JB238" s="20"/>
      <c r="JC238" s="20"/>
      <c r="JD238" s="20"/>
      <c r="JE238" s="20"/>
      <c r="JF238" s="20"/>
      <c r="JG238" s="20"/>
      <c r="JH238" s="20"/>
      <c r="JI238" s="20"/>
    </row>
    <row r="239" spans="1:269">
      <c r="A239" s="61"/>
      <c r="B239" s="20"/>
      <c r="C239" s="20"/>
      <c r="D239" s="27"/>
      <c r="E239" s="27"/>
      <c r="F239" s="27"/>
      <c r="G239" s="18"/>
      <c r="H239" s="27"/>
      <c r="I239" s="27"/>
      <c r="J239" s="18"/>
      <c r="K239" s="27"/>
      <c r="L239" s="27"/>
      <c r="M239" s="18"/>
      <c r="N239" s="27"/>
      <c r="O239" s="27"/>
      <c r="P239" s="18"/>
      <c r="Q239" s="27"/>
      <c r="R239" s="18"/>
      <c r="S239" s="18"/>
      <c r="T239" s="18"/>
      <c r="U239" s="18"/>
      <c r="V239" s="18"/>
      <c r="W239" s="105"/>
      <c r="X239" s="105"/>
      <c r="Y239" s="18"/>
      <c r="Z239" s="105"/>
      <c r="AA239" s="105"/>
      <c r="AB239" s="18"/>
      <c r="AC239" s="105"/>
      <c r="AD239" s="105"/>
      <c r="AE239" s="18"/>
      <c r="AF239" s="105"/>
      <c r="AG239" s="105"/>
      <c r="AH239" s="105"/>
      <c r="AI239" s="105"/>
      <c r="AJ239" s="105"/>
      <c r="AK239" s="105"/>
      <c r="AL239" s="105"/>
      <c r="AM239" s="18"/>
      <c r="AN239" s="105"/>
      <c r="AO239" s="105"/>
      <c r="AP239" s="105"/>
      <c r="AQ239" s="18"/>
      <c r="AR239" s="105"/>
      <c r="AS239" s="105"/>
      <c r="AT239" s="105"/>
      <c r="AU239" s="18"/>
      <c r="AV239" s="105"/>
      <c r="AW239" s="105"/>
      <c r="AX239" s="18"/>
      <c r="AY239" s="105"/>
      <c r="AZ239" s="105"/>
      <c r="BA239" s="105"/>
      <c r="BB239" s="105"/>
      <c r="BC239" s="18"/>
      <c r="BD239" s="89"/>
      <c r="BE239" s="89"/>
      <c r="BF239" s="89"/>
      <c r="BG239" s="89"/>
      <c r="BH239" s="89"/>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c r="DU239" s="20"/>
      <c r="DV239" s="20"/>
      <c r="DW239" s="20"/>
      <c r="DX239" s="20"/>
      <c r="DY239" s="20"/>
      <c r="DZ239" s="20"/>
      <c r="EA239" s="20"/>
      <c r="EB239" s="20"/>
      <c r="EC239" s="20"/>
      <c r="ED239" s="20"/>
      <c r="EE239" s="20"/>
      <c r="EF239" s="20"/>
      <c r="EG239" s="20"/>
      <c r="EH239" s="20"/>
      <c r="EI239" s="20"/>
      <c r="EJ239" s="20"/>
      <c r="EK239" s="20"/>
      <c r="EL239" s="20"/>
      <c r="EM239" s="20"/>
      <c r="EN239" s="20"/>
      <c r="EO239" s="20"/>
      <c r="EP239" s="20"/>
      <c r="EQ239" s="20"/>
      <c r="ER239" s="20"/>
      <c r="ES239" s="20"/>
      <c r="ET239" s="20"/>
      <c r="EU239" s="20"/>
      <c r="EV239" s="20"/>
      <c r="EW239" s="20"/>
      <c r="EX239" s="20"/>
      <c r="EY239" s="20"/>
      <c r="EZ239" s="20"/>
      <c r="FA239" s="20"/>
      <c r="FB239" s="20"/>
      <c r="FC239" s="20"/>
      <c r="FD239" s="20"/>
      <c r="FE239" s="20"/>
      <c r="FF239" s="20"/>
      <c r="FG239" s="20"/>
      <c r="FH239" s="20"/>
      <c r="FI239" s="20"/>
      <c r="FJ239" s="20"/>
      <c r="FK239" s="20"/>
      <c r="FL239" s="20"/>
      <c r="FM239" s="20"/>
      <c r="FN239" s="20"/>
      <c r="FO239" s="20"/>
      <c r="FP239" s="20"/>
      <c r="FQ239" s="20"/>
      <c r="FR239" s="20"/>
      <c r="FS239" s="20"/>
      <c r="FT239" s="20"/>
      <c r="FU239" s="20"/>
      <c r="FV239" s="20"/>
      <c r="FW239" s="20"/>
      <c r="FX239" s="20"/>
      <c r="FY239" s="20"/>
      <c r="FZ239" s="20"/>
      <c r="GA239" s="20"/>
      <c r="GB239" s="20"/>
      <c r="GC239" s="20"/>
      <c r="GD239" s="20"/>
      <c r="GE239" s="20"/>
      <c r="GF239" s="20"/>
      <c r="GG239" s="20"/>
      <c r="GH239" s="20"/>
      <c r="GI239" s="20"/>
      <c r="GJ239" s="20"/>
      <c r="GK239" s="20"/>
      <c r="GL239" s="20"/>
      <c r="GM239" s="20"/>
      <c r="GN239" s="20"/>
      <c r="GO239" s="20"/>
      <c r="GP239" s="20"/>
      <c r="GQ239" s="20"/>
      <c r="GR239" s="20"/>
      <c r="GS239" s="20"/>
      <c r="GT239" s="20"/>
      <c r="GU239" s="20"/>
      <c r="GV239" s="20"/>
      <c r="GW239" s="20"/>
      <c r="GX239" s="20"/>
      <c r="GY239" s="20"/>
      <c r="GZ239" s="20"/>
      <c r="HA239" s="20"/>
      <c r="HB239" s="20"/>
      <c r="HC239" s="20"/>
      <c r="HD239" s="20"/>
      <c r="HE239" s="20"/>
      <c r="HF239" s="20"/>
      <c r="HG239" s="20"/>
      <c r="HH239" s="20"/>
      <c r="HI239" s="20"/>
      <c r="HJ239" s="20"/>
      <c r="HK239" s="20"/>
      <c r="HL239" s="20"/>
      <c r="HM239" s="20"/>
      <c r="HN239" s="20"/>
      <c r="HO239" s="20"/>
      <c r="HP239" s="20"/>
      <c r="HQ239" s="20"/>
      <c r="HR239" s="20"/>
      <c r="HS239" s="20"/>
      <c r="HT239" s="20"/>
      <c r="HU239" s="20"/>
      <c r="HV239" s="20"/>
      <c r="HW239" s="20"/>
      <c r="HX239" s="20"/>
      <c r="HY239" s="20"/>
      <c r="HZ239" s="20"/>
      <c r="IA239" s="20"/>
      <c r="IB239" s="20"/>
      <c r="IC239" s="20"/>
      <c r="ID239" s="20"/>
      <c r="IE239" s="20"/>
      <c r="IF239" s="20"/>
      <c r="IG239" s="20"/>
      <c r="IH239" s="20"/>
      <c r="II239" s="20"/>
      <c r="IJ239" s="20"/>
      <c r="IK239" s="20"/>
      <c r="IL239" s="20"/>
      <c r="IM239" s="20"/>
      <c r="IN239" s="20"/>
      <c r="IO239" s="20"/>
      <c r="IP239" s="20"/>
      <c r="IQ239" s="20"/>
      <c r="IR239" s="20"/>
      <c r="IS239" s="20"/>
      <c r="IT239" s="20"/>
      <c r="IU239" s="20"/>
      <c r="IV239" s="20"/>
      <c r="IW239" s="20"/>
      <c r="IX239" s="20"/>
      <c r="IY239" s="20"/>
      <c r="IZ239" s="20"/>
      <c r="JA239" s="20"/>
      <c r="JB239" s="20"/>
      <c r="JC239" s="20"/>
      <c r="JD239" s="20"/>
      <c r="JE239" s="20"/>
      <c r="JF239" s="20"/>
      <c r="JG239" s="20"/>
      <c r="JH239" s="20"/>
      <c r="JI239" s="20"/>
    </row>
    <row r="240" spans="1:269">
      <c r="A240" s="61"/>
      <c r="B240" s="20"/>
      <c r="C240" s="20"/>
      <c r="D240" s="27"/>
      <c r="E240" s="27"/>
      <c r="F240" s="27"/>
      <c r="G240" s="18"/>
      <c r="H240" s="27"/>
      <c r="I240" s="27"/>
      <c r="J240" s="18"/>
      <c r="K240" s="27"/>
      <c r="L240" s="27"/>
      <c r="M240" s="18"/>
      <c r="N240" s="27"/>
      <c r="O240" s="27"/>
      <c r="P240" s="18"/>
      <c r="Q240" s="27"/>
      <c r="R240" s="18"/>
      <c r="S240" s="18"/>
      <c r="T240" s="18"/>
      <c r="U240" s="18"/>
      <c r="V240" s="18"/>
      <c r="W240" s="105"/>
      <c r="X240" s="105"/>
      <c r="Y240" s="18"/>
      <c r="Z240" s="105"/>
      <c r="AA240" s="105"/>
      <c r="AB240" s="18"/>
      <c r="AC240" s="105"/>
      <c r="AD240" s="105"/>
      <c r="AE240" s="18"/>
      <c r="AF240" s="105"/>
      <c r="AG240" s="105"/>
      <c r="AH240" s="105"/>
      <c r="AI240" s="105"/>
      <c r="AJ240" s="105"/>
      <c r="AK240" s="105"/>
      <c r="AL240" s="105"/>
      <c r="AM240" s="18"/>
      <c r="AN240" s="105"/>
      <c r="AO240" s="105"/>
      <c r="AP240" s="105"/>
      <c r="AQ240" s="18"/>
      <c r="AR240" s="105"/>
      <c r="AS240" s="105"/>
      <c r="AT240" s="105"/>
      <c r="AU240" s="18"/>
      <c r="AV240" s="105"/>
      <c r="AW240" s="105"/>
      <c r="AX240" s="18"/>
      <c r="AY240" s="105"/>
      <c r="AZ240" s="105"/>
      <c r="BA240" s="105"/>
      <c r="BB240" s="105"/>
      <c r="BC240" s="18"/>
      <c r="BD240" s="89"/>
      <c r="BE240" s="89"/>
      <c r="BF240" s="89"/>
      <c r="BG240" s="89"/>
      <c r="BH240" s="89"/>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c r="DU240" s="20"/>
      <c r="DV240" s="20"/>
      <c r="DW240" s="20"/>
      <c r="DX240" s="20"/>
      <c r="DY240" s="20"/>
      <c r="DZ240" s="20"/>
      <c r="EA240" s="20"/>
      <c r="EB240" s="20"/>
      <c r="EC240" s="20"/>
      <c r="ED240" s="20"/>
      <c r="EE240" s="20"/>
      <c r="EF240" s="20"/>
      <c r="EG240" s="20"/>
      <c r="EH240" s="20"/>
      <c r="EI240" s="20"/>
      <c r="EJ240" s="20"/>
      <c r="EK240" s="20"/>
      <c r="EL240" s="20"/>
      <c r="EM240" s="20"/>
      <c r="EN240" s="20"/>
      <c r="EO240" s="20"/>
      <c r="EP240" s="20"/>
      <c r="EQ240" s="20"/>
      <c r="ER240" s="20"/>
      <c r="ES240" s="20"/>
      <c r="ET240" s="20"/>
      <c r="EU240" s="20"/>
      <c r="EV240" s="20"/>
      <c r="EW240" s="20"/>
      <c r="EX240" s="20"/>
      <c r="EY240" s="20"/>
      <c r="EZ240" s="20"/>
      <c r="FA240" s="20"/>
      <c r="FB240" s="20"/>
      <c r="FC240" s="20"/>
      <c r="FD240" s="20"/>
      <c r="FE240" s="20"/>
      <c r="FF240" s="20"/>
      <c r="FG240" s="20"/>
      <c r="FH240" s="20"/>
      <c r="FI240" s="20"/>
      <c r="FJ240" s="20"/>
      <c r="FK240" s="20"/>
      <c r="FL240" s="20"/>
      <c r="FM240" s="20"/>
      <c r="FN240" s="20"/>
      <c r="FO240" s="20"/>
      <c r="FP240" s="20"/>
      <c r="FQ240" s="20"/>
      <c r="FR240" s="20"/>
      <c r="FS240" s="20"/>
      <c r="FT240" s="20"/>
      <c r="FU240" s="20"/>
      <c r="FV240" s="20"/>
      <c r="FW240" s="20"/>
      <c r="FX240" s="20"/>
      <c r="FY240" s="20"/>
      <c r="FZ240" s="20"/>
      <c r="GA240" s="20"/>
      <c r="GB240" s="20"/>
      <c r="GC240" s="20"/>
      <c r="GD240" s="20"/>
      <c r="GE240" s="20"/>
      <c r="GF240" s="20"/>
      <c r="GG240" s="20"/>
      <c r="GH240" s="20"/>
      <c r="GI240" s="20"/>
      <c r="GJ240" s="20"/>
      <c r="GK240" s="20"/>
      <c r="GL240" s="20"/>
      <c r="GM240" s="20"/>
      <c r="GN240" s="20"/>
      <c r="GO240" s="20"/>
      <c r="GP240" s="20"/>
      <c r="GQ240" s="20"/>
      <c r="GR240" s="20"/>
      <c r="GS240" s="20"/>
      <c r="GT240" s="20"/>
      <c r="GU240" s="20"/>
      <c r="GV240" s="20"/>
      <c r="GW240" s="20"/>
      <c r="GX240" s="20"/>
      <c r="GY240" s="20"/>
      <c r="GZ240" s="20"/>
      <c r="HA240" s="20"/>
      <c r="HB240" s="20"/>
      <c r="HC240" s="20"/>
      <c r="HD240" s="20"/>
      <c r="HE240" s="20"/>
      <c r="HF240" s="20"/>
      <c r="HG240" s="20"/>
      <c r="HH240" s="20"/>
      <c r="HI240" s="20"/>
      <c r="HJ240" s="20"/>
      <c r="HK240" s="20"/>
      <c r="HL240" s="20"/>
      <c r="HM240" s="20"/>
      <c r="HN240" s="20"/>
      <c r="HO240" s="20"/>
      <c r="HP240" s="20"/>
      <c r="HQ240" s="20"/>
      <c r="HR240" s="20"/>
      <c r="HS240" s="20"/>
      <c r="HT240" s="20"/>
      <c r="HU240" s="20"/>
      <c r="HV240" s="20"/>
      <c r="HW240" s="20"/>
      <c r="HX240" s="20"/>
      <c r="HY240" s="20"/>
      <c r="HZ240" s="20"/>
      <c r="IA240" s="20"/>
      <c r="IB240" s="20"/>
      <c r="IC240" s="20"/>
      <c r="ID240" s="20"/>
      <c r="IE240" s="20"/>
      <c r="IF240" s="20"/>
      <c r="IG240" s="20"/>
      <c r="IH240" s="20"/>
      <c r="II240" s="20"/>
      <c r="IJ240" s="20"/>
      <c r="IK240" s="20"/>
      <c r="IL240" s="20"/>
      <c r="IM240" s="20"/>
      <c r="IN240" s="20"/>
      <c r="IO240" s="20"/>
      <c r="IP240" s="20"/>
      <c r="IQ240" s="20"/>
      <c r="IR240" s="20"/>
      <c r="IS240" s="20"/>
      <c r="IT240" s="20"/>
      <c r="IU240" s="20"/>
      <c r="IV240" s="20"/>
      <c r="IW240" s="20"/>
      <c r="IX240" s="20"/>
      <c r="IY240" s="20"/>
      <c r="IZ240" s="20"/>
      <c r="JA240" s="20"/>
      <c r="JB240" s="20"/>
      <c r="JC240" s="20"/>
      <c r="JD240" s="20"/>
      <c r="JE240" s="20"/>
      <c r="JF240" s="20"/>
      <c r="JG240" s="20"/>
      <c r="JH240" s="20"/>
      <c r="JI240" s="20"/>
    </row>
    <row r="241" spans="1:269">
      <c r="A241" s="61"/>
      <c r="B241" s="20"/>
      <c r="C241" s="20"/>
      <c r="D241" s="27"/>
      <c r="E241" s="27"/>
      <c r="F241" s="27"/>
      <c r="G241" s="18"/>
      <c r="H241" s="27"/>
      <c r="I241" s="27"/>
      <c r="J241" s="18"/>
      <c r="K241" s="27"/>
      <c r="L241" s="27"/>
      <c r="M241" s="18"/>
      <c r="N241" s="27"/>
      <c r="O241" s="27"/>
      <c r="P241" s="18"/>
      <c r="Q241" s="27"/>
      <c r="R241" s="18"/>
      <c r="S241" s="18"/>
      <c r="T241" s="18"/>
      <c r="U241" s="18"/>
      <c r="V241" s="18"/>
      <c r="W241" s="105"/>
      <c r="X241" s="105"/>
      <c r="Y241" s="18"/>
      <c r="Z241" s="105"/>
      <c r="AA241" s="105"/>
      <c r="AB241" s="18"/>
      <c r="AC241" s="105"/>
      <c r="AD241" s="105"/>
      <c r="AE241" s="18"/>
      <c r="AF241" s="105"/>
      <c r="AG241" s="105"/>
      <c r="AH241" s="105"/>
      <c r="AI241" s="105"/>
      <c r="AJ241" s="105"/>
      <c r="AK241" s="105"/>
      <c r="AL241" s="105"/>
      <c r="AM241" s="18"/>
      <c r="AN241" s="105"/>
      <c r="AO241" s="105"/>
      <c r="AP241" s="105"/>
      <c r="AQ241" s="18"/>
      <c r="AR241" s="105"/>
      <c r="AS241" s="105"/>
      <c r="AT241" s="105"/>
      <c r="AU241" s="18"/>
      <c r="AV241" s="105"/>
      <c r="AW241" s="105"/>
      <c r="AX241" s="18"/>
      <c r="AY241" s="105"/>
      <c r="AZ241" s="105"/>
      <c r="BA241" s="105"/>
      <c r="BB241" s="105"/>
      <c r="BC241" s="18"/>
      <c r="BD241" s="89"/>
      <c r="BE241" s="89"/>
      <c r="BF241" s="89"/>
      <c r="BG241" s="89"/>
      <c r="BH241" s="89"/>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c r="DU241" s="20"/>
      <c r="DV241" s="20"/>
      <c r="DW241" s="20"/>
      <c r="DX241" s="20"/>
      <c r="DY241" s="20"/>
      <c r="DZ241" s="20"/>
      <c r="EA241" s="20"/>
      <c r="EB241" s="20"/>
      <c r="EC241" s="20"/>
      <c r="ED241" s="20"/>
      <c r="EE241" s="20"/>
      <c r="EF241" s="20"/>
      <c r="EG241" s="20"/>
      <c r="EH241" s="20"/>
      <c r="EI241" s="20"/>
      <c r="EJ241" s="20"/>
      <c r="EK241" s="20"/>
      <c r="EL241" s="20"/>
      <c r="EM241" s="20"/>
      <c r="EN241" s="20"/>
      <c r="EO241" s="20"/>
      <c r="EP241" s="20"/>
      <c r="EQ241" s="20"/>
      <c r="ER241" s="20"/>
      <c r="ES241" s="20"/>
      <c r="ET241" s="20"/>
      <c r="EU241" s="20"/>
      <c r="EV241" s="20"/>
      <c r="EW241" s="20"/>
      <c r="EX241" s="20"/>
      <c r="EY241" s="20"/>
      <c r="EZ241" s="20"/>
      <c r="FA241" s="20"/>
      <c r="FB241" s="20"/>
      <c r="FC241" s="20"/>
      <c r="FD241" s="20"/>
      <c r="FE241" s="20"/>
      <c r="FF241" s="20"/>
      <c r="FG241" s="20"/>
      <c r="FH241" s="20"/>
      <c r="FI241" s="20"/>
      <c r="FJ241" s="20"/>
      <c r="FK241" s="20"/>
      <c r="FL241" s="20"/>
      <c r="FM241" s="20"/>
      <c r="FN241" s="20"/>
      <c r="FO241" s="20"/>
      <c r="FP241" s="20"/>
      <c r="FQ241" s="20"/>
      <c r="FR241" s="20"/>
      <c r="FS241" s="20"/>
      <c r="FT241" s="20"/>
      <c r="FU241" s="20"/>
      <c r="FV241" s="20"/>
      <c r="FW241" s="20"/>
      <c r="FX241" s="20"/>
      <c r="FY241" s="20"/>
      <c r="FZ241" s="20"/>
      <c r="GA241" s="20"/>
      <c r="GB241" s="20"/>
      <c r="GC241" s="20"/>
      <c r="GD241" s="20"/>
      <c r="GE241" s="20"/>
      <c r="GF241" s="20"/>
      <c r="GG241" s="20"/>
      <c r="GH241" s="20"/>
      <c r="GI241" s="20"/>
      <c r="GJ241" s="20"/>
      <c r="GK241" s="20"/>
      <c r="GL241" s="20"/>
      <c r="GM241" s="20"/>
      <c r="GN241" s="20"/>
      <c r="GO241" s="20"/>
      <c r="GP241" s="20"/>
      <c r="GQ241" s="20"/>
      <c r="GR241" s="20"/>
      <c r="GS241" s="20"/>
      <c r="GT241" s="20"/>
      <c r="GU241" s="20"/>
      <c r="GV241" s="20"/>
      <c r="GW241" s="20"/>
      <c r="GX241" s="20"/>
      <c r="GY241" s="20"/>
      <c r="GZ241" s="20"/>
      <c r="HA241" s="20"/>
      <c r="HB241" s="20"/>
      <c r="HC241" s="20"/>
      <c r="HD241" s="20"/>
      <c r="HE241" s="20"/>
      <c r="HF241" s="20"/>
      <c r="HG241" s="20"/>
      <c r="HH241" s="20"/>
      <c r="HI241" s="20"/>
      <c r="HJ241" s="20"/>
      <c r="HK241" s="20"/>
      <c r="HL241" s="20"/>
      <c r="HM241" s="20"/>
      <c r="HN241" s="20"/>
      <c r="HO241" s="20"/>
      <c r="HP241" s="20"/>
      <c r="HQ241" s="20"/>
      <c r="HR241" s="20"/>
      <c r="HS241" s="20"/>
      <c r="HT241" s="20"/>
      <c r="HU241" s="20"/>
      <c r="HV241" s="20"/>
      <c r="HW241" s="20"/>
      <c r="HX241" s="20"/>
      <c r="HY241" s="20"/>
      <c r="HZ241" s="20"/>
      <c r="IA241" s="20"/>
      <c r="IB241" s="20"/>
      <c r="IC241" s="20"/>
      <c r="ID241" s="20"/>
      <c r="IE241" s="20"/>
      <c r="IF241" s="20"/>
      <c r="IG241" s="20"/>
      <c r="IH241" s="20"/>
      <c r="II241" s="20"/>
      <c r="IJ241" s="20"/>
      <c r="IK241" s="20"/>
      <c r="IL241" s="20"/>
      <c r="IM241" s="20"/>
      <c r="IN241" s="20"/>
      <c r="IO241" s="20"/>
      <c r="IP241" s="20"/>
      <c r="IQ241" s="20"/>
      <c r="IR241" s="20"/>
      <c r="IS241" s="20"/>
      <c r="IT241" s="20"/>
      <c r="IU241" s="20"/>
      <c r="IV241" s="20"/>
      <c r="IW241" s="20"/>
      <c r="IX241" s="20"/>
      <c r="IY241" s="20"/>
      <c r="IZ241" s="20"/>
      <c r="JA241" s="20"/>
      <c r="JB241" s="20"/>
      <c r="JC241" s="20"/>
      <c r="JD241" s="20"/>
      <c r="JE241" s="20"/>
      <c r="JF241" s="20"/>
      <c r="JG241" s="20"/>
      <c r="JH241" s="20"/>
      <c r="JI241" s="20"/>
    </row>
    <row r="242" spans="1:269">
      <c r="A242" s="61"/>
      <c r="B242" s="20"/>
      <c r="C242" s="20"/>
      <c r="D242" s="27"/>
      <c r="E242" s="27"/>
      <c r="F242" s="27"/>
      <c r="G242" s="18"/>
      <c r="H242" s="27"/>
      <c r="I242" s="27"/>
      <c r="J242" s="18"/>
      <c r="K242" s="27"/>
      <c r="L242" s="27"/>
      <c r="M242" s="18"/>
      <c r="N242" s="27"/>
      <c r="O242" s="27"/>
      <c r="P242" s="18"/>
      <c r="Q242" s="27"/>
      <c r="R242" s="18"/>
      <c r="S242" s="18"/>
      <c r="T242" s="18"/>
      <c r="U242" s="18"/>
      <c r="V242" s="18"/>
      <c r="W242" s="105"/>
      <c r="X242" s="105"/>
      <c r="Y242" s="18"/>
      <c r="Z242" s="105"/>
      <c r="AA242" s="105"/>
      <c r="AB242" s="18"/>
      <c r="AC242" s="105"/>
      <c r="AD242" s="105"/>
      <c r="AE242" s="18"/>
      <c r="AF242" s="105"/>
      <c r="AG242" s="105"/>
      <c r="AH242" s="105"/>
      <c r="AI242" s="105"/>
      <c r="AJ242" s="105"/>
      <c r="AK242" s="105"/>
      <c r="AL242" s="105"/>
      <c r="AM242" s="18"/>
      <c r="AN242" s="105"/>
      <c r="AO242" s="105"/>
      <c r="AP242" s="105"/>
      <c r="AQ242" s="18"/>
      <c r="AR242" s="105"/>
      <c r="AS242" s="105"/>
      <c r="AT242" s="105"/>
      <c r="AU242" s="18"/>
      <c r="AV242" s="105"/>
      <c r="AW242" s="105"/>
      <c r="AX242" s="18"/>
      <c r="AY242" s="105"/>
      <c r="AZ242" s="105"/>
      <c r="BA242" s="105"/>
      <c r="BB242" s="105"/>
      <c r="BC242" s="18"/>
      <c r="BD242" s="89"/>
      <c r="BE242" s="89"/>
      <c r="BF242" s="89"/>
      <c r="BG242" s="89"/>
      <c r="BH242" s="89"/>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c r="DU242" s="20"/>
      <c r="DV242" s="20"/>
      <c r="DW242" s="20"/>
      <c r="DX242" s="20"/>
      <c r="DY242" s="20"/>
      <c r="DZ242" s="20"/>
      <c r="EA242" s="20"/>
      <c r="EB242" s="20"/>
      <c r="EC242" s="20"/>
      <c r="ED242" s="20"/>
      <c r="EE242" s="20"/>
      <c r="EF242" s="20"/>
      <c r="EG242" s="20"/>
      <c r="EH242" s="20"/>
      <c r="EI242" s="20"/>
      <c r="EJ242" s="20"/>
      <c r="EK242" s="20"/>
      <c r="EL242" s="20"/>
      <c r="EM242" s="20"/>
      <c r="EN242" s="20"/>
      <c r="EO242" s="20"/>
      <c r="EP242" s="20"/>
      <c r="EQ242" s="20"/>
      <c r="ER242" s="20"/>
      <c r="ES242" s="20"/>
      <c r="ET242" s="20"/>
      <c r="EU242" s="20"/>
      <c r="EV242" s="20"/>
      <c r="EW242" s="20"/>
      <c r="EX242" s="20"/>
      <c r="EY242" s="20"/>
      <c r="EZ242" s="20"/>
      <c r="FA242" s="20"/>
      <c r="FB242" s="20"/>
      <c r="FC242" s="20"/>
      <c r="FD242" s="20"/>
      <c r="FE242" s="20"/>
      <c r="FF242" s="20"/>
      <c r="FG242" s="20"/>
      <c r="FH242" s="20"/>
      <c r="FI242" s="20"/>
      <c r="FJ242" s="20"/>
      <c r="FK242" s="20"/>
      <c r="FL242" s="20"/>
      <c r="FM242" s="20"/>
      <c r="FN242" s="20"/>
      <c r="FO242" s="20"/>
      <c r="FP242" s="20"/>
      <c r="FQ242" s="20"/>
      <c r="FR242" s="20"/>
      <c r="FS242" s="20"/>
      <c r="FT242" s="20"/>
      <c r="FU242" s="20"/>
      <c r="FV242" s="20"/>
      <c r="FW242" s="20"/>
      <c r="FX242" s="20"/>
      <c r="FY242" s="20"/>
      <c r="FZ242" s="20"/>
      <c r="GA242" s="20"/>
      <c r="GB242" s="20"/>
      <c r="GC242" s="20"/>
      <c r="GD242" s="20"/>
      <c r="GE242" s="20"/>
      <c r="GF242" s="20"/>
      <c r="GG242" s="20"/>
      <c r="GH242" s="20"/>
      <c r="GI242" s="20"/>
      <c r="GJ242" s="20"/>
      <c r="GK242" s="20"/>
      <c r="GL242" s="20"/>
      <c r="GM242" s="20"/>
      <c r="GN242" s="20"/>
      <c r="GO242" s="20"/>
      <c r="GP242" s="20"/>
      <c r="GQ242" s="20"/>
      <c r="GR242" s="20"/>
      <c r="GS242" s="20"/>
      <c r="GT242" s="20"/>
      <c r="GU242" s="20"/>
      <c r="GV242" s="20"/>
      <c r="GW242" s="20"/>
      <c r="GX242" s="20"/>
      <c r="GY242" s="20"/>
      <c r="GZ242" s="20"/>
      <c r="HA242" s="20"/>
      <c r="HB242" s="20"/>
      <c r="HC242" s="20"/>
      <c r="HD242" s="20"/>
      <c r="HE242" s="20"/>
      <c r="HF242" s="20"/>
      <c r="HG242" s="20"/>
      <c r="HH242" s="20"/>
      <c r="HI242" s="20"/>
      <c r="HJ242" s="20"/>
      <c r="HK242" s="20"/>
      <c r="HL242" s="20"/>
      <c r="HM242" s="20"/>
      <c r="HN242" s="20"/>
      <c r="HO242" s="20"/>
      <c r="HP242" s="20"/>
      <c r="HQ242" s="20"/>
      <c r="HR242" s="20"/>
      <c r="HS242" s="20"/>
      <c r="HT242" s="20"/>
      <c r="HU242" s="20"/>
      <c r="HV242" s="20"/>
      <c r="HW242" s="20"/>
      <c r="HX242" s="20"/>
      <c r="HY242" s="20"/>
      <c r="HZ242" s="20"/>
      <c r="IA242" s="20"/>
      <c r="IB242" s="20"/>
      <c r="IC242" s="20"/>
      <c r="ID242" s="20"/>
      <c r="IE242" s="20"/>
      <c r="IF242" s="20"/>
      <c r="IG242" s="20"/>
      <c r="IH242" s="20"/>
      <c r="II242" s="20"/>
      <c r="IJ242" s="20"/>
      <c r="IK242" s="20"/>
      <c r="IL242" s="20"/>
      <c r="IM242" s="20"/>
      <c r="IN242" s="20"/>
      <c r="IO242" s="20"/>
      <c r="IP242" s="20"/>
      <c r="IQ242" s="20"/>
      <c r="IR242" s="20"/>
      <c r="IS242" s="20"/>
      <c r="IT242" s="20"/>
      <c r="IU242" s="20"/>
      <c r="IV242" s="20"/>
      <c r="IW242" s="20"/>
      <c r="IX242" s="20"/>
      <c r="IY242" s="20"/>
      <c r="IZ242" s="20"/>
      <c r="JA242" s="20"/>
      <c r="JB242" s="20"/>
      <c r="JC242" s="20"/>
      <c r="JD242" s="20"/>
      <c r="JE242" s="20"/>
      <c r="JF242" s="20"/>
      <c r="JG242" s="20"/>
      <c r="JH242" s="20"/>
      <c r="JI242" s="20"/>
    </row>
    <row r="243" spans="1:269">
      <c r="A243" s="61"/>
      <c r="B243" s="20"/>
      <c r="C243" s="20"/>
      <c r="D243" s="27"/>
      <c r="E243" s="27"/>
      <c r="F243" s="27"/>
      <c r="G243" s="18"/>
      <c r="H243" s="27"/>
      <c r="I243" s="27"/>
      <c r="J243" s="18"/>
      <c r="K243" s="27"/>
      <c r="L243" s="27"/>
      <c r="M243" s="18"/>
      <c r="N243" s="27"/>
      <c r="O243" s="27"/>
      <c r="P243" s="18"/>
      <c r="Q243" s="27"/>
      <c r="R243" s="18"/>
      <c r="S243" s="18"/>
      <c r="T243" s="18"/>
      <c r="U243" s="18"/>
      <c r="V243" s="18"/>
      <c r="W243" s="105"/>
      <c r="X243" s="105"/>
      <c r="Y243" s="18"/>
      <c r="Z243" s="105"/>
      <c r="AA243" s="105"/>
      <c r="AB243" s="18"/>
      <c r="AC243" s="105"/>
      <c r="AD243" s="105"/>
      <c r="AE243" s="18"/>
      <c r="AF243" s="105"/>
      <c r="AG243" s="105"/>
      <c r="AH243" s="105"/>
      <c r="AI243" s="105"/>
      <c r="AJ243" s="105"/>
      <c r="AK243" s="105"/>
      <c r="AL243" s="105"/>
      <c r="AM243" s="18"/>
      <c r="AN243" s="105"/>
      <c r="AO243" s="105"/>
      <c r="AP243" s="105"/>
      <c r="AQ243" s="18"/>
      <c r="AR243" s="105"/>
      <c r="AS243" s="105"/>
      <c r="AT243" s="105"/>
      <c r="AU243" s="18"/>
      <c r="AV243" s="105"/>
      <c r="AW243" s="105"/>
      <c r="AX243" s="18"/>
      <c r="AY243" s="105"/>
      <c r="AZ243" s="105"/>
      <c r="BA243" s="105"/>
      <c r="BB243" s="105"/>
      <c r="BC243" s="18"/>
      <c r="BD243" s="89"/>
      <c r="BE243" s="89"/>
      <c r="BF243" s="89"/>
      <c r="BG243" s="89"/>
      <c r="BH243" s="89"/>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c r="DU243" s="20"/>
      <c r="DV243" s="20"/>
      <c r="DW243" s="20"/>
      <c r="DX243" s="20"/>
      <c r="DY243" s="20"/>
      <c r="DZ243" s="20"/>
      <c r="EA243" s="20"/>
      <c r="EB243" s="20"/>
      <c r="EC243" s="20"/>
      <c r="ED243" s="20"/>
      <c r="EE243" s="20"/>
      <c r="EF243" s="20"/>
      <c r="EG243" s="20"/>
      <c r="EH243" s="20"/>
      <c r="EI243" s="20"/>
      <c r="EJ243" s="20"/>
      <c r="EK243" s="20"/>
      <c r="EL243" s="20"/>
      <c r="EM243" s="20"/>
      <c r="EN243" s="20"/>
      <c r="EO243" s="20"/>
      <c r="EP243" s="20"/>
      <c r="EQ243" s="20"/>
      <c r="ER243" s="20"/>
      <c r="ES243" s="20"/>
      <c r="ET243" s="20"/>
      <c r="EU243" s="20"/>
      <c r="EV243" s="20"/>
      <c r="EW243" s="20"/>
      <c r="EX243" s="20"/>
      <c r="EY243" s="20"/>
      <c r="EZ243" s="20"/>
      <c r="FA243" s="20"/>
      <c r="FB243" s="20"/>
      <c r="FC243" s="20"/>
      <c r="FD243" s="20"/>
      <c r="FE243" s="20"/>
      <c r="FF243" s="20"/>
      <c r="FG243" s="20"/>
      <c r="FH243" s="20"/>
      <c r="FI243" s="20"/>
      <c r="FJ243" s="20"/>
      <c r="FK243" s="20"/>
      <c r="FL243" s="20"/>
      <c r="FM243" s="20"/>
      <c r="FN243" s="20"/>
      <c r="FO243" s="20"/>
      <c r="FP243" s="20"/>
      <c r="FQ243" s="20"/>
      <c r="FR243" s="20"/>
      <c r="FS243" s="20"/>
      <c r="FT243" s="20"/>
      <c r="FU243" s="20"/>
      <c r="FV243" s="20"/>
      <c r="FW243" s="20"/>
      <c r="FX243" s="20"/>
      <c r="FY243" s="20"/>
      <c r="FZ243" s="20"/>
      <c r="GA243" s="20"/>
      <c r="GB243" s="20"/>
      <c r="GC243" s="20"/>
      <c r="GD243" s="20"/>
      <c r="GE243" s="20"/>
      <c r="GF243" s="20"/>
      <c r="GG243" s="20"/>
      <c r="GH243" s="20"/>
      <c r="GI243" s="20"/>
      <c r="GJ243" s="20"/>
      <c r="GK243" s="20"/>
      <c r="GL243" s="20"/>
      <c r="GM243" s="20"/>
      <c r="GN243" s="20"/>
      <c r="GO243" s="20"/>
      <c r="GP243" s="20"/>
      <c r="GQ243" s="20"/>
      <c r="GR243" s="20"/>
      <c r="GS243" s="20"/>
      <c r="GT243" s="20"/>
      <c r="GU243" s="20"/>
      <c r="GV243" s="20"/>
      <c r="GW243" s="20"/>
      <c r="GX243" s="20"/>
      <c r="GY243" s="20"/>
      <c r="GZ243" s="20"/>
      <c r="HA243" s="20"/>
      <c r="HB243" s="20"/>
      <c r="HC243" s="20"/>
      <c r="HD243" s="20"/>
      <c r="HE243" s="20"/>
      <c r="HF243" s="20"/>
      <c r="HG243" s="20"/>
      <c r="HH243" s="20"/>
      <c r="HI243" s="20"/>
      <c r="HJ243" s="20"/>
      <c r="HK243" s="20"/>
      <c r="HL243" s="20"/>
      <c r="HM243" s="20"/>
      <c r="HN243" s="20"/>
      <c r="HO243" s="20"/>
      <c r="HP243" s="20"/>
      <c r="HQ243" s="20"/>
      <c r="HR243" s="20"/>
      <c r="HS243" s="20"/>
      <c r="HT243" s="20"/>
      <c r="HU243" s="20"/>
      <c r="HV243" s="20"/>
      <c r="HW243" s="20"/>
      <c r="HX243" s="20"/>
      <c r="HY243" s="20"/>
      <c r="HZ243" s="20"/>
      <c r="IA243" s="20"/>
      <c r="IB243" s="20"/>
      <c r="IC243" s="20"/>
      <c r="ID243" s="20"/>
      <c r="IE243" s="20"/>
      <c r="IF243" s="20"/>
      <c r="IG243" s="20"/>
      <c r="IH243" s="20"/>
      <c r="II243" s="20"/>
      <c r="IJ243" s="20"/>
      <c r="IK243" s="20"/>
      <c r="IL243" s="20"/>
      <c r="IM243" s="20"/>
      <c r="IN243" s="20"/>
      <c r="IO243" s="20"/>
      <c r="IP243" s="20"/>
      <c r="IQ243" s="20"/>
      <c r="IR243" s="20"/>
      <c r="IS243" s="20"/>
      <c r="IT243" s="20"/>
      <c r="IU243" s="20"/>
      <c r="IV243" s="20"/>
      <c r="IW243" s="20"/>
      <c r="IX243" s="20"/>
      <c r="IY243" s="20"/>
      <c r="IZ243" s="20"/>
      <c r="JA243" s="20"/>
      <c r="JB243" s="20"/>
      <c r="JC243" s="20"/>
      <c r="JD243" s="20"/>
      <c r="JE243" s="20"/>
      <c r="JF243" s="20"/>
      <c r="JG243" s="20"/>
      <c r="JH243" s="20"/>
      <c r="JI243" s="20"/>
    </row>
    <row r="244" spans="1:269">
      <c r="A244" s="61"/>
      <c r="B244" s="20"/>
      <c r="C244" s="20"/>
      <c r="D244" s="27"/>
      <c r="E244" s="27"/>
      <c r="F244" s="27"/>
      <c r="G244" s="18"/>
      <c r="H244" s="27"/>
      <c r="I244" s="27"/>
      <c r="J244" s="18"/>
      <c r="K244" s="27"/>
      <c r="L244" s="27"/>
      <c r="M244" s="18"/>
      <c r="N244" s="27"/>
      <c r="O244" s="27"/>
      <c r="P244" s="18"/>
      <c r="Q244" s="27"/>
      <c r="R244" s="18"/>
      <c r="S244" s="18"/>
      <c r="T244" s="18"/>
      <c r="U244" s="18"/>
      <c r="V244" s="18"/>
      <c r="W244" s="105"/>
      <c r="X244" s="105"/>
      <c r="Y244" s="18"/>
      <c r="Z244" s="105"/>
      <c r="AA244" s="105"/>
      <c r="AB244" s="18"/>
      <c r="AC244" s="105"/>
      <c r="AD244" s="105"/>
      <c r="AE244" s="18"/>
      <c r="AF244" s="105"/>
      <c r="AG244" s="105"/>
      <c r="AH244" s="105"/>
      <c r="AI244" s="105"/>
      <c r="AJ244" s="105"/>
      <c r="AK244" s="105"/>
      <c r="AL244" s="105"/>
      <c r="AM244" s="18"/>
      <c r="AN244" s="105"/>
      <c r="AO244" s="105"/>
      <c r="AP244" s="105"/>
      <c r="AQ244" s="18"/>
      <c r="AR244" s="105"/>
      <c r="AS244" s="105"/>
      <c r="AT244" s="105"/>
      <c r="AU244" s="18"/>
      <c r="AV244" s="105"/>
      <c r="AW244" s="105"/>
      <c r="AX244" s="18"/>
      <c r="AY244" s="105"/>
      <c r="AZ244" s="105"/>
      <c r="BA244" s="105"/>
      <c r="BB244" s="105"/>
      <c r="BC244" s="18"/>
      <c r="BD244" s="89"/>
      <c r="BE244" s="89"/>
      <c r="BF244" s="89"/>
      <c r="BG244" s="89"/>
      <c r="BH244" s="89"/>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c r="DU244" s="20"/>
      <c r="DV244" s="20"/>
      <c r="DW244" s="20"/>
      <c r="DX244" s="20"/>
      <c r="DY244" s="20"/>
      <c r="DZ244" s="20"/>
      <c r="EA244" s="20"/>
      <c r="EB244" s="20"/>
      <c r="EC244" s="20"/>
      <c r="ED244" s="20"/>
      <c r="EE244" s="20"/>
      <c r="EF244" s="20"/>
      <c r="EG244" s="20"/>
      <c r="EH244" s="20"/>
      <c r="EI244" s="20"/>
      <c r="EJ244" s="20"/>
      <c r="EK244" s="20"/>
      <c r="EL244" s="20"/>
      <c r="EM244" s="20"/>
      <c r="EN244" s="20"/>
      <c r="EO244" s="20"/>
      <c r="EP244" s="20"/>
      <c r="EQ244" s="20"/>
      <c r="ER244" s="20"/>
      <c r="ES244" s="20"/>
      <c r="ET244" s="20"/>
      <c r="EU244" s="20"/>
      <c r="EV244" s="20"/>
      <c r="EW244" s="20"/>
      <c r="EX244" s="20"/>
      <c r="EY244" s="20"/>
      <c r="EZ244" s="20"/>
      <c r="FA244" s="20"/>
      <c r="FB244" s="20"/>
      <c r="FC244" s="20"/>
      <c r="FD244" s="20"/>
      <c r="FE244" s="20"/>
      <c r="FF244" s="20"/>
      <c r="FG244" s="20"/>
      <c r="FH244" s="20"/>
      <c r="FI244" s="20"/>
      <c r="FJ244" s="20"/>
      <c r="FK244" s="20"/>
      <c r="FL244" s="20"/>
      <c r="FM244" s="20"/>
      <c r="FN244" s="20"/>
      <c r="FO244" s="20"/>
      <c r="FP244" s="20"/>
      <c r="FQ244" s="20"/>
      <c r="FR244" s="20"/>
      <c r="FS244" s="20"/>
      <c r="FT244" s="20"/>
      <c r="FU244" s="20"/>
      <c r="FV244" s="20"/>
      <c r="FW244" s="20"/>
      <c r="FX244" s="20"/>
      <c r="FY244" s="20"/>
      <c r="FZ244" s="20"/>
      <c r="GA244" s="20"/>
      <c r="GB244" s="20"/>
      <c r="GC244" s="20"/>
      <c r="GD244" s="20"/>
      <c r="GE244" s="20"/>
      <c r="GF244" s="20"/>
      <c r="GG244" s="20"/>
      <c r="GH244" s="20"/>
      <c r="GI244" s="20"/>
      <c r="GJ244" s="20"/>
      <c r="GK244" s="20"/>
      <c r="GL244" s="20"/>
      <c r="GM244" s="20"/>
      <c r="GN244" s="20"/>
      <c r="GO244" s="20"/>
      <c r="GP244" s="20"/>
      <c r="GQ244" s="20"/>
      <c r="GR244" s="20"/>
      <c r="GS244" s="20"/>
      <c r="GT244" s="20"/>
      <c r="GU244" s="20"/>
      <c r="GV244" s="20"/>
      <c r="GW244" s="20"/>
      <c r="GX244" s="20"/>
      <c r="GY244" s="20"/>
      <c r="GZ244" s="20"/>
      <c r="HA244" s="20"/>
      <c r="HB244" s="20"/>
      <c r="HC244" s="20"/>
      <c r="HD244" s="20"/>
      <c r="HE244" s="20"/>
      <c r="HF244" s="20"/>
      <c r="HG244" s="20"/>
      <c r="HH244" s="20"/>
      <c r="HI244" s="20"/>
      <c r="HJ244" s="20"/>
      <c r="HK244" s="20"/>
      <c r="HL244" s="20"/>
      <c r="HM244" s="20"/>
      <c r="HN244" s="20"/>
      <c r="HO244" s="20"/>
      <c r="HP244" s="20"/>
      <c r="HQ244" s="20"/>
      <c r="HR244" s="20"/>
      <c r="HS244" s="20"/>
      <c r="HT244" s="20"/>
      <c r="HU244" s="20"/>
      <c r="HV244" s="20"/>
      <c r="HW244" s="20"/>
      <c r="HX244" s="20"/>
      <c r="HY244" s="20"/>
      <c r="HZ244" s="20"/>
      <c r="IA244" s="20"/>
      <c r="IB244" s="20"/>
      <c r="IC244" s="20"/>
      <c r="ID244" s="20"/>
      <c r="IE244" s="20"/>
      <c r="IF244" s="20"/>
      <c r="IG244" s="20"/>
      <c r="IH244" s="20"/>
      <c r="II244" s="20"/>
      <c r="IJ244" s="20"/>
      <c r="IK244" s="20"/>
      <c r="IL244" s="20"/>
      <c r="IM244" s="20"/>
      <c r="IN244" s="20"/>
      <c r="IO244" s="20"/>
      <c r="IP244" s="20"/>
      <c r="IQ244" s="20"/>
      <c r="IR244" s="20"/>
      <c r="IS244" s="20"/>
      <c r="IT244" s="20"/>
      <c r="IU244" s="20"/>
      <c r="IV244" s="20"/>
      <c r="IW244" s="20"/>
      <c r="IX244" s="20"/>
      <c r="IY244" s="20"/>
      <c r="IZ244" s="20"/>
      <c r="JA244" s="20"/>
      <c r="JB244" s="20"/>
      <c r="JC244" s="20"/>
      <c r="JD244" s="20"/>
      <c r="JE244" s="20"/>
      <c r="JF244" s="20"/>
      <c r="JG244" s="20"/>
      <c r="JH244" s="20"/>
      <c r="JI244" s="20"/>
    </row>
    <row r="245" spans="1:269">
      <c r="A245" s="61" ph="1"/>
      <c r="B245" s="20" ph="1"/>
      <c r="C245" s="20" ph="1"/>
      <c r="D245" s="27" ph="1"/>
      <c r="E245" s="27" ph="1"/>
      <c r="F245" s="27" ph="1"/>
      <c r="G245" s="18" ph="1"/>
      <c r="H245" s="27" ph="1"/>
      <c r="I245" s="27" ph="1"/>
      <c r="J245" s="18" ph="1"/>
      <c r="K245" s="27" ph="1"/>
      <c r="L245" s="27" ph="1"/>
      <c r="M245" s="18" ph="1"/>
      <c r="N245" s="27" ph="1"/>
      <c r="O245" s="27" ph="1"/>
      <c r="P245" s="18" ph="1"/>
      <c r="Q245" s="27" ph="1"/>
      <c r="R245" s="18" ph="1"/>
      <c r="S245" s="18" ph="1"/>
      <c r="T245" s="18" ph="1"/>
      <c r="U245" s="18" ph="1"/>
      <c r="V245" s="18" ph="1"/>
      <c r="W245" s="105" ph="1"/>
      <c r="X245" s="105" ph="1"/>
      <c r="Y245" s="18" ph="1"/>
      <c r="Z245" s="105" ph="1"/>
      <c r="AA245" s="105" ph="1"/>
      <c r="AB245" s="18" ph="1"/>
      <c r="AC245" s="105" ph="1"/>
      <c r="AD245" s="105" ph="1"/>
      <c r="AE245" s="18" ph="1"/>
      <c r="AF245" s="105" ph="1"/>
      <c r="AG245" s="105" ph="1"/>
      <c r="AH245" s="105" ph="1"/>
      <c r="AI245" s="105" ph="1"/>
      <c r="AJ245" s="105" ph="1"/>
      <c r="AK245" s="105" ph="1"/>
      <c r="AL245" s="105" ph="1"/>
      <c r="AM245" s="18" ph="1"/>
      <c r="AN245" s="105" ph="1"/>
      <c r="AO245" s="105" ph="1"/>
      <c r="AP245" s="105" ph="1"/>
      <c r="AQ245" s="18" ph="1"/>
      <c r="AR245" s="105" ph="1"/>
      <c r="AS245" s="105" ph="1"/>
      <c r="AT245" s="105" ph="1"/>
      <c r="AU245" s="18" ph="1"/>
      <c r="AV245" s="105" ph="1"/>
      <c r="AW245" s="105" ph="1"/>
      <c r="AX245" s="18" ph="1"/>
      <c r="AY245" s="105" ph="1"/>
      <c r="AZ245" s="105" ph="1"/>
      <c r="BA245" s="105" ph="1"/>
      <c r="BB245" s="105" ph="1"/>
      <c r="BC245" s="18" ph="1"/>
      <c r="BD245" s="89"/>
      <c r="BE245" s="89"/>
      <c r="BF245" s="89"/>
      <c r="BG245" s="89"/>
      <c r="BH245" s="89"/>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c r="DU245" s="20"/>
      <c r="DV245" s="20"/>
      <c r="DW245" s="20"/>
      <c r="DX245" s="20"/>
      <c r="DY245" s="20"/>
      <c r="DZ245" s="20"/>
      <c r="EA245" s="20"/>
      <c r="EB245" s="20"/>
      <c r="EC245" s="20"/>
      <c r="ED245" s="20"/>
      <c r="EE245" s="20"/>
      <c r="EF245" s="20"/>
      <c r="EG245" s="20"/>
      <c r="EH245" s="20"/>
      <c r="EI245" s="20"/>
      <c r="EJ245" s="20"/>
      <c r="EK245" s="20"/>
      <c r="EL245" s="20"/>
      <c r="EM245" s="20"/>
      <c r="EN245" s="20"/>
      <c r="EO245" s="20"/>
      <c r="EP245" s="20"/>
      <c r="EQ245" s="20"/>
      <c r="ER245" s="20"/>
      <c r="ES245" s="20"/>
      <c r="ET245" s="20"/>
      <c r="EU245" s="20"/>
      <c r="EV245" s="20"/>
      <c r="EW245" s="20"/>
      <c r="EX245" s="20"/>
      <c r="EY245" s="20"/>
      <c r="EZ245" s="20"/>
      <c r="FA245" s="20"/>
      <c r="FB245" s="20"/>
      <c r="FC245" s="20"/>
      <c r="FD245" s="20"/>
      <c r="FE245" s="20"/>
      <c r="FF245" s="20"/>
      <c r="FG245" s="20"/>
      <c r="FH245" s="20"/>
      <c r="FI245" s="20"/>
      <c r="FJ245" s="20"/>
      <c r="FK245" s="20"/>
      <c r="FL245" s="20"/>
      <c r="FM245" s="20"/>
      <c r="FN245" s="20"/>
      <c r="FO245" s="20"/>
      <c r="FP245" s="20"/>
      <c r="FQ245" s="20"/>
      <c r="FR245" s="20"/>
      <c r="FS245" s="20"/>
      <c r="FT245" s="20"/>
      <c r="FU245" s="20"/>
      <c r="FV245" s="20"/>
      <c r="FW245" s="20"/>
      <c r="FX245" s="20"/>
      <c r="FY245" s="20"/>
      <c r="FZ245" s="20"/>
      <c r="GA245" s="20"/>
      <c r="GB245" s="20"/>
      <c r="GC245" s="20"/>
      <c r="GD245" s="20"/>
      <c r="GE245" s="20"/>
      <c r="GF245" s="20"/>
      <c r="GG245" s="20"/>
      <c r="GH245" s="20"/>
      <c r="GI245" s="20"/>
      <c r="GJ245" s="20"/>
      <c r="GK245" s="20"/>
      <c r="GL245" s="20"/>
      <c r="GM245" s="20"/>
      <c r="GN245" s="20"/>
      <c r="GO245" s="20"/>
      <c r="GP245" s="20"/>
      <c r="GQ245" s="20"/>
      <c r="GR245" s="20"/>
      <c r="GS245" s="20"/>
      <c r="GT245" s="20"/>
      <c r="GU245" s="20"/>
      <c r="GV245" s="20"/>
      <c r="GW245" s="20"/>
      <c r="GX245" s="20"/>
      <c r="GY245" s="20"/>
      <c r="GZ245" s="20"/>
      <c r="HA245" s="20"/>
      <c r="HB245" s="20"/>
      <c r="HC245" s="20"/>
      <c r="HD245" s="20"/>
      <c r="HE245" s="20"/>
      <c r="HF245" s="20"/>
      <c r="HG245" s="20"/>
      <c r="HH245" s="20"/>
      <c r="HI245" s="20"/>
      <c r="HJ245" s="20"/>
      <c r="HK245" s="20"/>
      <c r="HL245" s="20"/>
      <c r="HM245" s="20"/>
      <c r="HN245" s="20"/>
      <c r="HO245" s="20"/>
      <c r="HP245" s="20"/>
      <c r="HQ245" s="20"/>
      <c r="HR245" s="20"/>
      <c r="HS245" s="20"/>
      <c r="HT245" s="20"/>
      <c r="HU245" s="20"/>
      <c r="HV245" s="20"/>
      <c r="HW245" s="20"/>
      <c r="HX245" s="20"/>
      <c r="HY245" s="20"/>
      <c r="HZ245" s="20"/>
      <c r="IA245" s="20"/>
      <c r="IB245" s="20"/>
      <c r="IC245" s="20"/>
      <c r="ID245" s="20"/>
      <c r="IE245" s="20"/>
      <c r="IF245" s="20"/>
      <c r="IG245" s="20"/>
      <c r="IH245" s="20"/>
      <c r="II245" s="20"/>
      <c r="IJ245" s="20"/>
      <c r="IK245" s="20"/>
      <c r="IL245" s="20"/>
      <c r="IM245" s="20"/>
      <c r="IN245" s="20"/>
      <c r="IO245" s="20"/>
      <c r="IP245" s="20"/>
      <c r="IQ245" s="20"/>
      <c r="IR245" s="20"/>
      <c r="IS245" s="20"/>
      <c r="IT245" s="20"/>
      <c r="IU245" s="20"/>
      <c r="IV245" s="20"/>
      <c r="IW245" s="20"/>
      <c r="IX245" s="20"/>
      <c r="IY245" s="20"/>
      <c r="IZ245" s="20"/>
      <c r="JA245" s="20"/>
      <c r="JB245" s="20"/>
      <c r="JC245" s="20"/>
      <c r="JD245" s="20"/>
      <c r="JE245" s="20"/>
      <c r="JF245" s="20"/>
      <c r="JG245" s="20"/>
      <c r="JH245" s="20"/>
      <c r="JI245" s="20"/>
    </row>
    <row r="246" spans="1:269">
      <c r="A246" s="61"/>
      <c r="B246" s="20"/>
      <c r="C246" s="20"/>
      <c r="D246" s="27"/>
      <c r="E246" s="27"/>
      <c r="F246" s="27"/>
      <c r="G246" s="18"/>
      <c r="H246" s="27"/>
      <c r="I246" s="27"/>
      <c r="J246" s="18"/>
      <c r="K246" s="27"/>
      <c r="L246" s="27"/>
      <c r="M246" s="18"/>
      <c r="N246" s="27"/>
      <c r="O246" s="27"/>
      <c r="P246" s="18"/>
      <c r="Q246" s="27"/>
      <c r="R246" s="18"/>
      <c r="S246" s="18"/>
      <c r="T246" s="18"/>
      <c r="U246" s="18"/>
      <c r="V246" s="18"/>
      <c r="W246" s="105"/>
      <c r="X246" s="105"/>
      <c r="Y246" s="18"/>
      <c r="Z246" s="105"/>
      <c r="AA246" s="105"/>
      <c r="AB246" s="18"/>
      <c r="AC246" s="105"/>
      <c r="AD246" s="105"/>
      <c r="AE246" s="18"/>
      <c r="AF246" s="105"/>
      <c r="AG246" s="105"/>
      <c r="AH246" s="105"/>
      <c r="AI246" s="105"/>
      <c r="AJ246" s="105"/>
      <c r="AK246" s="105"/>
      <c r="AL246" s="105"/>
      <c r="AM246" s="18"/>
      <c r="AN246" s="105"/>
      <c r="AO246" s="105"/>
      <c r="AP246" s="105"/>
      <c r="AQ246" s="18"/>
      <c r="AR246" s="105"/>
      <c r="AS246" s="105"/>
      <c r="AT246" s="105"/>
      <c r="AU246" s="18"/>
      <c r="AV246" s="105"/>
      <c r="AW246" s="105"/>
      <c r="AX246" s="18"/>
      <c r="AY246" s="105"/>
      <c r="AZ246" s="105"/>
      <c r="BA246" s="105"/>
      <c r="BB246" s="105"/>
      <c r="BC246" s="18"/>
      <c r="BD246" s="89"/>
      <c r="BE246" s="89"/>
      <c r="BF246" s="89"/>
      <c r="BG246" s="89"/>
      <c r="BH246" s="89"/>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c r="DU246" s="20"/>
      <c r="DV246" s="20"/>
      <c r="DW246" s="20"/>
      <c r="DX246" s="20"/>
      <c r="DY246" s="20"/>
      <c r="DZ246" s="20"/>
      <c r="EA246" s="20"/>
      <c r="EB246" s="20"/>
      <c r="EC246" s="20"/>
      <c r="ED246" s="20"/>
      <c r="EE246" s="20"/>
      <c r="EF246" s="20"/>
      <c r="EG246" s="20"/>
      <c r="EH246" s="20"/>
      <c r="EI246" s="20"/>
      <c r="EJ246" s="20"/>
      <c r="EK246" s="20"/>
      <c r="EL246" s="20"/>
      <c r="EM246" s="20"/>
      <c r="EN246" s="20"/>
      <c r="EO246" s="20"/>
      <c r="EP246" s="20"/>
      <c r="EQ246" s="20"/>
      <c r="ER246" s="20"/>
      <c r="ES246" s="20"/>
      <c r="ET246" s="20"/>
      <c r="EU246" s="20"/>
      <c r="EV246" s="20"/>
      <c r="EW246" s="20"/>
      <c r="EX246" s="20"/>
      <c r="EY246" s="20"/>
      <c r="EZ246" s="20"/>
      <c r="FA246" s="20"/>
      <c r="FB246" s="20"/>
      <c r="FC246" s="20"/>
      <c r="FD246" s="20"/>
      <c r="FE246" s="20"/>
      <c r="FF246" s="20"/>
      <c r="FG246" s="20"/>
      <c r="FH246" s="20"/>
      <c r="FI246" s="20"/>
      <c r="FJ246" s="20"/>
      <c r="FK246" s="20"/>
      <c r="FL246" s="20"/>
      <c r="FM246" s="20"/>
      <c r="FN246" s="20"/>
      <c r="FO246" s="20"/>
      <c r="FP246" s="20"/>
      <c r="FQ246" s="20"/>
      <c r="FR246" s="20"/>
      <c r="FS246" s="20"/>
      <c r="FT246" s="20"/>
      <c r="FU246" s="20"/>
      <c r="FV246" s="20"/>
      <c r="FW246" s="20"/>
      <c r="FX246" s="20"/>
      <c r="FY246" s="20"/>
      <c r="FZ246" s="20"/>
      <c r="GA246" s="20"/>
      <c r="GB246" s="20"/>
      <c r="GC246" s="20"/>
      <c r="GD246" s="20"/>
      <c r="GE246" s="20"/>
      <c r="GF246" s="20"/>
      <c r="GG246" s="20"/>
      <c r="GH246" s="20"/>
      <c r="GI246" s="20"/>
      <c r="GJ246" s="20"/>
      <c r="GK246" s="20"/>
      <c r="GL246" s="20"/>
      <c r="GM246" s="20"/>
      <c r="GN246" s="20"/>
      <c r="GO246" s="20"/>
      <c r="GP246" s="20"/>
      <c r="GQ246" s="20"/>
      <c r="GR246" s="20"/>
      <c r="GS246" s="20"/>
      <c r="GT246" s="20"/>
      <c r="GU246" s="20"/>
      <c r="GV246" s="20"/>
      <c r="GW246" s="20"/>
      <c r="GX246" s="20"/>
      <c r="GY246" s="20"/>
      <c r="GZ246" s="20"/>
      <c r="HA246" s="20"/>
      <c r="HB246" s="20"/>
      <c r="HC246" s="20"/>
      <c r="HD246" s="20"/>
      <c r="HE246" s="20"/>
      <c r="HF246" s="20"/>
      <c r="HG246" s="20"/>
      <c r="HH246" s="20"/>
      <c r="HI246" s="20"/>
      <c r="HJ246" s="20"/>
      <c r="HK246" s="20"/>
      <c r="HL246" s="20"/>
      <c r="HM246" s="20"/>
      <c r="HN246" s="20"/>
      <c r="HO246" s="20"/>
      <c r="HP246" s="20"/>
      <c r="HQ246" s="20"/>
      <c r="HR246" s="20"/>
      <c r="HS246" s="20"/>
      <c r="HT246" s="20"/>
      <c r="HU246" s="20"/>
      <c r="HV246" s="20"/>
      <c r="HW246" s="20"/>
      <c r="HX246" s="20"/>
      <c r="HY246" s="20"/>
      <c r="HZ246" s="20"/>
      <c r="IA246" s="20"/>
      <c r="IB246" s="20"/>
      <c r="IC246" s="20"/>
      <c r="ID246" s="20"/>
      <c r="IE246" s="20"/>
      <c r="IF246" s="20"/>
      <c r="IG246" s="20"/>
      <c r="IH246" s="20"/>
      <c r="II246" s="20"/>
      <c r="IJ246" s="20"/>
      <c r="IK246" s="20"/>
      <c r="IL246" s="20"/>
      <c r="IM246" s="20"/>
      <c r="IN246" s="20"/>
      <c r="IO246" s="20"/>
      <c r="IP246" s="20"/>
      <c r="IQ246" s="20"/>
      <c r="IR246" s="20"/>
      <c r="IS246" s="20"/>
      <c r="IT246" s="20"/>
      <c r="IU246" s="20"/>
      <c r="IV246" s="20"/>
      <c r="IW246" s="20"/>
      <c r="IX246" s="20"/>
      <c r="IY246" s="20"/>
      <c r="IZ246" s="20"/>
      <c r="JA246" s="20"/>
      <c r="JB246" s="20"/>
      <c r="JC246" s="20"/>
      <c r="JD246" s="20"/>
      <c r="JE246" s="20"/>
      <c r="JF246" s="20"/>
      <c r="JG246" s="20"/>
      <c r="JH246" s="20"/>
      <c r="JI246" s="20"/>
    </row>
    <row r="247" spans="1:269">
      <c r="A247" s="61"/>
      <c r="B247" s="20"/>
      <c r="C247" s="20"/>
      <c r="D247" s="27"/>
      <c r="E247" s="27"/>
      <c r="F247" s="27"/>
      <c r="G247" s="18"/>
      <c r="H247" s="27"/>
      <c r="I247" s="27"/>
      <c r="J247" s="18"/>
      <c r="K247" s="27"/>
      <c r="L247" s="27"/>
      <c r="M247" s="18"/>
      <c r="N247" s="27"/>
      <c r="O247" s="27"/>
      <c r="P247" s="18"/>
      <c r="Q247" s="27"/>
      <c r="R247" s="18"/>
      <c r="S247" s="18"/>
      <c r="T247" s="18"/>
      <c r="U247" s="18"/>
      <c r="V247" s="18"/>
      <c r="W247" s="105"/>
      <c r="X247" s="105"/>
      <c r="Y247" s="18"/>
      <c r="Z247" s="105"/>
      <c r="AA247" s="105"/>
      <c r="AB247" s="18"/>
      <c r="AC247" s="105"/>
      <c r="AD247" s="105"/>
      <c r="AE247" s="18"/>
      <c r="AF247" s="105"/>
      <c r="AG247" s="105"/>
      <c r="AH247" s="105"/>
      <c r="AI247" s="105"/>
      <c r="AJ247" s="105"/>
      <c r="AK247" s="105"/>
      <c r="AL247" s="105"/>
      <c r="AM247" s="18"/>
      <c r="AN247" s="105"/>
      <c r="AO247" s="105"/>
      <c r="AP247" s="105"/>
      <c r="AQ247" s="18"/>
      <c r="AR247" s="105"/>
      <c r="AS247" s="105"/>
      <c r="AT247" s="105"/>
      <c r="AU247" s="18"/>
      <c r="AV247" s="105"/>
      <c r="AW247" s="105"/>
      <c r="AX247" s="18"/>
      <c r="AY247" s="105"/>
      <c r="AZ247" s="105"/>
      <c r="BA247" s="105"/>
      <c r="BB247" s="105"/>
      <c r="BC247" s="18"/>
      <c r="BD247" s="89"/>
      <c r="BE247" s="89"/>
      <c r="BF247" s="89"/>
      <c r="BG247" s="89"/>
      <c r="BH247" s="89"/>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c r="DU247" s="20"/>
      <c r="DV247" s="20"/>
      <c r="DW247" s="20"/>
      <c r="DX247" s="20"/>
      <c r="DY247" s="20"/>
      <c r="DZ247" s="20"/>
      <c r="EA247" s="20"/>
      <c r="EB247" s="20"/>
      <c r="EC247" s="20"/>
      <c r="ED247" s="20"/>
      <c r="EE247" s="20"/>
      <c r="EF247" s="20"/>
      <c r="EG247" s="20"/>
      <c r="EH247" s="20"/>
      <c r="EI247" s="20"/>
      <c r="EJ247" s="20"/>
      <c r="EK247" s="20"/>
      <c r="EL247" s="20"/>
      <c r="EM247" s="20"/>
      <c r="EN247" s="20"/>
      <c r="EO247" s="20"/>
      <c r="EP247" s="20"/>
      <c r="EQ247" s="20"/>
      <c r="ER247" s="20"/>
      <c r="ES247" s="20"/>
      <c r="ET247" s="20"/>
      <c r="EU247" s="20"/>
      <c r="EV247" s="20"/>
      <c r="EW247" s="20"/>
      <c r="EX247" s="20"/>
      <c r="EY247" s="20"/>
      <c r="EZ247" s="20"/>
      <c r="FA247" s="20"/>
      <c r="FB247" s="20"/>
      <c r="FC247" s="20"/>
      <c r="FD247" s="20"/>
      <c r="FE247" s="20"/>
      <c r="FF247" s="20"/>
      <c r="FG247" s="20"/>
      <c r="FH247" s="20"/>
      <c r="FI247" s="20"/>
      <c r="FJ247" s="20"/>
      <c r="FK247" s="20"/>
      <c r="FL247" s="20"/>
      <c r="FM247" s="20"/>
      <c r="FN247" s="20"/>
      <c r="FO247" s="20"/>
      <c r="FP247" s="20"/>
      <c r="FQ247" s="20"/>
      <c r="FR247" s="20"/>
      <c r="FS247" s="20"/>
      <c r="FT247" s="20"/>
      <c r="FU247" s="20"/>
      <c r="FV247" s="20"/>
      <c r="FW247" s="20"/>
      <c r="FX247" s="20"/>
      <c r="FY247" s="20"/>
      <c r="FZ247" s="20"/>
      <c r="GA247" s="20"/>
      <c r="GB247" s="20"/>
      <c r="GC247" s="20"/>
      <c r="GD247" s="20"/>
      <c r="GE247" s="20"/>
      <c r="GF247" s="20"/>
      <c r="GG247" s="20"/>
      <c r="GH247" s="20"/>
      <c r="GI247" s="20"/>
      <c r="GJ247" s="20"/>
      <c r="GK247" s="20"/>
      <c r="GL247" s="20"/>
      <c r="GM247" s="20"/>
      <c r="GN247" s="20"/>
      <c r="GO247" s="20"/>
      <c r="GP247" s="20"/>
      <c r="GQ247" s="20"/>
      <c r="GR247" s="20"/>
      <c r="GS247" s="20"/>
      <c r="GT247" s="20"/>
      <c r="GU247" s="20"/>
      <c r="GV247" s="20"/>
      <c r="GW247" s="20"/>
      <c r="GX247" s="20"/>
      <c r="GY247" s="20"/>
      <c r="GZ247" s="20"/>
      <c r="HA247" s="20"/>
      <c r="HB247" s="20"/>
      <c r="HC247" s="20"/>
      <c r="HD247" s="20"/>
      <c r="HE247" s="20"/>
      <c r="HF247" s="20"/>
      <c r="HG247" s="20"/>
      <c r="HH247" s="20"/>
      <c r="HI247" s="20"/>
      <c r="HJ247" s="20"/>
      <c r="HK247" s="20"/>
      <c r="HL247" s="20"/>
      <c r="HM247" s="20"/>
      <c r="HN247" s="20"/>
      <c r="HO247" s="20"/>
      <c r="HP247" s="20"/>
      <c r="HQ247" s="20"/>
      <c r="HR247" s="20"/>
      <c r="HS247" s="20"/>
      <c r="HT247" s="20"/>
      <c r="HU247" s="20"/>
      <c r="HV247" s="20"/>
      <c r="HW247" s="20"/>
      <c r="HX247" s="20"/>
      <c r="HY247" s="20"/>
      <c r="HZ247" s="20"/>
      <c r="IA247" s="20"/>
      <c r="IB247" s="20"/>
      <c r="IC247" s="20"/>
      <c r="ID247" s="20"/>
      <c r="IE247" s="20"/>
      <c r="IF247" s="20"/>
      <c r="IG247" s="20"/>
      <c r="IH247" s="20"/>
      <c r="II247" s="20"/>
      <c r="IJ247" s="20"/>
      <c r="IK247" s="20"/>
      <c r="IL247" s="20"/>
      <c r="IM247" s="20"/>
      <c r="IN247" s="20"/>
      <c r="IO247" s="20"/>
      <c r="IP247" s="20"/>
      <c r="IQ247" s="20"/>
      <c r="IR247" s="20"/>
      <c r="IS247" s="20"/>
      <c r="IT247" s="20"/>
      <c r="IU247" s="20"/>
      <c r="IV247" s="20"/>
      <c r="IW247" s="20"/>
      <c r="IX247" s="20"/>
      <c r="IY247" s="20"/>
      <c r="IZ247" s="20"/>
      <c r="JA247" s="20"/>
      <c r="JB247" s="20"/>
      <c r="JC247" s="20"/>
      <c r="JD247" s="20"/>
      <c r="JE247" s="20"/>
      <c r="JF247" s="20"/>
      <c r="JG247" s="20"/>
      <c r="JH247" s="20"/>
      <c r="JI247" s="20"/>
    </row>
    <row r="248" spans="1:269">
      <c r="A248" s="61"/>
      <c r="B248" s="20"/>
      <c r="C248" s="20"/>
      <c r="D248" s="27"/>
      <c r="E248" s="27"/>
      <c r="F248" s="27"/>
      <c r="G248" s="18"/>
      <c r="H248" s="27"/>
      <c r="I248" s="27"/>
      <c r="J248" s="18"/>
      <c r="K248" s="27"/>
      <c r="L248" s="27"/>
      <c r="M248" s="18"/>
      <c r="N248" s="27"/>
      <c r="O248" s="27"/>
      <c r="P248" s="18"/>
      <c r="Q248" s="27"/>
      <c r="R248" s="18"/>
      <c r="S248" s="18"/>
      <c r="T248" s="18"/>
      <c r="U248" s="18"/>
      <c r="V248" s="18"/>
      <c r="W248" s="105"/>
      <c r="X248" s="105"/>
      <c r="Y248" s="18"/>
      <c r="Z248" s="105"/>
      <c r="AA248" s="105"/>
      <c r="AB248" s="18"/>
      <c r="AC248" s="105"/>
      <c r="AD248" s="105"/>
      <c r="AE248" s="18"/>
      <c r="AF248" s="105"/>
      <c r="AG248" s="105"/>
      <c r="AH248" s="105"/>
      <c r="AI248" s="105"/>
      <c r="AJ248" s="105"/>
      <c r="AK248" s="105"/>
      <c r="AL248" s="105"/>
      <c r="AM248" s="18"/>
      <c r="AN248" s="105"/>
      <c r="AO248" s="105"/>
      <c r="AP248" s="105"/>
      <c r="AQ248" s="18"/>
      <c r="AR248" s="105"/>
      <c r="AS248" s="105"/>
      <c r="AT248" s="105"/>
      <c r="AU248" s="18"/>
      <c r="AV248" s="105"/>
      <c r="AW248" s="105"/>
      <c r="AX248" s="18"/>
      <c r="AY248" s="105"/>
      <c r="AZ248" s="105"/>
      <c r="BA248" s="105"/>
      <c r="BB248" s="105"/>
      <c r="BC248" s="18"/>
      <c r="BD248" s="89"/>
      <c r="BE248" s="89"/>
      <c r="BF248" s="89"/>
      <c r="BG248" s="89"/>
      <c r="BH248" s="89"/>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c r="DU248" s="20"/>
      <c r="DV248" s="20"/>
      <c r="DW248" s="20"/>
      <c r="DX248" s="20"/>
      <c r="DY248" s="20"/>
      <c r="DZ248" s="20"/>
      <c r="EA248" s="20"/>
      <c r="EB248" s="20"/>
      <c r="EC248" s="20"/>
      <c r="ED248" s="20"/>
      <c r="EE248" s="20"/>
      <c r="EF248" s="20"/>
      <c r="EG248" s="20"/>
      <c r="EH248" s="20"/>
      <c r="EI248" s="20"/>
      <c r="EJ248" s="20"/>
      <c r="EK248" s="20"/>
      <c r="EL248" s="20"/>
      <c r="EM248" s="20"/>
      <c r="EN248" s="20"/>
      <c r="EO248" s="20"/>
      <c r="EP248" s="20"/>
      <c r="EQ248" s="20"/>
      <c r="ER248" s="20"/>
      <c r="ES248" s="20"/>
      <c r="ET248" s="20"/>
      <c r="EU248" s="20"/>
      <c r="EV248" s="20"/>
      <c r="EW248" s="20"/>
      <c r="EX248" s="20"/>
      <c r="EY248" s="20"/>
      <c r="EZ248" s="20"/>
      <c r="FA248" s="20"/>
      <c r="FB248" s="20"/>
      <c r="FC248" s="20"/>
      <c r="FD248" s="20"/>
      <c r="FE248" s="20"/>
      <c r="FF248" s="20"/>
      <c r="FG248" s="20"/>
      <c r="FH248" s="20"/>
      <c r="FI248" s="20"/>
      <c r="FJ248" s="20"/>
      <c r="FK248" s="20"/>
      <c r="FL248" s="20"/>
      <c r="FM248" s="20"/>
      <c r="FN248" s="20"/>
      <c r="FO248" s="20"/>
      <c r="FP248" s="20"/>
      <c r="FQ248" s="20"/>
      <c r="FR248" s="20"/>
      <c r="FS248" s="20"/>
      <c r="FT248" s="20"/>
      <c r="FU248" s="20"/>
      <c r="FV248" s="20"/>
      <c r="FW248" s="20"/>
      <c r="FX248" s="20"/>
      <c r="FY248" s="20"/>
      <c r="FZ248" s="20"/>
      <c r="GA248" s="20"/>
      <c r="GB248" s="20"/>
      <c r="GC248" s="20"/>
      <c r="GD248" s="20"/>
      <c r="GE248" s="20"/>
      <c r="GF248" s="20"/>
      <c r="GG248" s="20"/>
      <c r="GH248" s="20"/>
      <c r="GI248" s="20"/>
      <c r="GJ248" s="20"/>
      <c r="GK248" s="20"/>
      <c r="GL248" s="20"/>
      <c r="GM248" s="20"/>
      <c r="GN248" s="20"/>
      <c r="GO248" s="20"/>
      <c r="GP248" s="20"/>
      <c r="GQ248" s="20"/>
      <c r="GR248" s="20"/>
      <c r="GS248" s="20"/>
      <c r="GT248" s="20"/>
      <c r="GU248" s="20"/>
      <c r="GV248" s="20"/>
      <c r="GW248" s="20"/>
      <c r="GX248" s="20"/>
      <c r="GY248" s="20"/>
      <c r="GZ248" s="20"/>
      <c r="HA248" s="20"/>
      <c r="HB248" s="20"/>
      <c r="HC248" s="20"/>
      <c r="HD248" s="20"/>
      <c r="HE248" s="20"/>
      <c r="HF248" s="20"/>
      <c r="HG248" s="20"/>
      <c r="HH248" s="20"/>
      <c r="HI248" s="20"/>
      <c r="HJ248" s="20"/>
      <c r="HK248" s="20"/>
      <c r="HL248" s="20"/>
      <c r="HM248" s="20"/>
      <c r="HN248" s="20"/>
      <c r="HO248" s="20"/>
      <c r="HP248" s="20"/>
      <c r="HQ248" s="20"/>
      <c r="HR248" s="20"/>
      <c r="HS248" s="20"/>
      <c r="HT248" s="20"/>
      <c r="HU248" s="20"/>
      <c r="HV248" s="20"/>
      <c r="HW248" s="20"/>
      <c r="HX248" s="20"/>
      <c r="HY248" s="20"/>
      <c r="HZ248" s="20"/>
      <c r="IA248" s="20"/>
      <c r="IB248" s="20"/>
      <c r="IC248" s="20"/>
      <c r="ID248" s="20"/>
      <c r="IE248" s="20"/>
      <c r="IF248" s="20"/>
      <c r="IG248" s="20"/>
      <c r="IH248" s="20"/>
      <c r="II248" s="20"/>
      <c r="IJ248" s="20"/>
      <c r="IK248" s="20"/>
      <c r="IL248" s="20"/>
      <c r="IM248" s="20"/>
      <c r="IN248" s="20"/>
      <c r="IO248" s="20"/>
      <c r="IP248" s="20"/>
      <c r="IQ248" s="20"/>
      <c r="IR248" s="20"/>
      <c r="IS248" s="20"/>
      <c r="IT248" s="20"/>
      <c r="IU248" s="20"/>
      <c r="IV248" s="20"/>
      <c r="IW248" s="20"/>
      <c r="IX248" s="20"/>
      <c r="IY248" s="20"/>
      <c r="IZ248" s="20"/>
      <c r="JA248" s="20"/>
      <c r="JB248" s="20"/>
      <c r="JC248" s="20"/>
      <c r="JD248" s="20"/>
      <c r="JE248" s="20"/>
      <c r="JF248" s="20"/>
      <c r="JG248" s="20"/>
      <c r="JH248" s="20"/>
      <c r="JI248" s="20"/>
    </row>
    <row r="249" spans="1:269">
      <c r="A249" s="61"/>
      <c r="B249" s="20"/>
      <c r="C249" s="20"/>
      <c r="D249" s="27"/>
      <c r="E249" s="27"/>
      <c r="F249" s="27"/>
      <c r="G249" s="18"/>
      <c r="H249" s="27"/>
      <c r="I249" s="27"/>
      <c r="J249" s="18"/>
      <c r="K249" s="27"/>
      <c r="L249" s="27"/>
      <c r="M249" s="18"/>
      <c r="N249" s="27"/>
      <c r="O249" s="27"/>
      <c r="P249" s="18"/>
      <c r="Q249" s="27"/>
      <c r="R249" s="18"/>
      <c r="S249" s="18"/>
      <c r="T249" s="18"/>
      <c r="U249" s="18"/>
      <c r="V249" s="18"/>
      <c r="W249" s="105"/>
      <c r="X249" s="105"/>
      <c r="Y249" s="18"/>
      <c r="Z249" s="105"/>
      <c r="AA249" s="105"/>
      <c r="AB249" s="18"/>
      <c r="AC249" s="105"/>
      <c r="AD249" s="105"/>
      <c r="AE249" s="18"/>
      <c r="AF249" s="105"/>
      <c r="AG249" s="105"/>
      <c r="AH249" s="105"/>
      <c r="AI249" s="105"/>
      <c r="AJ249" s="105"/>
      <c r="AK249" s="105"/>
      <c r="AL249" s="105"/>
      <c r="AM249" s="18"/>
      <c r="AN249" s="105"/>
      <c r="AO249" s="105"/>
      <c r="AP249" s="105"/>
      <c r="AQ249" s="18"/>
      <c r="AR249" s="105"/>
      <c r="AS249" s="105"/>
      <c r="AT249" s="105"/>
      <c r="AU249" s="18"/>
      <c r="AV249" s="105"/>
      <c r="AW249" s="105"/>
      <c r="AX249" s="18"/>
      <c r="AY249" s="105"/>
      <c r="AZ249" s="105"/>
      <c r="BA249" s="105"/>
      <c r="BB249" s="105"/>
      <c r="BC249" s="18"/>
      <c r="BD249" s="89"/>
      <c r="BE249" s="89"/>
      <c r="BF249" s="89"/>
      <c r="BG249" s="89"/>
      <c r="BH249" s="89"/>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c r="DU249" s="20"/>
      <c r="DV249" s="20"/>
      <c r="DW249" s="20"/>
      <c r="DX249" s="20"/>
      <c r="DY249" s="20"/>
      <c r="DZ249" s="20"/>
      <c r="EA249" s="20"/>
      <c r="EB249" s="20"/>
      <c r="EC249" s="20"/>
      <c r="ED249" s="20"/>
      <c r="EE249" s="20"/>
      <c r="EF249" s="20"/>
      <c r="EG249" s="20"/>
      <c r="EH249" s="20"/>
      <c r="EI249" s="20"/>
      <c r="EJ249" s="20"/>
      <c r="EK249" s="20"/>
      <c r="EL249" s="20"/>
      <c r="EM249" s="20"/>
      <c r="EN249" s="20"/>
      <c r="EO249" s="20"/>
      <c r="EP249" s="20"/>
      <c r="EQ249" s="20"/>
      <c r="ER249" s="20"/>
      <c r="ES249" s="20"/>
      <c r="ET249" s="20"/>
      <c r="EU249" s="20"/>
      <c r="EV249" s="20"/>
      <c r="EW249" s="20"/>
      <c r="EX249" s="20"/>
      <c r="EY249" s="20"/>
      <c r="EZ249" s="20"/>
      <c r="FA249" s="20"/>
      <c r="FB249" s="20"/>
      <c r="FC249" s="20"/>
      <c r="FD249" s="20"/>
      <c r="FE249" s="20"/>
      <c r="FF249" s="20"/>
      <c r="FG249" s="20"/>
      <c r="FH249" s="20"/>
      <c r="FI249" s="20"/>
      <c r="FJ249" s="20"/>
      <c r="FK249" s="20"/>
      <c r="FL249" s="20"/>
      <c r="FM249" s="20"/>
      <c r="FN249" s="20"/>
      <c r="FO249" s="20"/>
      <c r="FP249" s="20"/>
      <c r="FQ249" s="20"/>
      <c r="FR249" s="20"/>
      <c r="FS249" s="20"/>
      <c r="FT249" s="20"/>
      <c r="FU249" s="20"/>
      <c r="FV249" s="20"/>
      <c r="FW249" s="20"/>
      <c r="FX249" s="20"/>
      <c r="FY249" s="20"/>
      <c r="FZ249" s="20"/>
      <c r="GA249" s="20"/>
      <c r="GB249" s="20"/>
      <c r="GC249" s="20"/>
      <c r="GD249" s="20"/>
      <c r="GE249" s="20"/>
      <c r="GF249" s="20"/>
      <c r="GG249" s="20"/>
      <c r="GH249" s="20"/>
      <c r="GI249" s="20"/>
      <c r="GJ249" s="20"/>
      <c r="GK249" s="20"/>
      <c r="GL249" s="20"/>
      <c r="GM249" s="20"/>
      <c r="GN249" s="20"/>
      <c r="GO249" s="20"/>
      <c r="GP249" s="20"/>
      <c r="GQ249" s="20"/>
      <c r="GR249" s="20"/>
      <c r="GS249" s="20"/>
      <c r="GT249" s="20"/>
      <c r="GU249" s="20"/>
      <c r="GV249" s="20"/>
      <c r="GW249" s="20"/>
      <c r="GX249" s="20"/>
      <c r="GY249" s="20"/>
      <c r="GZ249" s="20"/>
      <c r="HA249" s="20"/>
      <c r="HB249" s="20"/>
      <c r="HC249" s="20"/>
      <c r="HD249" s="20"/>
      <c r="HE249" s="20"/>
      <c r="HF249" s="20"/>
      <c r="HG249" s="20"/>
      <c r="HH249" s="20"/>
      <c r="HI249" s="20"/>
      <c r="HJ249" s="20"/>
      <c r="HK249" s="20"/>
      <c r="HL249" s="20"/>
      <c r="HM249" s="20"/>
      <c r="HN249" s="20"/>
      <c r="HO249" s="20"/>
      <c r="HP249" s="20"/>
      <c r="HQ249" s="20"/>
      <c r="HR249" s="20"/>
      <c r="HS249" s="20"/>
      <c r="HT249" s="20"/>
      <c r="HU249" s="20"/>
      <c r="HV249" s="20"/>
      <c r="HW249" s="20"/>
      <c r="HX249" s="20"/>
      <c r="HY249" s="20"/>
      <c r="HZ249" s="20"/>
      <c r="IA249" s="20"/>
      <c r="IB249" s="20"/>
      <c r="IC249" s="20"/>
      <c r="ID249" s="20"/>
      <c r="IE249" s="20"/>
      <c r="IF249" s="20"/>
      <c r="IG249" s="20"/>
      <c r="IH249" s="20"/>
      <c r="II249" s="20"/>
      <c r="IJ249" s="20"/>
      <c r="IK249" s="20"/>
      <c r="IL249" s="20"/>
      <c r="IM249" s="20"/>
      <c r="IN249" s="20"/>
      <c r="IO249" s="20"/>
      <c r="IP249" s="20"/>
      <c r="IQ249" s="20"/>
      <c r="IR249" s="20"/>
      <c r="IS249" s="20"/>
      <c r="IT249" s="20"/>
      <c r="IU249" s="20"/>
      <c r="IV249" s="20"/>
      <c r="IW249" s="20"/>
      <c r="IX249" s="20"/>
      <c r="IY249" s="20"/>
      <c r="IZ249" s="20"/>
      <c r="JA249" s="20"/>
      <c r="JB249" s="20"/>
      <c r="JC249" s="20"/>
      <c r="JD249" s="20"/>
      <c r="JE249" s="20"/>
      <c r="JF249" s="20"/>
      <c r="JG249" s="20"/>
      <c r="JH249" s="20"/>
      <c r="JI249" s="20"/>
    </row>
    <row r="250" spans="1:269">
      <c r="A250" s="61"/>
      <c r="B250" s="20"/>
      <c r="C250" s="20"/>
      <c r="D250" s="27"/>
      <c r="E250" s="27"/>
      <c r="F250" s="27"/>
      <c r="G250" s="18"/>
      <c r="H250" s="27"/>
      <c r="I250" s="27"/>
      <c r="J250" s="18"/>
      <c r="K250" s="27"/>
      <c r="L250" s="27"/>
      <c r="M250" s="18"/>
      <c r="N250" s="27"/>
      <c r="O250" s="27"/>
      <c r="P250" s="18"/>
      <c r="Q250" s="27"/>
      <c r="R250" s="18"/>
      <c r="S250" s="18"/>
      <c r="T250" s="18"/>
      <c r="U250" s="18"/>
      <c r="V250" s="18"/>
      <c r="W250" s="105"/>
      <c r="X250" s="105"/>
      <c r="Y250" s="18"/>
      <c r="Z250" s="105"/>
      <c r="AA250" s="105"/>
      <c r="AB250" s="18"/>
      <c r="AC250" s="105"/>
      <c r="AD250" s="105"/>
      <c r="AE250" s="18"/>
      <c r="AF250" s="105"/>
      <c r="AG250" s="105"/>
      <c r="AH250" s="105"/>
      <c r="AI250" s="105"/>
      <c r="AJ250" s="105"/>
      <c r="AK250" s="105"/>
      <c r="AL250" s="105"/>
      <c r="AM250" s="18"/>
      <c r="AN250" s="105"/>
      <c r="AO250" s="105"/>
      <c r="AP250" s="105"/>
      <c r="AQ250" s="18"/>
      <c r="AR250" s="105"/>
      <c r="AS250" s="105"/>
      <c r="AT250" s="105"/>
      <c r="AU250" s="18"/>
      <c r="AV250" s="105"/>
      <c r="AW250" s="105"/>
      <c r="AX250" s="18"/>
      <c r="AY250" s="105"/>
      <c r="AZ250" s="105"/>
      <c r="BA250" s="105"/>
      <c r="BB250" s="105"/>
      <c r="BC250" s="18"/>
      <c r="BD250" s="89"/>
      <c r="BE250" s="89"/>
      <c r="BF250" s="89"/>
      <c r="BG250" s="89"/>
      <c r="BH250" s="89"/>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c r="DU250" s="20"/>
      <c r="DV250" s="20"/>
      <c r="DW250" s="20"/>
      <c r="DX250" s="20"/>
      <c r="DY250" s="20"/>
      <c r="DZ250" s="20"/>
      <c r="EA250" s="20"/>
      <c r="EB250" s="20"/>
      <c r="EC250" s="20"/>
      <c r="ED250" s="20"/>
      <c r="EE250" s="20"/>
      <c r="EF250" s="20"/>
      <c r="EG250" s="20"/>
      <c r="EH250" s="20"/>
      <c r="EI250" s="20"/>
      <c r="EJ250" s="20"/>
      <c r="EK250" s="20"/>
      <c r="EL250" s="20"/>
      <c r="EM250" s="20"/>
      <c r="EN250" s="20"/>
      <c r="EO250" s="20"/>
      <c r="EP250" s="20"/>
      <c r="EQ250" s="20"/>
      <c r="ER250" s="20"/>
      <c r="ES250" s="20"/>
      <c r="ET250" s="20"/>
      <c r="EU250" s="20"/>
      <c r="EV250" s="20"/>
      <c r="EW250" s="20"/>
      <c r="EX250" s="20"/>
      <c r="EY250" s="20"/>
      <c r="EZ250" s="20"/>
      <c r="FA250" s="20"/>
      <c r="FB250" s="20"/>
      <c r="FC250" s="20"/>
      <c r="FD250" s="20"/>
      <c r="FE250" s="20"/>
      <c r="FF250" s="20"/>
      <c r="FG250" s="20"/>
      <c r="FH250" s="20"/>
      <c r="FI250" s="20"/>
      <c r="FJ250" s="20"/>
      <c r="FK250" s="20"/>
      <c r="FL250" s="20"/>
      <c r="FM250" s="20"/>
      <c r="FN250" s="20"/>
      <c r="FO250" s="20"/>
      <c r="FP250" s="20"/>
      <c r="FQ250" s="20"/>
      <c r="FR250" s="20"/>
      <c r="FS250" s="20"/>
      <c r="FT250" s="20"/>
      <c r="FU250" s="20"/>
      <c r="FV250" s="20"/>
      <c r="FW250" s="20"/>
      <c r="FX250" s="20"/>
      <c r="FY250" s="20"/>
      <c r="FZ250" s="20"/>
      <c r="GA250" s="20"/>
      <c r="GB250" s="20"/>
      <c r="GC250" s="20"/>
      <c r="GD250" s="20"/>
      <c r="GE250" s="20"/>
      <c r="GF250" s="20"/>
      <c r="GG250" s="20"/>
      <c r="GH250" s="20"/>
      <c r="GI250" s="20"/>
      <c r="GJ250" s="20"/>
      <c r="GK250" s="20"/>
      <c r="GL250" s="20"/>
      <c r="GM250" s="20"/>
      <c r="GN250" s="20"/>
      <c r="GO250" s="20"/>
      <c r="GP250" s="20"/>
      <c r="GQ250" s="20"/>
      <c r="GR250" s="20"/>
      <c r="GS250" s="20"/>
      <c r="GT250" s="20"/>
      <c r="GU250" s="20"/>
      <c r="GV250" s="20"/>
      <c r="GW250" s="20"/>
      <c r="GX250" s="20"/>
      <c r="GY250" s="20"/>
      <c r="GZ250" s="20"/>
      <c r="HA250" s="20"/>
      <c r="HB250" s="20"/>
      <c r="HC250" s="20"/>
      <c r="HD250" s="20"/>
      <c r="HE250" s="20"/>
      <c r="HF250" s="20"/>
      <c r="HG250" s="20"/>
      <c r="HH250" s="20"/>
      <c r="HI250" s="20"/>
      <c r="HJ250" s="20"/>
      <c r="HK250" s="20"/>
      <c r="HL250" s="20"/>
      <c r="HM250" s="20"/>
      <c r="HN250" s="20"/>
      <c r="HO250" s="20"/>
      <c r="HP250" s="20"/>
      <c r="HQ250" s="20"/>
      <c r="HR250" s="20"/>
      <c r="HS250" s="20"/>
      <c r="HT250" s="20"/>
      <c r="HU250" s="20"/>
      <c r="HV250" s="20"/>
      <c r="HW250" s="20"/>
      <c r="HX250" s="20"/>
      <c r="HY250" s="20"/>
      <c r="HZ250" s="20"/>
      <c r="IA250" s="20"/>
      <c r="IB250" s="20"/>
      <c r="IC250" s="20"/>
      <c r="ID250" s="20"/>
      <c r="IE250" s="20"/>
      <c r="IF250" s="20"/>
      <c r="IG250" s="20"/>
      <c r="IH250" s="20"/>
      <c r="II250" s="20"/>
      <c r="IJ250" s="20"/>
      <c r="IK250" s="20"/>
      <c r="IL250" s="20"/>
      <c r="IM250" s="20"/>
      <c r="IN250" s="20"/>
      <c r="IO250" s="20"/>
      <c r="IP250" s="20"/>
      <c r="IQ250" s="20"/>
      <c r="IR250" s="20"/>
      <c r="IS250" s="20"/>
      <c r="IT250" s="20"/>
      <c r="IU250" s="20"/>
      <c r="IV250" s="20"/>
      <c r="IW250" s="20"/>
      <c r="IX250" s="20"/>
      <c r="IY250" s="20"/>
      <c r="IZ250" s="20"/>
      <c r="JA250" s="20"/>
      <c r="JB250" s="20"/>
      <c r="JC250" s="20"/>
      <c r="JD250" s="20"/>
      <c r="JE250" s="20"/>
      <c r="JF250" s="20"/>
      <c r="JG250" s="20"/>
      <c r="JH250" s="20"/>
      <c r="JI250" s="20"/>
    </row>
    <row r="251" spans="1:269">
      <c r="A251" s="61"/>
      <c r="B251" s="20"/>
      <c r="C251" s="20"/>
      <c r="D251" s="27"/>
      <c r="E251" s="27"/>
      <c r="F251" s="27"/>
      <c r="G251" s="18"/>
      <c r="H251" s="27"/>
      <c r="I251" s="27"/>
      <c r="J251" s="18"/>
      <c r="K251" s="27"/>
      <c r="L251" s="27"/>
      <c r="M251" s="18"/>
      <c r="N251" s="27"/>
      <c r="O251" s="27"/>
      <c r="P251" s="18"/>
      <c r="Q251" s="27"/>
      <c r="R251" s="18"/>
      <c r="S251" s="18"/>
      <c r="T251" s="18"/>
      <c r="U251" s="18"/>
      <c r="V251" s="18"/>
      <c r="W251" s="105"/>
      <c r="X251" s="105"/>
      <c r="Y251" s="18"/>
      <c r="Z251" s="105"/>
      <c r="AA251" s="105"/>
      <c r="AB251" s="18"/>
      <c r="AC251" s="105"/>
      <c r="AD251" s="105"/>
      <c r="AE251" s="18"/>
      <c r="AF251" s="105"/>
      <c r="AG251" s="105"/>
      <c r="AH251" s="105"/>
      <c r="AI251" s="105"/>
      <c r="AJ251" s="105"/>
      <c r="AK251" s="105"/>
      <c r="AL251" s="105"/>
      <c r="AM251" s="18"/>
      <c r="AN251" s="105"/>
      <c r="AO251" s="105"/>
      <c r="AP251" s="105"/>
      <c r="AQ251" s="18"/>
      <c r="AR251" s="105"/>
      <c r="AS251" s="105"/>
      <c r="AT251" s="105"/>
      <c r="AU251" s="18"/>
      <c r="AV251" s="105"/>
      <c r="AW251" s="105"/>
      <c r="AX251" s="18"/>
      <c r="AY251" s="105"/>
      <c r="AZ251" s="105"/>
      <c r="BA251" s="105"/>
      <c r="BB251" s="105"/>
      <c r="BC251" s="18"/>
      <c r="BD251" s="89"/>
      <c r="BE251" s="89"/>
      <c r="BF251" s="89"/>
      <c r="BG251" s="89"/>
      <c r="BH251" s="89"/>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c r="DU251" s="20"/>
      <c r="DV251" s="20"/>
      <c r="DW251" s="20"/>
      <c r="DX251" s="20"/>
      <c r="DY251" s="20"/>
      <c r="DZ251" s="20"/>
      <c r="EA251" s="20"/>
      <c r="EB251" s="20"/>
      <c r="EC251" s="20"/>
      <c r="ED251" s="20"/>
      <c r="EE251" s="20"/>
      <c r="EF251" s="20"/>
      <c r="EG251" s="20"/>
      <c r="EH251" s="20"/>
      <c r="EI251" s="20"/>
      <c r="EJ251" s="20"/>
      <c r="EK251" s="20"/>
      <c r="EL251" s="20"/>
      <c r="EM251" s="20"/>
      <c r="EN251" s="20"/>
      <c r="EO251" s="20"/>
      <c r="EP251" s="20"/>
      <c r="EQ251" s="20"/>
      <c r="ER251" s="20"/>
      <c r="ES251" s="20"/>
      <c r="ET251" s="20"/>
      <c r="EU251" s="20"/>
      <c r="EV251" s="20"/>
      <c r="EW251" s="20"/>
      <c r="EX251" s="20"/>
      <c r="EY251" s="20"/>
      <c r="EZ251" s="20"/>
      <c r="FA251" s="20"/>
      <c r="FB251" s="20"/>
      <c r="FC251" s="20"/>
      <c r="FD251" s="20"/>
      <c r="FE251" s="20"/>
      <c r="FF251" s="20"/>
      <c r="FG251" s="20"/>
      <c r="FH251" s="20"/>
      <c r="FI251" s="20"/>
      <c r="FJ251" s="20"/>
      <c r="FK251" s="20"/>
      <c r="FL251" s="20"/>
      <c r="FM251" s="20"/>
      <c r="FN251" s="20"/>
      <c r="FO251" s="20"/>
      <c r="FP251" s="20"/>
      <c r="FQ251" s="20"/>
      <c r="FR251" s="20"/>
      <c r="FS251" s="20"/>
      <c r="FT251" s="20"/>
      <c r="FU251" s="20"/>
      <c r="FV251" s="20"/>
      <c r="FW251" s="20"/>
      <c r="FX251" s="20"/>
      <c r="FY251" s="20"/>
      <c r="FZ251" s="20"/>
      <c r="GA251" s="20"/>
      <c r="GB251" s="20"/>
      <c r="GC251" s="20"/>
      <c r="GD251" s="20"/>
      <c r="GE251" s="20"/>
      <c r="GF251" s="20"/>
      <c r="GG251" s="20"/>
      <c r="GH251" s="20"/>
      <c r="GI251" s="20"/>
      <c r="GJ251" s="20"/>
      <c r="GK251" s="20"/>
      <c r="GL251" s="20"/>
      <c r="GM251" s="20"/>
      <c r="GN251" s="20"/>
      <c r="GO251" s="20"/>
      <c r="GP251" s="20"/>
      <c r="GQ251" s="20"/>
      <c r="GR251" s="20"/>
      <c r="GS251" s="20"/>
      <c r="GT251" s="20"/>
      <c r="GU251" s="20"/>
      <c r="GV251" s="20"/>
      <c r="GW251" s="20"/>
      <c r="GX251" s="20"/>
      <c r="GY251" s="20"/>
      <c r="GZ251" s="20"/>
      <c r="HA251" s="20"/>
      <c r="HB251" s="20"/>
      <c r="HC251" s="20"/>
      <c r="HD251" s="20"/>
      <c r="HE251" s="20"/>
      <c r="HF251" s="20"/>
      <c r="HG251" s="20"/>
      <c r="HH251" s="20"/>
      <c r="HI251" s="20"/>
      <c r="HJ251" s="20"/>
      <c r="HK251" s="20"/>
      <c r="HL251" s="20"/>
      <c r="HM251" s="20"/>
      <c r="HN251" s="20"/>
      <c r="HO251" s="20"/>
      <c r="HP251" s="20"/>
      <c r="HQ251" s="20"/>
      <c r="HR251" s="20"/>
      <c r="HS251" s="20"/>
      <c r="HT251" s="20"/>
      <c r="HU251" s="20"/>
      <c r="HV251" s="20"/>
      <c r="HW251" s="20"/>
      <c r="HX251" s="20"/>
      <c r="HY251" s="20"/>
      <c r="HZ251" s="20"/>
      <c r="IA251" s="20"/>
      <c r="IB251" s="20"/>
      <c r="IC251" s="20"/>
      <c r="ID251" s="20"/>
      <c r="IE251" s="20"/>
      <c r="IF251" s="20"/>
      <c r="IG251" s="20"/>
      <c r="IH251" s="20"/>
      <c r="II251" s="20"/>
      <c r="IJ251" s="20"/>
      <c r="IK251" s="20"/>
      <c r="IL251" s="20"/>
      <c r="IM251" s="20"/>
      <c r="IN251" s="20"/>
      <c r="IO251" s="20"/>
      <c r="IP251" s="20"/>
      <c r="IQ251" s="20"/>
      <c r="IR251" s="20"/>
      <c r="IS251" s="20"/>
      <c r="IT251" s="20"/>
      <c r="IU251" s="20"/>
      <c r="IV251" s="20"/>
      <c r="IW251" s="20"/>
      <c r="IX251" s="20"/>
      <c r="IY251" s="20"/>
      <c r="IZ251" s="20"/>
      <c r="JA251" s="20"/>
      <c r="JB251" s="20"/>
      <c r="JC251" s="20"/>
      <c r="JD251" s="20"/>
      <c r="JE251" s="20"/>
      <c r="JF251" s="20"/>
      <c r="JG251" s="20"/>
      <c r="JH251" s="20"/>
      <c r="JI251" s="20"/>
    </row>
    <row r="252" spans="1:269">
      <c r="A252" s="61"/>
      <c r="B252" s="20"/>
      <c r="C252" s="20"/>
      <c r="D252" s="27"/>
      <c r="E252" s="27"/>
      <c r="F252" s="27"/>
      <c r="G252" s="18"/>
      <c r="H252" s="27"/>
      <c r="I252" s="27"/>
      <c r="J252" s="18"/>
      <c r="K252" s="27"/>
      <c r="L252" s="27"/>
      <c r="M252" s="18"/>
      <c r="N252" s="27"/>
      <c r="O252" s="27"/>
      <c r="P252" s="18"/>
      <c r="Q252" s="27"/>
      <c r="R252" s="18"/>
      <c r="S252" s="18"/>
      <c r="T252" s="18"/>
      <c r="U252" s="18"/>
      <c r="V252" s="18"/>
      <c r="W252" s="105"/>
      <c r="X252" s="105"/>
      <c r="Y252" s="18"/>
      <c r="Z252" s="105"/>
      <c r="AA252" s="105"/>
      <c r="AB252" s="18"/>
      <c r="AC252" s="105"/>
      <c r="AD252" s="105"/>
      <c r="AE252" s="18"/>
      <c r="AF252" s="105"/>
      <c r="AG252" s="105"/>
      <c r="AH252" s="105"/>
      <c r="AI252" s="105"/>
      <c r="AJ252" s="105"/>
      <c r="AK252" s="105"/>
      <c r="AL252" s="105"/>
      <c r="AM252" s="18"/>
      <c r="AN252" s="105"/>
      <c r="AO252" s="105"/>
      <c r="AP252" s="105"/>
      <c r="AQ252" s="18"/>
      <c r="AR252" s="105"/>
      <c r="AS252" s="105"/>
      <c r="AT252" s="105"/>
      <c r="AU252" s="18"/>
      <c r="AV252" s="105"/>
      <c r="AW252" s="105"/>
      <c r="AX252" s="18"/>
      <c r="AY252" s="105"/>
      <c r="AZ252" s="105"/>
      <c r="BA252" s="105"/>
      <c r="BB252" s="105"/>
      <c r="BC252" s="18"/>
      <c r="BD252" s="89"/>
      <c r="BE252" s="89"/>
      <c r="BF252" s="89"/>
      <c r="BG252" s="89"/>
      <c r="BH252" s="89"/>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c r="DU252" s="20"/>
      <c r="DV252" s="20"/>
      <c r="DW252" s="20"/>
      <c r="DX252" s="20"/>
      <c r="DY252" s="20"/>
      <c r="DZ252" s="20"/>
      <c r="EA252" s="20"/>
      <c r="EB252" s="20"/>
      <c r="EC252" s="20"/>
      <c r="ED252" s="20"/>
      <c r="EE252" s="20"/>
      <c r="EF252" s="20"/>
      <c r="EG252" s="20"/>
      <c r="EH252" s="20"/>
      <c r="EI252" s="20"/>
      <c r="EJ252" s="20"/>
      <c r="EK252" s="20"/>
      <c r="EL252" s="20"/>
      <c r="EM252" s="20"/>
      <c r="EN252" s="20"/>
      <c r="EO252" s="20"/>
      <c r="EP252" s="20"/>
      <c r="EQ252" s="20"/>
      <c r="ER252" s="20"/>
      <c r="ES252" s="20"/>
      <c r="ET252" s="20"/>
      <c r="EU252" s="20"/>
      <c r="EV252" s="20"/>
      <c r="EW252" s="20"/>
      <c r="EX252" s="20"/>
      <c r="EY252" s="20"/>
      <c r="EZ252" s="20"/>
      <c r="FA252" s="20"/>
      <c r="FB252" s="20"/>
      <c r="FC252" s="20"/>
      <c r="FD252" s="20"/>
      <c r="FE252" s="20"/>
      <c r="FF252" s="20"/>
      <c r="FG252" s="20"/>
      <c r="FH252" s="20"/>
      <c r="FI252" s="20"/>
      <c r="FJ252" s="20"/>
      <c r="FK252" s="20"/>
      <c r="FL252" s="20"/>
      <c r="FM252" s="20"/>
      <c r="FN252" s="20"/>
      <c r="FO252" s="20"/>
      <c r="FP252" s="20"/>
      <c r="FQ252" s="20"/>
      <c r="FR252" s="20"/>
      <c r="FS252" s="20"/>
      <c r="FT252" s="20"/>
      <c r="FU252" s="20"/>
      <c r="FV252" s="20"/>
      <c r="FW252" s="20"/>
      <c r="FX252" s="20"/>
      <c r="FY252" s="20"/>
      <c r="FZ252" s="20"/>
      <c r="GA252" s="20"/>
      <c r="GB252" s="20"/>
      <c r="GC252" s="20"/>
      <c r="GD252" s="20"/>
      <c r="GE252" s="20"/>
      <c r="GF252" s="20"/>
      <c r="GG252" s="20"/>
      <c r="GH252" s="20"/>
      <c r="GI252" s="20"/>
      <c r="GJ252" s="20"/>
      <c r="GK252" s="20"/>
      <c r="GL252" s="20"/>
      <c r="GM252" s="20"/>
      <c r="GN252" s="20"/>
      <c r="GO252" s="20"/>
      <c r="GP252" s="20"/>
      <c r="GQ252" s="20"/>
      <c r="GR252" s="20"/>
      <c r="GS252" s="20"/>
      <c r="GT252" s="20"/>
      <c r="GU252" s="20"/>
      <c r="GV252" s="20"/>
      <c r="GW252" s="20"/>
      <c r="GX252" s="20"/>
      <c r="GY252" s="20"/>
      <c r="GZ252" s="20"/>
      <c r="HA252" s="20"/>
      <c r="HB252" s="20"/>
      <c r="HC252" s="20"/>
      <c r="HD252" s="20"/>
      <c r="HE252" s="20"/>
      <c r="HF252" s="20"/>
      <c r="HG252" s="20"/>
      <c r="HH252" s="20"/>
      <c r="HI252" s="20"/>
      <c r="HJ252" s="20"/>
      <c r="HK252" s="20"/>
      <c r="HL252" s="20"/>
      <c r="HM252" s="20"/>
      <c r="HN252" s="20"/>
      <c r="HO252" s="20"/>
      <c r="HP252" s="20"/>
      <c r="HQ252" s="20"/>
      <c r="HR252" s="20"/>
      <c r="HS252" s="20"/>
      <c r="HT252" s="20"/>
      <c r="HU252" s="20"/>
      <c r="HV252" s="20"/>
      <c r="HW252" s="20"/>
      <c r="HX252" s="20"/>
      <c r="HY252" s="20"/>
      <c r="HZ252" s="20"/>
      <c r="IA252" s="20"/>
      <c r="IB252" s="20"/>
      <c r="IC252" s="20"/>
      <c r="ID252" s="20"/>
      <c r="IE252" s="20"/>
      <c r="IF252" s="20"/>
      <c r="IG252" s="20"/>
      <c r="IH252" s="20"/>
      <c r="II252" s="20"/>
      <c r="IJ252" s="20"/>
      <c r="IK252" s="20"/>
      <c r="IL252" s="20"/>
      <c r="IM252" s="20"/>
      <c r="IN252" s="20"/>
      <c r="IO252" s="20"/>
      <c r="IP252" s="20"/>
      <c r="IQ252" s="20"/>
      <c r="IR252" s="20"/>
      <c r="IS252" s="20"/>
      <c r="IT252" s="20"/>
      <c r="IU252" s="20"/>
      <c r="IV252" s="20"/>
      <c r="IW252" s="20"/>
      <c r="IX252" s="20"/>
      <c r="IY252" s="20"/>
      <c r="IZ252" s="20"/>
      <c r="JA252" s="20"/>
      <c r="JB252" s="20"/>
      <c r="JC252" s="20"/>
      <c r="JD252" s="20"/>
      <c r="JE252" s="20"/>
      <c r="JF252" s="20"/>
      <c r="JG252" s="20"/>
      <c r="JH252" s="20"/>
      <c r="JI252" s="20"/>
    </row>
    <row r="253" spans="1:269">
      <c r="A253" s="61"/>
      <c r="B253" s="20"/>
      <c r="C253" s="20"/>
      <c r="D253" s="27"/>
      <c r="E253" s="27"/>
      <c r="F253" s="27"/>
      <c r="G253" s="18"/>
      <c r="H253" s="27"/>
      <c r="I253" s="27"/>
      <c r="J253" s="18"/>
      <c r="K253" s="27"/>
      <c r="L253" s="27"/>
      <c r="M253" s="18"/>
      <c r="N253" s="27"/>
      <c r="O253" s="27"/>
      <c r="P253" s="18"/>
      <c r="Q253" s="27"/>
      <c r="R253" s="18"/>
      <c r="S253" s="18"/>
      <c r="T253" s="18"/>
      <c r="U253" s="18"/>
      <c r="V253" s="18"/>
      <c r="W253" s="105"/>
      <c r="X253" s="105"/>
      <c r="Y253" s="18"/>
      <c r="Z253" s="105"/>
      <c r="AA253" s="105"/>
      <c r="AB253" s="18"/>
      <c r="AC253" s="105"/>
      <c r="AD253" s="105"/>
      <c r="AE253" s="18"/>
      <c r="AF253" s="105"/>
      <c r="AG253" s="105"/>
      <c r="AH253" s="105"/>
      <c r="AI253" s="105"/>
      <c r="AJ253" s="105"/>
      <c r="AK253" s="105"/>
      <c r="AL253" s="105"/>
      <c r="AM253" s="18"/>
      <c r="AN253" s="105"/>
      <c r="AO253" s="105"/>
      <c r="AP253" s="105"/>
      <c r="AQ253" s="18"/>
      <c r="AR253" s="105"/>
      <c r="AS253" s="105"/>
      <c r="AT253" s="105"/>
      <c r="AU253" s="18"/>
      <c r="AV253" s="105"/>
      <c r="AW253" s="105"/>
      <c r="AX253" s="18"/>
      <c r="AY253" s="105"/>
      <c r="AZ253" s="105"/>
      <c r="BA253" s="105"/>
      <c r="BB253" s="105"/>
      <c r="BC253" s="18"/>
      <c r="BD253" s="89"/>
      <c r="BE253" s="89"/>
      <c r="BF253" s="89"/>
      <c r="BG253" s="89"/>
      <c r="BH253" s="89"/>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c r="DU253" s="20"/>
      <c r="DV253" s="20"/>
      <c r="DW253" s="20"/>
      <c r="DX253" s="20"/>
      <c r="DY253" s="20"/>
      <c r="DZ253" s="20"/>
      <c r="EA253" s="20"/>
      <c r="EB253" s="20"/>
      <c r="EC253" s="20"/>
      <c r="ED253" s="20"/>
      <c r="EE253" s="20"/>
      <c r="EF253" s="20"/>
      <c r="EG253" s="20"/>
      <c r="EH253" s="20"/>
      <c r="EI253" s="20"/>
      <c r="EJ253" s="20"/>
      <c r="EK253" s="20"/>
      <c r="EL253" s="20"/>
      <c r="EM253" s="20"/>
      <c r="EN253" s="20"/>
      <c r="EO253" s="20"/>
      <c r="EP253" s="20"/>
      <c r="EQ253" s="20"/>
      <c r="ER253" s="20"/>
      <c r="ES253" s="20"/>
      <c r="ET253" s="20"/>
      <c r="EU253" s="20"/>
      <c r="EV253" s="20"/>
      <c r="EW253" s="20"/>
      <c r="EX253" s="20"/>
      <c r="EY253" s="20"/>
      <c r="EZ253" s="20"/>
      <c r="FA253" s="20"/>
      <c r="FB253" s="20"/>
      <c r="FC253" s="20"/>
      <c r="FD253" s="20"/>
      <c r="FE253" s="20"/>
      <c r="FF253" s="20"/>
      <c r="FG253" s="20"/>
      <c r="FH253" s="20"/>
      <c r="FI253" s="20"/>
      <c r="FJ253" s="20"/>
      <c r="FK253" s="20"/>
      <c r="FL253" s="20"/>
      <c r="FM253" s="20"/>
      <c r="FN253" s="20"/>
      <c r="FO253" s="20"/>
      <c r="FP253" s="20"/>
      <c r="FQ253" s="20"/>
      <c r="FR253" s="20"/>
      <c r="FS253" s="20"/>
      <c r="FT253" s="20"/>
      <c r="FU253" s="20"/>
      <c r="FV253" s="20"/>
      <c r="FW253" s="20"/>
      <c r="FX253" s="20"/>
      <c r="FY253" s="20"/>
      <c r="FZ253" s="20"/>
      <c r="GA253" s="20"/>
      <c r="GB253" s="20"/>
      <c r="GC253" s="20"/>
      <c r="GD253" s="20"/>
      <c r="GE253" s="20"/>
      <c r="GF253" s="20"/>
      <c r="GG253" s="20"/>
      <c r="GH253" s="20"/>
      <c r="GI253" s="20"/>
      <c r="GJ253" s="20"/>
      <c r="GK253" s="20"/>
      <c r="GL253" s="20"/>
      <c r="GM253" s="20"/>
      <c r="GN253" s="20"/>
      <c r="GO253" s="20"/>
      <c r="GP253" s="20"/>
      <c r="GQ253" s="20"/>
      <c r="GR253" s="20"/>
      <c r="GS253" s="20"/>
      <c r="GT253" s="20"/>
      <c r="GU253" s="20"/>
      <c r="GV253" s="20"/>
      <c r="GW253" s="20"/>
      <c r="GX253" s="20"/>
      <c r="GY253" s="20"/>
      <c r="GZ253" s="20"/>
      <c r="HA253" s="20"/>
      <c r="HB253" s="20"/>
      <c r="HC253" s="20"/>
      <c r="HD253" s="20"/>
      <c r="HE253" s="20"/>
      <c r="HF253" s="20"/>
      <c r="HG253" s="20"/>
      <c r="HH253" s="20"/>
      <c r="HI253" s="20"/>
      <c r="HJ253" s="20"/>
      <c r="HK253" s="20"/>
      <c r="HL253" s="20"/>
      <c r="HM253" s="20"/>
      <c r="HN253" s="20"/>
      <c r="HO253" s="20"/>
      <c r="HP253" s="20"/>
      <c r="HQ253" s="20"/>
      <c r="HR253" s="20"/>
      <c r="HS253" s="20"/>
      <c r="HT253" s="20"/>
      <c r="HU253" s="20"/>
      <c r="HV253" s="20"/>
      <c r="HW253" s="20"/>
      <c r="HX253" s="20"/>
      <c r="HY253" s="20"/>
      <c r="HZ253" s="20"/>
      <c r="IA253" s="20"/>
      <c r="IB253" s="20"/>
      <c r="IC253" s="20"/>
      <c r="ID253" s="20"/>
      <c r="IE253" s="20"/>
      <c r="IF253" s="20"/>
      <c r="IG253" s="20"/>
      <c r="IH253" s="20"/>
      <c r="II253" s="20"/>
      <c r="IJ253" s="20"/>
      <c r="IK253" s="20"/>
      <c r="IL253" s="20"/>
      <c r="IM253" s="20"/>
      <c r="IN253" s="20"/>
      <c r="IO253" s="20"/>
      <c r="IP253" s="20"/>
      <c r="IQ253" s="20"/>
      <c r="IR253" s="20"/>
      <c r="IS253" s="20"/>
      <c r="IT253" s="20"/>
      <c r="IU253" s="20"/>
      <c r="IV253" s="20"/>
      <c r="IW253" s="20"/>
      <c r="IX253" s="20"/>
      <c r="IY253" s="20"/>
      <c r="IZ253" s="20"/>
      <c r="JA253" s="20"/>
      <c r="JB253" s="20"/>
      <c r="JC253" s="20"/>
      <c r="JD253" s="20"/>
      <c r="JE253" s="20"/>
      <c r="JF253" s="20"/>
      <c r="JG253" s="20"/>
      <c r="JH253" s="20"/>
      <c r="JI253" s="20"/>
    </row>
    <row r="254" spans="1:269">
      <c r="A254" s="61" ph="1"/>
      <c r="B254" s="20" ph="1"/>
      <c r="C254" s="20" ph="1"/>
      <c r="D254" s="27" ph="1"/>
      <c r="E254" s="27" ph="1"/>
      <c r="F254" s="27" ph="1"/>
      <c r="G254" s="18" ph="1"/>
      <c r="H254" s="27" ph="1"/>
      <c r="I254" s="27" ph="1"/>
      <c r="J254" s="18" ph="1"/>
      <c r="K254" s="27" ph="1"/>
      <c r="L254" s="27" ph="1"/>
      <c r="M254" s="18" ph="1"/>
      <c r="N254" s="27" ph="1"/>
      <c r="O254" s="27" ph="1"/>
      <c r="P254" s="18" ph="1"/>
      <c r="Q254" s="27" ph="1"/>
      <c r="R254" s="18" ph="1"/>
      <c r="S254" s="18" ph="1"/>
      <c r="T254" s="18" ph="1"/>
      <c r="U254" s="18" ph="1"/>
      <c r="V254" s="18" ph="1"/>
      <c r="W254" s="105" ph="1"/>
      <c r="X254" s="105" ph="1"/>
      <c r="Y254" s="18" ph="1"/>
      <c r="Z254" s="105" ph="1"/>
      <c r="AA254" s="105" ph="1"/>
      <c r="AB254" s="18" ph="1"/>
      <c r="AC254" s="105" ph="1"/>
      <c r="AD254" s="105" ph="1"/>
      <c r="AE254" s="18" ph="1"/>
      <c r="AF254" s="105" ph="1"/>
      <c r="AG254" s="105" ph="1"/>
      <c r="AH254" s="105" ph="1"/>
      <c r="AI254" s="105" ph="1"/>
      <c r="AJ254" s="105" ph="1"/>
      <c r="AK254" s="105" ph="1"/>
      <c r="AL254" s="105" ph="1"/>
      <c r="AM254" s="18" ph="1"/>
      <c r="AN254" s="105" ph="1"/>
      <c r="AO254" s="105" ph="1"/>
      <c r="AP254" s="105" ph="1"/>
      <c r="AQ254" s="18" ph="1"/>
      <c r="AR254" s="105" ph="1"/>
      <c r="AS254" s="105" ph="1"/>
      <c r="AT254" s="105" ph="1"/>
      <c r="AU254" s="18" ph="1"/>
      <c r="AV254" s="105" ph="1"/>
      <c r="AW254" s="105" ph="1"/>
      <c r="AX254" s="18" ph="1"/>
      <c r="AY254" s="105" ph="1"/>
      <c r="AZ254" s="105" ph="1"/>
      <c r="BA254" s="105" ph="1"/>
      <c r="BB254" s="105" ph="1"/>
      <c r="BC254" s="18" ph="1"/>
      <c r="BD254" s="89"/>
      <c r="BE254" s="89"/>
      <c r="BF254" s="89"/>
      <c r="BG254" s="89"/>
      <c r="BH254" s="89"/>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c r="DU254" s="20"/>
      <c r="DV254" s="20"/>
      <c r="DW254" s="20"/>
      <c r="DX254" s="20"/>
      <c r="DY254" s="20"/>
      <c r="DZ254" s="20"/>
      <c r="EA254" s="20"/>
      <c r="EB254" s="20"/>
      <c r="EC254" s="20"/>
      <c r="ED254" s="20"/>
      <c r="EE254" s="20"/>
      <c r="EF254" s="20"/>
      <c r="EG254" s="20"/>
      <c r="EH254" s="20"/>
      <c r="EI254" s="20"/>
      <c r="EJ254" s="20"/>
      <c r="EK254" s="20"/>
      <c r="EL254" s="20"/>
      <c r="EM254" s="20"/>
      <c r="EN254" s="20"/>
      <c r="EO254" s="20"/>
      <c r="EP254" s="20"/>
      <c r="EQ254" s="20"/>
      <c r="ER254" s="20"/>
      <c r="ES254" s="20"/>
      <c r="ET254" s="20"/>
      <c r="EU254" s="20"/>
      <c r="EV254" s="20"/>
      <c r="EW254" s="20"/>
      <c r="EX254" s="20"/>
      <c r="EY254" s="20"/>
      <c r="EZ254" s="20"/>
      <c r="FA254" s="20"/>
      <c r="FB254" s="20"/>
      <c r="FC254" s="20"/>
      <c r="FD254" s="20"/>
      <c r="FE254" s="20"/>
      <c r="FF254" s="20"/>
      <c r="FG254" s="20"/>
      <c r="FH254" s="20"/>
      <c r="FI254" s="20"/>
      <c r="FJ254" s="20"/>
      <c r="FK254" s="20"/>
      <c r="FL254" s="20"/>
      <c r="FM254" s="20"/>
      <c r="FN254" s="20"/>
      <c r="FO254" s="20"/>
      <c r="FP254" s="20"/>
      <c r="FQ254" s="20"/>
      <c r="FR254" s="20"/>
      <c r="FS254" s="20"/>
      <c r="FT254" s="20"/>
      <c r="FU254" s="20"/>
      <c r="FV254" s="20"/>
      <c r="FW254" s="20"/>
      <c r="FX254" s="20"/>
      <c r="FY254" s="20"/>
      <c r="FZ254" s="20"/>
      <c r="GA254" s="20"/>
      <c r="GB254" s="20"/>
      <c r="GC254" s="20"/>
      <c r="GD254" s="20"/>
      <c r="GE254" s="20"/>
      <c r="GF254" s="20"/>
      <c r="GG254" s="20"/>
      <c r="GH254" s="20"/>
      <c r="GI254" s="20"/>
      <c r="GJ254" s="20"/>
      <c r="GK254" s="20"/>
      <c r="GL254" s="20"/>
      <c r="GM254" s="20"/>
      <c r="GN254" s="20"/>
      <c r="GO254" s="20"/>
      <c r="GP254" s="20"/>
      <c r="GQ254" s="20"/>
      <c r="GR254" s="20"/>
      <c r="GS254" s="20"/>
      <c r="GT254" s="20"/>
      <c r="GU254" s="20"/>
      <c r="GV254" s="20"/>
      <c r="GW254" s="20"/>
      <c r="GX254" s="20"/>
      <c r="GY254" s="20"/>
      <c r="GZ254" s="20"/>
      <c r="HA254" s="20"/>
      <c r="HB254" s="20"/>
      <c r="HC254" s="20"/>
      <c r="HD254" s="20"/>
      <c r="HE254" s="20"/>
      <c r="HF254" s="20"/>
      <c r="HG254" s="20"/>
      <c r="HH254" s="20"/>
      <c r="HI254" s="20"/>
      <c r="HJ254" s="20"/>
      <c r="HK254" s="20"/>
      <c r="HL254" s="20"/>
      <c r="HM254" s="20"/>
      <c r="HN254" s="20"/>
      <c r="HO254" s="20"/>
      <c r="HP254" s="20"/>
      <c r="HQ254" s="20"/>
      <c r="HR254" s="20"/>
      <c r="HS254" s="20"/>
      <c r="HT254" s="20"/>
      <c r="HU254" s="20"/>
      <c r="HV254" s="20"/>
      <c r="HW254" s="20"/>
      <c r="HX254" s="20"/>
      <c r="HY254" s="20"/>
      <c r="HZ254" s="20"/>
      <c r="IA254" s="20"/>
      <c r="IB254" s="20"/>
      <c r="IC254" s="20"/>
      <c r="ID254" s="20"/>
      <c r="IE254" s="20"/>
      <c r="IF254" s="20"/>
      <c r="IG254" s="20"/>
      <c r="IH254" s="20"/>
      <c r="II254" s="20"/>
      <c r="IJ254" s="20"/>
      <c r="IK254" s="20"/>
      <c r="IL254" s="20"/>
      <c r="IM254" s="20"/>
      <c r="IN254" s="20"/>
      <c r="IO254" s="20"/>
      <c r="IP254" s="20"/>
      <c r="IQ254" s="20"/>
      <c r="IR254" s="20"/>
      <c r="IS254" s="20"/>
      <c r="IT254" s="20"/>
      <c r="IU254" s="20"/>
      <c r="IV254" s="20"/>
      <c r="IW254" s="20"/>
      <c r="IX254" s="20"/>
      <c r="IY254" s="20"/>
      <c r="IZ254" s="20"/>
      <c r="JA254" s="20"/>
      <c r="JB254" s="20"/>
      <c r="JC254" s="20"/>
      <c r="JD254" s="20"/>
      <c r="JE254" s="20"/>
      <c r="JF254" s="20"/>
      <c r="JG254" s="20"/>
      <c r="JH254" s="20"/>
      <c r="JI254" s="20"/>
    </row>
    <row r="255" spans="1:269">
      <c r="A255" s="61"/>
      <c r="B255" s="20"/>
      <c r="C255" s="20"/>
      <c r="D255" s="27"/>
      <c r="E255" s="27"/>
      <c r="F255" s="27"/>
      <c r="G255" s="18"/>
      <c r="H255" s="27"/>
      <c r="I255" s="27"/>
      <c r="J255" s="18"/>
      <c r="K255" s="27"/>
      <c r="L255" s="27"/>
      <c r="M255" s="18"/>
      <c r="N255" s="27"/>
      <c r="O255" s="27"/>
      <c r="P255" s="18"/>
      <c r="Q255" s="27"/>
      <c r="R255" s="18"/>
      <c r="S255" s="18"/>
      <c r="T255" s="18"/>
      <c r="U255" s="18"/>
      <c r="V255" s="18"/>
      <c r="W255" s="105"/>
      <c r="X255" s="105"/>
      <c r="Y255" s="18"/>
      <c r="Z255" s="105"/>
      <c r="AA255" s="105"/>
      <c r="AB255" s="18"/>
      <c r="AC255" s="105"/>
      <c r="AD255" s="105"/>
      <c r="AE255" s="18"/>
      <c r="AF255" s="105"/>
      <c r="AG255" s="105"/>
      <c r="AH255" s="105"/>
      <c r="AI255" s="105"/>
      <c r="AJ255" s="105"/>
      <c r="AK255" s="105"/>
      <c r="AL255" s="105"/>
      <c r="AM255" s="18"/>
      <c r="AN255" s="105"/>
      <c r="AO255" s="105"/>
      <c r="AP255" s="105"/>
      <c r="AQ255" s="18"/>
      <c r="AR255" s="105"/>
      <c r="AS255" s="105"/>
      <c r="AT255" s="105"/>
      <c r="AU255" s="18"/>
      <c r="AV255" s="105"/>
      <c r="AW255" s="105"/>
      <c r="AX255" s="18"/>
      <c r="AY255" s="105"/>
      <c r="AZ255" s="105"/>
      <c r="BA255" s="105"/>
      <c r="BB255" s="105"/>
      <c r="BC255" s="18"/>
      <c r="BD255" s="89"/>
      <c r="BE255" s="89"/>
      <c r="BF255" s="89"/>
      <c r="BG255" s="89"/>
      <c r="BH255" s="89"/>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c r="DU255" s="20"/>
      <c r="DV255" s="20"/>
      <c r="DW255" s="20"/>
      <c r="DX255" s="20"/>
      <c r="DY255" s="20"/>
      <c r="DZ255" s="20"/>
      <c r="EA255" s="20"/>
      <c r="EB255" s="20"/>
      <c r="EC255" s="20"/>
      <c r="ED255" s="20"/>
      <c r="EE255" s="20"/>
      <c r="EF255" s="20"/>
      <c r="EG255" s="20"/>
      <c r="EH255" s="20"/>
      <c r="EI255" s="20"/>
      <c r="EJ255" s="20"/>
      <c r="EK255" s="20"/>
      <c r="EL255" s="20"/>
      <c r="EM255" s="20"/>
      <c r="EN255" s="20"/>
      <c r="EO255" s="20"/>
      <c r="EP255" s="20"/>
      <c r="EQ255" s="20"/>
      <c r="ER255" s="20"/>
      <c r="ES255" s="20"/>
      <c r="ET255" s="20"/>
      <c r="EU255" s="20"/>
      <c r="EV255" s="20"/>
      <c r="EW255" s="20"/>
      <c r="EX255" s="20"/>
      <c r="EY255" s="20"/>
      <c r="EZ255" s="20"/>
      <c r="FA255" s="20"/>
      <c r="FB255" s="20"/>
      <c r="FC255" s="20"/>
      <c r="FD255" s="20"/>
      <c r="FE255" s="20"/>
      <c r="FF255" s="20"/>
      <c r="FG255" s="20"/>
      <c r="FH255" s="20"/>
      <c r="FI255" s="20"/>
      <c r="FJ255" s="20"/>
      <c r="FK255" s="20"/>
      <c r="FL255" s="20"/>
      <c r="FM255" s="20"/>
      <c r="FN255" s="20"/>
      <c r="FO255" s="20"/>
      <c r="FP255" s="20"/>
      <c r="FQ255" s="20"/>
      <c r="FR255" s="20"/>
      <c r="FS255" s="20"/>
      <c r="FT255" s="20"/>
      <c r="FU255" s="20"/>
      <c r="FV255" s="20"/>
      <c r="FW255" s="20"/>
      <c r="FX255" s="20"/>
      <c r="FY255" s="20"/>
      <c r="FZ255" s="20"/>
      <c r="GA255" s="20"/>
      <c r="GB255" s="20"/>
      <c r="GC255" s="20"/>
      <c r="GD255" s="20"/>
      <c r="GE255" s="20"/>
      <c r="GF255" s="20"/>
      <c r="GG255" s="20"/>
      <c r="GH255" s="20"/>
      <c r="GI255" s="20"/>
      <c r="GJ255" s="20"/>
      <c r="GK255" s="20"/>
      <c r="GL255" s="20"/>
      <c r="GM255" s="20"/>
      <c r="GN255" s="20"/>
      <c r="GO255" s="20"/>
      <c r="GP255" s="20"/>
      <c r="GQ255" s="20"/>
      <c r="GR255" s="20"/>
      <c r="GS255" s="20"/>
      <c r="GT255" s="20"/>
      <c r="GU255" s="20"/>
      <c r="GV255" s="20"/>
      <c r="GW255" s="20"/>
      <c r="GX255" s="20"/>
      <c r="GY255" s="20"/>
      <c r="GZ255" s="20"/>
      <c r="HA255" s="20"/>
      <c r="HB255" s="20"/>
      <c r="HC255" s="20"/>
      <c r="HD255" s="20"/>
      <c r="HE255" s="20"/>
      <c r="HF255" s="20"/>
      <c r="HG255" s="20"/>
      <c r="HH255" s="20"/>
      <c r="HI255" s="20"/>
      <c r="HJ255" s="20"/>
      <c r="HK255" s="20"/>
      <c r="HL255" s="20"/>
      <c r="HM255" s="20"/>
      <c r="HN255" s="20"/>
      <c r="HO255" s="20"/>
      <c r="HP255" s="20"/>
      <c r="HQ255" s="20"/>
      <c r="HR255" s="20"/>
      <c r="HS255" s="20"/>
      <c r="HT255" s="20"/>
      <c r="HU255" s="20"/>
      <c r="HV255" s="20"/>
      <c r="HW255" s="20"/>
      <c r="HX255" s="20"/>
      <c r="HY255" s="20"/>
      <c r="HZ255" s="20"/>
      <c r="IA255" s="20"/>
      <c r="IB255" s="20"/>
      <c r="IC255" s="20"/>
      <c r="ID255" s="20"/>
      <c r="IE255" s="20"/>
      <c r="IF255" s="20"/>
      <c r="IG255" s="20"/>
      <c r="IH255" s="20"/>
      <c r="II255" s="20"/>
      <c r="IJ255" s="20"/>
      <c r="IK255" s="20"/>
      <c r="IL255" s="20"/>
      <c r="IM255" s="20"/>
      <c r="IN255" s="20"/>
      <c r="IO255" s="20"/>
      <c r="IP255" s="20"/>
      <c r="IQ255" s="20"/>
      <c r="IR255" s="20"/>
      <c r="IS255" s="20"/>
      <c r="IT255" s="20"/>
      <c r="IU255" s="20"/>
      <c r="IV255" s="20"/>
      <c r="IW255" s="20"/>
      <c r="IX255" s="20"/>
      <c r="IY255" s="20"/>
      <c r="IZ255" s="20"/>
      <c r="JA255" s="20"/>
      <c r="JB255" s="20"/>
      <c r="JC255" s="20"/>
      <c r="JD255" s="20"/>
      <c r="JE255" s="20"/>
      <c r="JF255" s="20"/>
      <c r="JG255" s="20"/>
      <c r="JH255" s="20"/>
      <c r="JI255" s="20"/>
    </row>
    <row r="256" spans="1:269">
      <c r="A256" s="61" ph="1"/>
      <c r="B256" s="20" ph="1"/>
      <c r="C256" s="20" ph="1"/>
      <c r="D256" s="27" ph="1"/>
      <c r="E256" s="27" ph="1"/>
      <c r="F256" s="27" ph="1"/>
      <c r="G256" s="18" ph="1"/>
      <c r="H256" s="27" ph="1"/>
      <c r="I256" s="27" ph="1"/>
      <c r="J256" s="18" ph="1"/>
      <c r="K256" s="27" ph="1"/>
      <c r="L256" s="27" ph="1"/>
      <c r="M256" s="18" ph="1"/>
      <c r="N256" s="27" ph="1"/>
      <c r="O256" s="27" ph="1"/>
      <c r="P256" s="18" ph="1"/>
      <c r="Q256" s="27" ph="1"/>
      <c r="R256" s="18" ph="1"/>
      <c r="S256" s="18" ph="1"/>
      <c r="T256" s="18" ph="1"/>
      <c r="U256" s="18" ph="1"/>
      <c r="V256" s="18" ph="1"/>
      <c r="W256" s="105" ph="1"/>
      <c r="X256" s="105" ph="1"/>
      <c r="Y256" s="18" ph="1"/>
      <c r="Z256" s="105" ph="1"/>
      <c r="AA256" s="105" ph="1"/>
      <c r="AB256" s="18" ph="1"/>
      <c r="AC256" s="105" ph="1"/>
      <c r="AD256" s="105" ph="1"/>
      <c r="AE256" s="18" ph="1"/>
      <c r="AF256" s="105" ph="1"/>
      <c r="AG256" s="105" ph="1"/>
      <c r="AH256" s="105" ph="1"/>
      <c r="AI256" s="105" ph="1"/>
      <c r="AJ256" s="105" ph="1"/>
      <c r="AK256" s="105" ph="1"/>
      <c r="AL256" s="105" ph="1"/>
      <c r="AM256" s="18" ph="1"/>
      <c r="AN256" s="105" ph="1"/>
      <c r="AO256" s="105" ph="1"/>
      <c r="AP256" s="105" ph="1"/>
      <c r="AQ256" s="18" ph="1"/>
      <c r="AR256" s="105" ph="1"/>
      <c r="AS256" s="105" ph="1"/>
      <c r="AT256" s="105" ph="1"/>
      <c r="AU256" s="18" ph="1"/>
      <c r="AV256" s="105" ph="1"/>
      <c r="AW256" s="105" ph="1"/>
      <c r="AX256" s="18" ph="1"/>
      <c r="AY256" s="105" ph="1"/>
      <c r="AZ256" s="105" ph="1"/>
      <c r="BA256" s="105" ph="1"/>
      <c r="BB256" s="105" ph="1"/>
      <c r="BC256" s="18" ph="1"/>
      <c r="BD256" s="89"/>
      <c r="BE256" s="89"/>
      <c r="BF256" s="89"/>
      <c r="BG256" s="89"/>
      <c r="BH256" s="89"/>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c r="DU256" s="20"/>
      <c r="DV256" s="20"/>
      <c r="DW256" s="20"/>
      <c r="DX256" s="20"/>
      <c r="DY256" s="20"/>
      <c r="DZ256" s="20"/>
      <c r="EA256" s="20"/>
      <c r="EB256" s="20"/>
      <c r="EC256" s="20"/>
      <c r="ED256" s="20"/>
      <c r="EE256" s="20"/>
      <c r="EF256" s="20"/>
      <c r="EG256" s="20"/>
      <c r="EH256" s="20"/>
      <c r="EI256" s="20"/>
      <c r="EJ256" s="20"/>
      <c r="EK256" s="20"/>
      <c r="EL256" s="20"/>
      <c r="EM256" s="20"/>
      <c r="EN256" s="20"/>
      <c r="EO256" s="20"/>
      <c r="EP256" s="20"/>
      <c r="EQ256" s="20"/>
      <c r="ER256" s="20"/>
      <c r="ES256" s="20"/>
      <c r="ET256" s="20"/>
      <c r="EU256" s="20"/>
      <c r="EV256" s="20"/>
      <c r="EW256" s="20"/>
      <c r="EX256" s="20"/>
      <c r="EY256" s="20"/>
      <c r="EZ256" s="20"/>
      <c r="FA256" s="20"/>
      <c r="FB256" s="20"/>
      <c r="FC256" s="20"/>
      <c r="FD256" s="20"/>
      <c r="FE256" s="20"/>
      <c r="FF256" s="20"/>
      <c r="FG256" s="20"/>
      <c r="FH256" s="20"/>
      <c r="FI256" s="20"/>
      <c r="FJ256" s="20"/>
      <c r="FK256" s="20"/>
      <c r="FL256" s="20"/>
      <c r="FM256" s="20"/>
      <c r="FN256" s="20"/>
      <c r="FO256" s="20"/>
      <c r="FP256" s="20"/>
      <c r="FQ256" s="20"/>
      <c r="FR256" s="20"/>
      <c r="FS256" s="20"/>
      <c r="FT256" s="20"/>
      <c r="FU256" s="20"/>
      <c r="FV256" s="20"/>
      <c r="FW256" s="20"/>
      <c r="FX256" s="20"/>
      <c r="FY256" s="20"/>
      <c r="FZ256" s="20"/>
      <c r="GA256" s="20"/>
      <c r="GB256" s="20"/>
      <c r="GC256" s="20"/>
      <c r="GD256" s="20"/>
      <c r="GE256" s="20"/>
      <c r="GF256" s="20"/>
      <c r="GG256" s="20"/>
      <c r="GH256" s="20"/>
      <c r="GI256" s="20"/>
      <c r="GJ256" s="20"/>
      <c r="GK256" s="20"/>
      <c r="GL256" s="20"/>
      <c r="GM256" s="20"/>
      <c r="GN256" s="20"/>
      <c r="GO256" s="20"/>
      <c r="GP256" s="20"/>
      <c r="GQ256" s="20"/>
      <c r="GR256" s="20"/>
      <c r="GS256" s="20"/>
      <c r="GT256" s="20"/>
      <c r="GU256" s="20"/>
      <c r="GV256" s="20"/>
      <c r="GW256" s="20"/>
      <c r="GX256" s="20"/>
      <c r="GY256" s="20"/>
      <c r="GZ256" s="20"/>
      <c r="HA256" s="20"/>
      <c r="HB256" s="20"/>
      <c r="HC256" s="20"/>
      <c r="HD256" s="20"/>
      <c r="HE256" s="20"/>
      <c r="HF256" s="20"/>
      <c r="HG256" s="20"/>
      <c r="HH256" s="20"/>
      <c r="HI256" s="20"/>
      <c r="HJ256" s="20"/>
      <c r="HK256" s="20"/>
      <c r="HL256" s="20"/>
      <c r="HM256" s="20"/>
      <c r="HN256" s="20"/>
      <c r="HO256" s="20"/>
      <c r="HP256" s="20"/>
      <c r="HQ256" s="20"/>
      <c r="HR256" s="20"/>
      <c r="HS256" s="20"/>
      <c r="HT256" s="20"/>
      <c r="HU256" s="20"/>
      <c r="HV256" s="20"/>
      <c r="HW256" s="20"/>
      <c r="HX256" s="20"/>
      <c r="HY256" s="20"/>
      <c r="HZ256" s="20"/>
      <c r="IA256" s="20"/>
      <c r="IB256" s="20"/>
      <c r="IC256" s="20"/>
      <c r="ID256" s="20"/>
      <c r="IE256" s="20"/>
      <c r="IF256" s="20"/>
      <c r="IG256" s="20"/>
      <c r="IH256" s="20"/>
      <c r="II256" s="20"/>
      <c r="IJ256" s="20"/>
      <c r="IK256" s="20"/>
      <c r="IL256" s="20"/>
      <c r="IM256" s="20"/>
      <c r="IN256" s="20"/>
      <c r="IO256" s="20"/>
      <c r="IP256" s="20"/>
      <c r="IQ256" s="20"/>
      <c r="IR256" s="20"/>
      <c r="IS256" s="20"/>
      <c r="IT256" s="20"/>
      <c r="IU256" s="20"/>
      <c r="IV256" s="20"/>
      <c r="IW256" s="20"/>
      <c r="IX256" s="20"/>
      <c r="IY256" s="20"/>
      <c r="IZ256" s="20"/>
      <c r="JA256" s="20"/>
      <c r="JB256" s="20"/>
      <c r="JC256" s="20"/>
      <c r="JD256" s="20"/>
      <c r="JE256" s="20"/>
      <c r="JF256" s="20"/>
      <c r="JG256" s="20"/>
      <c r="JH256" s="20"/>
      <c r="JI256" s="20"/>
    </row>
    <row r="257" spans="1:269">
      <c r="A257" s="61" ph="1"/>
      <c r="B257" s="20" ph="1"/>
      <c r="C257" s="20" ph="1"/>
      <c r="D257" s="27" ph="1"/>
      <c r="E257" s="27" ph="1"/>
      <c r="F257" s="27" ph="1"/>
      <c r="G257" s="18" ph="1"/>
      <c r="H257" s="27" ph="1"/>
      <c r="I257" s="27" ph="1"/>
      <c r="J257" s="18" ph="1"/>
      <c r="K257" s="27" ph="1"/>
      <c r="L257" s="27" ph="1"/>
      <c r="M257" s="18" ph="1"/>
      <c r="N257" s="27" ph="1"/>
      <c r="O257" s="27" ph="1"/>
      <c r="P257" s="18" ph="1"/>
      <c r="Q257" s="27" ph="1"/>
      <c r="R257" s="18" ph="1"/>
      <c r="S257" s="18" ph="1"/>
      <c r="T257" s="18" ph="1"/>
      <c r="U257" s="18" ph="1"/>
      <c r="V257" s="18" ph="1"/>
      <c r="W257" s="105" ph="1"/>
      <c r="X257" s="105" ph="1"/>
      <c r="Y257" s="18" ph="1"/>
      <c r="Z257" s="105" ph="1"/>
      <c r="AA257" s="105" ph="1"/>
      <c r="AB257" s="18" ph="1"/>
      <c r="AC257" s="105" ph="1"/>
      <c r="AD257" s="105" ph="1"/>
      <c r="AE257" s="18" ph="1"/>
      <c r="AF257" s="105" ph="1"/>
      <c r="AG257" s="105" ph="1"/>
      <c r="AH257" s="105" ph="1"/>
      <c r="AI257" s="105" ph="1"/>
      <c r="AJ257" s="105" ph="1"/>
      <c r="AK257" s="105" ph="1"/>
      <c r="AL257" s="105" ph="1"/>
      <c r="AM257" s="18" ph="1"/>
      <c r="AN257" s="105" ph="1"/>
      <c r="AO257" s="105" ph="1"/>
      <c r="AP257" s="105" ph="1"/>
      <c r="AQ257" s="18" ph="1"/>
      <c r="AR257" s="105" ph="1"/>
      <c r="AS257" s="105" ph="1"/>
      <c r="AT257" s="105" ph="1"/>
      <c r="AU257" s="18" ph="1"/>
      <c r="AV257" s="105" ph="1"/>
      <c r="AW257" s="105" ph="1"/>
      <c r="AX257" s="18" ph="1"/>
      <c r="AY257" s="105" ph="1"/>
      <c r="AZ257" s="105" ph="1"/>
      <c r="BA257" s="105" ph="1"/>
      <c r="BB257" s="105" ph="1"/>
      <c r="BC257" s="18" ph="1"/>
      <c r="BD257" s="89"/>
      <c r="BE257" s="89"/>
      <c r="BF257" s="89"/>
      <c r="BG257" s="89"/>
      <c r="BH257" s="89"/>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c r="DU257" s="20"/>
      <c r="DV257" s="20"/>
      <c r="DW257" s="20"/>
      <c r="DX257" s="20"/>
      <c r="DY257" s="20"/>
      <c r="DZ257" s="20"/>
      <c r="EA257" s="20"/>
      <c r="EB257" s="20"/>
      <c r="EC257" s="20"/>
      <c r="ED257" s="20"/>
      <c r="EE257" s="20"/>
      <c r="EF257" s="20"/>
      <c r="EG257" s="20"/>
      <c r="EH257" s="20"/>
      <c r="EI257" s="20"/>
      <c r="EJ257" s="20"/>
      <c r="EK257" s="20"/>
      <c r="EL257" s="20"/>
      <c r="EM257" s="20"/>
      <c r="EN257" s="20"/>
      <c r="EO257" s="20"/>
      <c r="EP257" s="20"/>
      <c r="EQ257" s="20"/>
      <c r="ER257" s="20"/>
      <c r="ES257" s="20"/>
      <c r="ET257" s="20"/>
      <c r="EU257" s="20"/>
      <c r="EV257" s="20"/>
      <c r="EW257" s="20"/>
      <c r="EX257" s="20"/>
      <c r="EY257" s="20"/>
      <c r="EZ257" s="20"/>
      <c r="FA257" s="20"/>
      <c r="FB257" s="20"/>
      <c r="FC257" s="20"/>
      <c r="FD257" s="20"/>
      <c r="FE257" s="20"/>
      <c r="FF257" s="20"/>
      <c r="FG257" s="20"/>
      <c r="FH257" s="20"/>
      <c r="FI257" s="20"/>
      <c r="FJ257" s="20"/>
      <c r="FK257" s="20"/>
      <c r="FL257" s="20"/>
      <c r="FM257" s="20"/>
      <c r="FN257" s="20"/>
      <c r="FO257" s="20"/>
      <c r="FP257" s="20"/>
      <c r="FQ257" s="20"/>
      <c r="FR257" s="20"/>
      <c r="FS257" s="20"/>
      <c r="FT257" s="20"/>
      <c r="FU257" s="20"/>
      <c r="FV257" s="20"/>
      <c r="FW257" s="20"/>
      <c r="FX257" s="20"/>
      <c r="FY257" s="20"/>
      <c r="FZ257" s="20"/>
      <c r="GA257" s="20"/>
      <c r="GB257" s="20"/>
      <c r="GC257" s="20"/>
      <c r="GD257" s="20"/>
      <c r="GE257" s="20"/>
      <c r="GF257" s="20"/>
      <c r="GG257" s="20"/>
      <c r="GH257" s="20"/>
      <c r="GI257" s="20"/>
      <c r="GJ257" s="20"/>
      <c r="GK257" s="20"/>
      <c r="GL257" s="20"/>
      <c r="GM257" s="20"/>
      <c r="GN257" s="20"/>
      <c r="GO257" s="20"/>
      <c r="GP257" s="20"/>
      <c r="GQ257" s="20"/>
      <c r="GR257" s="20"/>
      <c r="GS257" s="20"/>
      <c r="GT257" s="20"/>
      <c r="GU257" s="20"/>
      <c r="GV257" s="20"/>
      <c r="GW257" s="20"/>
      <c r="GX257" s="20"/>
      <c r="GY257" s="20"/>
      <c r="GZ257" s="20"/>
      <c r="HA257" s="20"/>
      <c r="HB257" s="20"/>
      <c r="HC257" s="20"/>
      <c r="HD257" s="20"/>
      <c r="HE257" s="20"/>
      <c r="HF257" s="20"/>
      <c r="HG257" s="20"/>
      <c r="HH257" s="20"/>
      <c r="HI257" s="20"/>
      <c r="HJ257" s="20"/>
      <c r="HK257" s="20"/>
      <c r="HL257" s="20"/>
      <c r="HM257" s="20"/>
      <c r="HN257" s="20"/>
      <c r="HO257" s="20"/>
      <c r="HP257" s="20"/>
      <c r="HQ257" s="20"/>
      <c r="HR257" s="20"/>
      <c r="HS257" s="20"/>
      <c r="HT257" s="20"/>
      <c r="HU257" s="20"/>
      <c r="HV257" s="20"/>
      <c r="HW257" s="20"/>
      <c r="HX257" s="20"/>
      <c r="HY257" s="20"/>
      <c r="HZ257" s="20"/>
      <c r="IA257" s="20"/>
      <c r="IB257" s="20"/>
      <c r="IC257" s="20"/>
      <c r="ID257" s="20"/>
      <c r="IE257" s="20"/>
      <c r="IF257" s="20"/>
      <c r="IG257" s="20"/>
      <c r="IH257" s="20"/>
      <c r="II257" s="20"/>
      <c r="IJ257" s="20"/>
      <c r="IK257" s="20"/>
      <c r="IL257" s="20"/>
      <c r="IM257" s="20"/>
      <c r="IN257" s="20"/>
      <c r="IO257" s="20"/>
      <c r="IP257" s="20"/>
      <c r="IQ257" s="20"/>
      <c r="IR257" s="20"/>
      <c r="IS257" s="20"/>
      <c r="IT257" s="20"/>
      <c r="IU257" s="20"/>
      <c r="IV257" s="20"/>
      <c r="IW257" s="20"/>
      <c r="IX257" s="20"/>
      <c r="IY257" s="20"/>
      <c r="IZ257" s="20"/>
      <c r="JA257" s="20"/>
      <c r="JB257" s="20"/>
      <c r="JC257" s="20"/>
      <c r="JD257" s="20"/>
      <c r="JE257" s="20"/>
      <c r="JF257" s="20"/>
      <c r="JG257" s="20"/>
      <c r="JH257" s="20"/>
      <c r="JI257" s="20"/>
    </row>
    <row r="258" spans="1:269">
      <c r="A258" s="61" ph="1"/>
      <c r="B258" s="20" ph="1"/>
      <c r="C258" s="20" ph="1"/>
      <c r="D258" s="27" ph="1"/>
      <c r="E258" s="27" ph="1"/>
      <c r="F258" s="27" ph="1"/>
      <c r="G258" s="18" ph="1"/>
      <c r="H258" s="27" ph="1"/>
      <c r="I258" s="27" ph="1"/>
      <c r="J258" s="18" ph="1"/>
      <c r="K258" s="27" ph="1"/>
      <c r="L258" s="27" ph="1"/>
      <c r="M258" s="18" ph="1"/>
      <c r="N258" s="27" ph="1"/>
      <c r="O258" s="27" ph="1"/>
      <c r="P258" s="18" ph="1"/>
      <c r="Q258" s="27" ph="1"/>
      <c r="R258" s="18" ph="1"/>
      <c r="S258" s="18" ph="1"/>
      <c r="T258" s="18" ph="1"/>
      <c r="U258" s="18" ph="1"/>
      <c r="V258" s="18" ph="1"/>
      <c r="W258" s="105" ph="1"/>
      <c r="X258" s="105" ph="1"/>
      <c r="Y258" s="18" ph="1"/>
      <c r="Z258" s="105" ph="1"/>
      <c r="AA258" s="105" ph="1"/>
      <c r="AB258" s="18" ph="1"/>
      <c r="AC258" s="105" ph="1"/>
      <c r="AD258" s="105" ph="1"/>
      <c r="AE258" s="18" ph="1"/>
      <c r="AF258" s="105" ph="1"/>
      <c r="AG258" s="105" ph="1"/>
      <c r="AH258" s="105" ph="1"/>
      <c r="AI258" s="105" ph="1"/>
      <c r="AJ258" s="105" ph="1"/>
      <c r="AK258" s="105" ph="1"/>
      <c r="AL258" s="105" ph="1"/>
      <c r="AM258" s="18" ph="1"/>
      <c r="AN258" s="105" ph="1"/>
      <c r="AO258" s="105" ph="1"/>
      <c r="AP258" s="105" ph="1"/>
      <c r="AQ258" s="18" ph="1"/>
      <c r="AR258" s="105" ph="1"/>
      <c r="AS258" s="105" ph="1"/>
      <c r="AT258" s="105" ph="1"/>
      <c r="AU258" s="18" ph="1"/>
      <c r="AV258" s="105" ph="1"/>
      <c r="AW258" s="105" ph="1"/>
      <c r="AX258" s="18" ph="1"/>
      <c r="AY258" s="105" ph="1"/>
      <c r="AZ258" s="105" ph="1"/>
      <c r="BA258" s="105" ph="1"/>
      <c r="BB258" s="105" ph="1"/>
      <c r="BC258" s="18" ph="1"/>
      <c r="BD258" s="89"/>
      <c r="BE258" s="89"/>
      <c r="BF258" s="89"/>
      <c r="BG258" s="89"/>
      <c r="BH258" s="89"/>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c r="DU258" s="20"/>
      <c r="DV258" s="20"/>
      <c r="DW258" s="20"/>
      <c r="DX258" s="20"/>
      <c r="DY258" s="20"/>
      <c r="DZ258" s="20"/>
      <c r="EA258" s="20"/>
      <c r="EB258" s="20"/>
      <c r="EC258" s="20"/>
      <c r="ED258" s="20"/>
      <c r="EE258" s="20"/>
      <c r="EF258" s="20"/>
      <c r="EG258" s="20"/>
      <c r="EH258" s="20"/>
      <c r="EI258" s="20"/>
      <c r="EJ258" s="20"/>
      <c r="EK258" s="20"/>
      <c r="EL258" s="20"/>
      <c r="EM258" s="20"/>
      <c r="EN258" s="20"/>
      <c r="EO258" s="20"/>
      <c r="EP258" s="20"/>
      <c r="EQ258" s="20"/>
      <c r="ER258" s="20"/>
      <c r="ES258" s="20"/>
      <c r="ET258" s="20"/>
      <c r="EU258" s="20"/>
      <c r="EV258" s="20"/>
      <c r="EW258" s="20"/>
      <c r="EX258" s="20"/>
      <c r="EY258" s="20"/>
      <c r="EZ258" s="20"/>
      <c r="FA258" s="20"/>
      <c r="FB258" s="20"/>
      <c r="FC258" s="20"/>
      <c r="FD258" s="20"/>
      <c r="FE258" s="20"/>
      <c r="FF258" s="20"/>
      <c r="FG258" s="20"/>
      <c r="FH258" s="20"/>
      <c r="FI258" s="20"/>
      <c r="FJ258" s="20"/>
      <c r="FK258" s="20"/>
      <c r="FL258" s="20"/>
      <c r="FM258" s="20"/>
      <c r="FN258" s="20"/>
      <c r="FO258" s="20"/>
      <c r="FP258" s="20"/>
      <c r="FQ258" s="20"/>
      <c r="FR258" s="20"/>
      <c r="FS258" s="20"/>
      <c r="FT258" s="20"/>
      <c r="FU258" s="20"/>
      <c r="FV258" s="20"/>
      <c r="FW258" s="20"/>
      <c r="FX258" s="20"/>
      <c r="FY258" s="20"/>
      <c r="FZ258" s="20"/>
      <c r="GA258" s="20"/>
      <c r="GB258" s="20"/>
      <c r="GC258" s="20"/>
      <c r="GD258" s="20"/>
      <c r="GE258" s="20"/>
      <c r="GF258" s="20"/>
      <c r="GG258" s="20"/>
      <c r="GH258" s="20"/>
      <c r="GI258" s="20"/>
      <c r="GJ258" s="20"/>
      <c r="GK258" s="20"/>
      <c r="GL258" s="20"/>
      <c r="GM258" s="20"/>
      <c r="GN258" s="20"/>
      <c r="GO258" s="20"/>
      <c r="GP258" s="20"/>
      <c r="GQ258" s="20"/>
      <c r="GR258" s="20"/>
      <c r="GS258" s="20"/>
      <c r="GT258" s="20"/>
      <c r="GU258" s="20"/>
      <c r="GV258" s="20"/>
      <c r="GW258" s="20"/>
      <c r="GX258" s="20"/>
      <c r="GY258" s="20"/>
      <c r="GZ258" s="20"/>
      <c r="HA258" s="20"/>
      <c r="HB258" s="20"/>
      <c r="HC258" s="20"/>
      <c r="HD258" s="20"/>
      <c r="HE258" s="20"/>
      <c r="HF258" s="20"/>
      <c r="HG258" s="20"/>
      <c r="HH258" s="20"/>
      <c r="HI258" s="20"/>
      <c r="HJ258" s="20"/>
      <c r="HK258" s="20"/>
      <c r="HL258" s="20"/>
      <c r="HM258" s="20"/>
      <c r="HN258" s="20"/>
      <c r="HO258" s="20"/>
      <c r="HP258" s="20"/>
      <c r="HQ258" s="20"/>
      <c r="HR258" s="20"/>
      <c r="HS258" s="20"/>
      <c r="HT258" s="20"/>
      <c r="HU258" s="20"/>
      <c r="HV258" s="20"/>
      <c r="HW258" s="20"/>
      <c r="HX258" s="20"/>
      <c r="HY258" s="20"/>
      <c r="HZ258" s="20"/>
      <c r="IA258" s="20"/>
      <c r="IB258" s="20"/>
      <c r="IC258" s="20"/>
      <c r="ID258" s="20"/>
      <c r="IE258" s="20"/>
      <c r="IF258" s="20"/>
      <c r="IG258" s="20"/>
      <c r="IH258" s="20"/>
      <c r="II258" s="20"/>
      <c r="IJ258" s="20"/>
      <c r="IK258" s="20"/>
      <c r="IL258" s="20"/>
      <c r="IM258" s="20"/>
      <c r="IN258" s="20"/>
      <c r="IO258" s="20"/>
      <c r="IP258" s="20"/>
      <c r="IQ258" s="20"/>
      <c r="IR258" s="20"/>
      <c r="IS258" s="20"/>
      <c r="IT258" s="20"/>
      <c r="IU258" s="20"/>
      <c r="IV258" s="20"/>
      <c r="IW258" s="20"/>
      <c r="IX258" s="20"/>
      <c r="IY258" s="20"/>
      <c r="IZ258" s="20"/>
      <c r="JA258" s="20"/>
      <c r="JB258" s="20"/>
      <c r="JC258" s="20"/>
      <c r="JD258" s="20"/>
      <c r="JE258" s="20"/>
      <c r="JF258" s="20"/>
      <c r="JG258" s="20"/>
      <c r="JH258" s="20"/>
      <c r="JI258" s="20"/>
    </row>
    <row r="259" spans="1:269">
      <c r="A259" s="61" ph="1"/>
      <c r="B259" s="20" ph="1"/>
      <c r="C259" s="20" ph="1"/>
      <c r="D259" s="27" ph="1"/>
      <c r="E259" s="27" ph="1"/>
      <c r="F259" s="27" ph="1"/>
      <c r="G259" s="18" ph="1"/>
      <c r="H259" s="27" ph="1"/>
      <c r="I259" s="27" ph="1"/>
      <c r="J259" s="18" ph="1"/>
      <c r="K259" s="27" ph="1"/>
      <c r="L259" s="27" ph="1"/>
      <c r="M259" s="18" ph="1"/>
      <c r="N259" s="27" ph="1"/>
      <c r="O259" s="27" ph="1"/>
      <c r="P259" s="18" ph="1"/>
      <c r="Q259" s="27" ph="1"/>
      <c r="R259" s="18" ph="1"/>
      <c r="S259" s="18" ph="1"/>
      <c r="T259" s="18" ph="1"/>
      <c r="U259" s="18" ph="1"/>
      <c r="V259" s="18" ph="1"/>
      <c r="W259" s="105" ph="1"/>
      <c r="X259" s="105" ph="1"/>
      <c r="Y259" s="18" ph="1"/>
      <c r="Z259" s="105" ph="1"/>
      <c r="AA259" s="105" ph="1"/>
      <c r="AB259" s="18" ph="1"/>
      <c r="AC259" s="105" ph="1"/>
      <c r="AD259" s="105" ph="1"/>
      <c r="AE259" s="18" ph="1"/>
      <c r="AF259" s="105" ph="1"/>
      <c r="AG259" s="105" ph="1"/>
      <c r="AH259" s="105" ph="1"/>
      <c r="AI259" s="105" ph="1"/>
      <c r="AJ259" s="105" ph="1"/>
      <c r="AK259" s="105" ph="1"/>
      <c r="AL259" s="105" ph="1"/>
      <c r="AM259" s="18" ph="1"/>
      <c r="AN259" s="105" ph="1"/>
      <c r="AO259" s="105" ph="1"/>
      <c r="AP259" s="105" ph="1"/>
      <c r="AQ259" s="18" ph="1"/>
      <c r="AR259" s="105" ph="1"/>
      <c r="AS259" s="105" ph="1"/>
      <c r="AT259" s="105" ph="1"/>
      <c r="AU259" s="18" ph="1"/>
      <c r="AV259" s="105" ph="1"/>
      <c r="AW259" s="105" ph="1"/>
      <c r="AX259" s="18" ph="1"/>
      <c r="AY259" s="105" ph="1"/>
      <c r="AZ259" s="105" ph="1"/>
      <c r="BA259" s="105" ph="1"/>
      <c r="BB259" s="105" ph="1"/>
      <c r="BC259" s="18" ph="1"/>
      <c r="BD259" s="89"/>
      <c r="BE259" s="89"/>
      <c r="BF259" s="89"/>
      <c r="BG259" s="89"/>
      <c r="BH259" s="89"/>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c r="DU259" s="20"/>
      <c r="DV259" s="20"/>
      <c r="DW259" s="20"/>
      <c r="DX259" s="20"/>
      <c r="DY259" s="20"/>
      <c r="DZ259" s="20"/>
      <c r="EA259" s="20"/>
      <c r="EB259" s="20"/>
      <c r="EC259" s="20"/>
      <c r="ED259" s="20"/>
      <c r="EE259" s="20"/>
      <c r="EF259" s="20"/>
      <c r="EG259" s="20"/>
      <c r="EH259" s="20"/>
      <c r="EI259" s="20"/>
      <c r="EJ259" s="20"/>
      <c r="EK259" s="20"/>
      <c r="EL259" s="20"/>
      <c r="EM259" s="20"/>
      <c r="EN259" s="20"/>
      <c r="EO259" s="20"/>
      <c r="EP259" s="20"/>
      <c r="EQ259" s="20"/>
      <c r="ER259" s="20"/>
      <c r="ES259" s="20"/>
      <c r="ET259" s="20"/>
      <c r="EU259" s="20"/>
      <c r="EV259" s="20"/>
      <c r="EW259" s="20"/>
      <c r="EX259" s="20"/>
      <c r="EY259" s="20"/>
      <c r="EZ259" s="20"/>
      <c r="FA259" s="20"/>
      <c r="FB259" s="20"/>
      <c r="FC259" s="20"/>
      <c r="FD259" s="20"/>
      <c r="FE259" s="20"/>
      <c r="FF259" s="20"/>
      <c r="FG259" s="20"/>
      <c r="FH259" s="20"/>
      <c r="FI259" s="20"/>
      <c r="FJ259" s="20"/>
      <c r="FK259" s="20"/>
      <c r="FL259" s="20"/>
      <c r="FM259" s="20"/>
      <c r="FN259" s="20"/>
      <c r="FO259" s="20"/>
      <c r="FP259" s="20"/>
      <c r="FQ259" s="20"/>
      <c r="FR259" s="20"/>
      <c r="FS259" s="20"/>
      <c r="FT259" s="20"/>
      <c r="FU259" s="20"/>
      <c r="FV259" s="20"/>
      <c r="FW259" s="20"/>
      <c r="FX259" s="20"/>
      <c r="FY259" s="20"/>
      <c r="FZ259" s="20"/>
      <c r="GA259" s="20"/>
      <c r="GB259" s="20"/>
      <c r="GC259" s="20"/>
      <c r="GD259" s="20"/>
      <c r="GE259" s="20"/>
      <c r="GF259" s="20"/>
      <c r="GG259" s="20"/>
      <c r="GH259" s="20"/>
      <c r="GI259" s="20"/>
      <c r="GJ259" s="20"/>
      <c r="GK259" s="20"/>
      <c r="GL259" s="20"/>
      <c r="GM259" s="20"/>
      <c r="GN259" s="20"/>
      <c r="GO259" s="20"/>
      <c r="GP259" s="20"/>
      <c r="GQ259" s="20"/>
      <c r="GR259" s="20"/>
      <c r="GS259" s="20"/>
      <c r="GT259" s="20"/>
      <c r="GU259" s="20"/>
      <c r="GV259" s="20"/>
      <c r="GW259" s="20"/>
      <c r="GX259" s="20"/>
      <c r="GY259" s="20"/>
      <c r="GZ259" s="20"/>
      <c r="HA259" s="20"/>
      <c r="HB259" s="20"/>
      <c r="HC259" s="20"/>
      <c r="HD259" s="20"/>
      <c r="HE259" s="20"/>
      <c r="HF259" s="20"/>
      <c r="HG259" s="20"/>
      <c r="HH259" s="20"/>
      <c r="HI259" s="20"/>
      <c r="HJ259" s="20"/>
      <c r="HK259" s="20"/>
      <c r="HL259" s="20"/>
      <c r="HM259" s="20"/>
      <c r="HN259" s="20"/>
      <c r="HO259" s="20"/>
      <c r="HP259" s="20"/>
      <c r="HQ259" s="20"/>
      <c r="HR259" s="20"/>
      <c r="HS259" s="20"/>
      <c r="HT259" s="20"/>
      <c r="HU259" s="20"/>
      <c r="HV259" s="20"/>
      <c r="HW259" s="20"/>
      <c r="HX259" s="20"/>
      <c r="HY259" s="20"/>
      <c r="HZ259" s="20"/>
      <c r="IA259" s="20"/>
      <c r="IB259" s="20"/>
      <c r="IC259" s="20"/>
      <c r="ID259" s="20"/>
      <c r="IE259" s="20"/>
      <c r="IF259" s="20"/>
      <c r="IG259" s="20"/>
      <c r="IH259" s="20"/>
      <c r="II259" s="20"/>
      <c r="IJ259" s="20"/>
      <c r="IK259" s="20"/>
      <c r="IL259" s="20"/>
      <c r="IM259" s="20"/>
      <c r="IN259" s="20"/>
      <c r="IO259" s="20"/>
      <c r="IP259" s="20"/>
      <c r="IQ259" s="20"/>
      <c r="IR259" s="20"/>
      <c r="IS259" s="20"/>
      <c r="IT259" s="20"/>
      <c r="IU259" s="20"/>
      <c r="IV259" s="20"/>
      <c r="IW259" s="20"/>
      <c r="IX259" s="20"/>
      <c r="IY259" s="20"/>
      <c r="IZ259" s="20"/>
      <c r="JA259" s="20"/>
      <c r="JB259" s="20"/>
      <c r="JC259" s="20"/>
      <c r="JD259" s="20"/>
      <c r="JE259" s="20"/>
      <c r="JF259" s="20"/>
      <c r="JG259" s="20"/>
      <c r="JH259" s="20"/>
      <c r="JI259" s="20"/>
    </row>
    <row r="260" spans="1:269">
      <c r="A260" s="61" ph="1"/>
      <c r="B260" s="20" ph="1"/>
      <c r="C260" s="20" ph="1"/>
      <c r="D260" s="27" ph="1"/>
      <c r="E260" s="27" ph="1"/>
      <c r="F260" s="27" ph="1"/>
      <c r="G260" s="18" ph="1"/>
      <c r="H260" s="27" ph="1"/>
      <c r="I260" s="27" ph="1"/>
      <c r="J260" s="18" ph="1"/>
      <c r="K260" s="27" ph="1"/>
      <c r="L260" s="27" ph="1"/>
      <c r="M260" s="18" ph="1"/>
      <c r="N260" s="27" ph="1"/>
      <c r="O260" s="27" ph="1"/>
      <c r="P260" s="18" ph="1"/>
      <c r="Q260" s="27" ph="1"/>
      <c r="R260" s="18" ph="1"/>
      <c r="S260" s="18" ph="1"/>
      <c r="T260" s="18" ph="1"/>
      <c r="U260" s="18" ph="1"/>
      <c r="V260" s="18" ph="1"/>
      <c r="W260" s="105" ph="1"/>
      <c r="X260" s="105" ph="1"/>
      <c r="Y260" s="18" ph="1"/>
      <c r="Z260" s="105" ph="1"/>
      <c r="AA260" s="105" ph="1"/>
      <c r="AB260" s="18" ph="1"/>
      <c r="AC260" s="105" ph="1"/>
      <c r="AD260" s="105" ph="1"/>
      <c r="AE260" s="18" ph="1"/>
      <c r="AF260" s="105" ph="1"/>
      <c r="AG260" s="105" ph="1"/>
      <c r="AH260" s="105" ph="1"/>
      <c r="AI260" s="105" ph="1"/>
      <c r="AJ260" s="105" ph="1"/>
      <c r="AK260" s="105" ph="1"/>
      <c r="AL260" s="105" ph="1"/>
      <c r="AM260" s="18" ph="1"/>
      <c r="AN260" s="105" ph="1"/>
      <c r="AO260" s="105" ph="1"/>
      <c r="AP260" s="105" ph="1"/>
      <c r="AQ260" s="18" ph="1"/>
      <c r="AR260" s="105" ph="1"/>
      <c r="AS260" s="105" ph="1"/>
      <c r="AT260" s="105" ph="1"/>
      <c r="AU260" s="18" ph="1"/>
      <c r="AV260" s="105" ph="1"/>
      <c r="AW260" s="105" ph="1"/>
      <c r="AX260" s="18" ph="1"/>
      <c r="AY260" s="105" ph="1"/>
      <c r="AZ260" s="105" ph="1"/>
      <c r="BA260" s="105" ph="1"/>
      <c r="BB260" s="105" ph="1"/>
      <c r="BC260" s="18" ph="1"/>
      <c r="BD260" s="89"/>
      <c r="BE260" s="89"/>
      <c r="BF260" s="89"/>
      <c r="BG260" s="89"/>
      <c r="BH260" s="89"/>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c r="DU260" s="20"/>
      <c r="DV260" s="20"/>
      <c r="DW260" s="20"/>
      <c r="DX260" s="20"/>
      <c r="DY260" s="20"/>
      <c r="DZ260" s="20"/>
      <c r="EA260" s="20"/>
      <c r="EB260" s="20"/>
      <c r="EC260" s="20"/>
      <c r="ED260" s="20"/>
      <c r="EE260" s="20"/>
      <c r="EF260" s="20"/>
      <c r="EG260" s="20"/>
      <c r="EH260" s="20"/>
      <c r="EI260" s="20"/>
      <c r="EJ260" s="20"/>
      <c r="EK260" s="20"/>
      <c r="EL260" s="20"/>
      <c r="EM260" s="20"/>
      <c r="EN260" s="20"/>
      <c r="EO260" s="20"/>
      <c r="EP260" s="20"/>
      <c r="EQ260" s="20"/>
      <c r="ER260" s="20"/>
      <c r="ES260" s="20"/>
      <c r="ET260" s="20"/>
      <c r="EU260" s="20"/>
      <c r="EV260" s="20"/>
      <c r="EW260" s="20"/>
      <c r="EX260" s="20"/>
      <c r="EY260" s="20"/>
      <c r="EZ260" s="20"/>
      <c r="FA260" s="20"/>
      <c r="FB260" s="20"/>
      <c r="FC260" s="20"/>
      <c r="FD260" s="20"/>
      <c r="FE260" s="20"/>
      <c r="FF260" s="20"/>
      <c r="FG260" s="20"/>
      <c r="FH260" s="20"/>
      <c r="FI260" s="20"/>
      <c r="FJ260" s="20"/>
      <c r="FK260" s="20"/>
      <c r="FL260" s="20"/>
      <c r="FM260" s="20"/>
      <c r="FN260" s="20"/>
      <c r="FO260" s="20"/>
      <c r="FP260" s="20"/>
      <c r="FQ260" s="20"/>
      <c r="FR260" s="20"/>
      <c r="FS260" s="20"/>
      <c r="FT260" s="20"/>
      <c r="FU260" s="20"/>
      <c r="FV260" s="20"/>
      <c r="FW260" s="20"/>
      <c r="FX260" s="20"/>
      <c r="FY260" s="20"/>
      <c r="FZ260" s="20"/>
      <c r="GA260" s="20"/>
      <c r="GB260" s="20"/>
      <c r="GC260" s="20"/>
      <c r="GD260" s="20"/>
      <c r="GE260" s="20"/>
      <c r="GF260" s="20"/>
      <c r="GG260" s="20"/>
      <c r="GH260" s="20"/>
      <c r="GI260" s="20"/>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20"/>
      <c r="HP260" s="20"/>
      <c r="HQ260" s="20"/>
      <c r="HR260" s="20"/>
      <c r="HS260" s="20"/>
      <c r="HT260" s="20"/>
      <c r="HU260" s="20"/>
      <c r="HV260" s="20"/>
      <c r="HW260" s="20"/>
      <c r="HX260" s="20"/>
      <c r="HY260" s="20"/>
      <c r="HZ260" s="20"/>
      <c r="IA260" s="20"/>
      <c r="IB260" s="20"/>
      <c r="IC260" s="20"/>
      <c r="ID260" s="20"/>
      <c r="IE260" s="20"/>
      <c r="IF260" s="20"/>
      <c r="IG260" s="20"/>
      <c r="IH260" s="20"/>
      <c r="II260" s="20"/>
      <c r="IJ260" s="20"/>
      <c r="IK260" s="20"/>
      <c r="IL260" s="20"/>
      <c r="IM260" s="20"/>
      <c r="IN260" s="20"/>
      <c r="IO260" s="20"/>
      <c r="IP260" s="20"/>
      <c r="IQ260" s="20"/>
      <c r="IR260" s="20"/>
      <c r="IS260" s="20"/>
      <c r="IT260" s="20"/>
      <c r="IU260" s="20"/>
      <c r="IV260" s="20"/>
      <c r="IW260" s="20"/>
      <c r="IX260" s="20"/>
      <c r="IY260" s="20"/>
      <c r="IZ260" s="20"/>
      <c r="JA260" s="20"/>
      <c r="JB260" s="20"/>
      <c r="JC260" s="20"/>
      <c r="JD260" s="20"/>
      <c r="JE260" s="20"/>
      <c r="JF260" s="20"/>
      <c r="JG260" s="20"/>
      <c r="JH260" s="20"/>
      <c r="JI260" s="20"/>
    </row>
    <row r="261" spans="1:269">
      <c r="A261" s="61" ph="1"/>
      <c r="B261" s="20" ph="1"/>
      <c r="C261" s="20" ph="1"/>
      <c r="D261" s="27" ph="1"/>
      <c r="E261" s="27" ph="1"/>
      <c r="F261" s="27" ph="1"/>
      <c r="G261" s="18" ph="1"/>
      <c r="H261" s="27" ph="1"/>
      <c r="I261" s="27" ph="1"/>
      <c r="J261" s="18" ph="1"/>
      <c r="K261" s="27" ph="1"/>
      <c r="L261" s="27" ph="1"/>
      <c r="M261" s="18" ph="1"/>
      <c r="N261" s="27" ph="1"/>
      <c r="O261" s="27" ph="1"/>
      <c r="P261" s="18" ph="1"/>
      <c r="Q261" s="27" ph="1"/>
      <c r="R261" s="18" ph="1"/>
      <c r="S261" s="18" ph="1"/>
      <c r="T261" s="18" ph="1"/>
      <c r="U261" s="18" ph="1"/>
      <c r="V261" s="18" ph="1"/>
      <c r="W261" s="105" ph="1"/>
      <c r="X261" s="105" ph="1"/>
      <c r="Y261" s="18" ph="1"/>
      <c r="Z261" s="105" ph="1"/>
      <c r="AA261" s="105" ph="1"/>
      <c r="AB261" s="18" ph="1"/>
      <c r="AC261" s="105" ph="1"/>
      <c r="AD261" s="105" ph="1"/>
      <c r="AE261" s="18" ph="1"/>
      <c r="AF261" s="105" ph="1"/>
      <c r="AG261" s="105" ph="1"/>
      <c r="AH261" s="105" ph="1"/>
      <c r="AI261" s="105" ph="1"/>
      <c r="AJ261" s="105" ph="1"/>
      <c r="AK261" s="105" ph="1"/>
      <c r="AL261" s="105" ph="1"/>
      <c r="AM261" s="18" ph="1"/>
      <c r="AN261" s="105" ph="1"/>
      <c r="AO261" s="105" ph="1"/>
      <c r="AP261" s="105" ph="1"/>
      <c r="AQ261" s="18" ph="1"/>
      <c r="AR261" s="105" ph="1"/>
      <c r="AS261" s="105" ph="1"/>
      <c r="AT261" s="105" ph="1"/>
      <c r="AU261" s="18" ph="1"/>
      <c r="AV261" s="105" ph="1"/>
      <c r="AW261" s="105" ph="1"/>
      <c r="AX261" s="18" ph="1"/>
      <c r="AY261" s="105" ph="1"/>
      <c r="AZ261" s="105" ph="1"/>
      <c r="BA261" s="105" ph="1"/>
      <c r="BB261" s="105" ph="1"/>
      <c r="BC261" s="18" ph="1"/>
      <c r="BD261" s="89"/>
      <c r="BE261" s="89"/>
      <c r="BF261" s="89"/>
      <c r="BG261" s="89"/>
      <c r="BH261" s="89"/>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c r="DU261" s="20"/>
      <c r="DV261" s="20"/>
      <c r="DW261" s="20"/>
      <c r="DX261" s="20"/>
      <c r="DY261" s="20"/>
      <c r="DZ261" s="20"/>
      <c r="EA261" s="20"/>
      <c r="EB261" s="20"/>
      <c r="EC261" s="20"/>
      <c r="ED261" s="20"/>
      <c r="EE261" s="20"/>
      <c r="EF261" s="20"/>
      <c r="EG261" s="20"/>
      <c r="EH261" s="20"/>
      <c r="EI261" s="20"/>
      <c r="EJ261" s="20"/>
      <c r="EK261" s="20"/>
      <c r="EL261" s="20"/>
      <c r="EM261" s="20"/>
      <c r="EN261" s="20"/>
      <c r="EO261" s="20"/>
      <c r="EP261" s="20"/>
      <c r="EQ261" s="20"/>
      <c r="ER261" s="20"/>
      <c r="ES261" s="20"/>
      <c r="ET261" s="20"/>
      <c r="EU261" s="20"/>
      <c r="EV261" s="20"/>
      <c r="EW261" s="20"/>
      <c r="EX261" s="20"/>
      <c r="EY261" s="20"/>
      <c r="EZ261" s="20"/>
      <c r="FA261" s="20"/>
      <c r="FB261" s="20"/>
      <c r="FC261" s="20"/>
      <c r="FD261" s="20"/>
      <c r="FE261" s="20"/>
      <c r="FF261" s="20"/>
      <c r="FG261" s="20"/>
      <c r="FH261" s="20"/>
      <c r="FI261" s="20"/>
      <c r="FJ261" s="20"/>
      <c r="FK261" s="20"/>
      <c r="FL261" s="20"/>
      <c r="FM261" s="20"/>
      <c r="FN261" s="20"/>
      <c r="FO261" s="20"/>
      <c r="FP261" s="20"/>
      <c r="FQ261" s="20"/>
      <c r="FR261" s="20"/>
      <c r="FS261" s="20"/>
      <c r="FT261" s="20"/>
      <c r="FU261" s="20"/>
      <c r="FV261" s="20"/>
      <c r="FW261" s="20"/>
      <c r="FX261" s="20"/>
      <c r="FY261" s="20"/>
      <c r="FZ261" s="20"/>
      <c r="GA261" s="20"/>
      <c r="GB261" s="20"/>
      <c r="GC261" s="20"/>
      <c r="GD261" s="20"/>
      <c r="GE261" s="20"/>
      <c r="GF261" s="20"/>
      <c r="GG261" s="20"/>
      <c r="GH261" s="20"/>
      <c r="GI261" s="20"/>
      <c r="GJ261" s="20"/>
      <c r="GK261" s="20"/>
      <c r="GL261" s="20"/>
      <c r="GM261" s="20"/>
      <c r="GN261" s="20"/>
      <c r="GO261" s="20"/>
      <c r="GP261" s="20"/>
      <c r="GQ261" s="20"/>
      <c r="GR261" s="20"/>
      <c r="GS261" s="20"/>
      <c r="GT261" s="20"/>
      <c r="GU261" s="20"/>
      <c r="GV261" s="20"/>
      <c r="GW261" s="20"/>
      <c r="GX261" s="20"/>
      <c r="GY261" s="20"/>
      <c r="GZ261" s="20"/>
      <c r="HA261" s="20"/>
      <c r="HB261" s="20"/>
      <c r="HC261" s="20"/>
      <c r="HD261" s="20"/>
      <c r="HE261" s="20"/>
      <c r="HF261" s="20"/>
      <c r="HG261" s="20"/>
      <c r="HH261" s="20"/>
      <c r="HI261" s="20"/>
      <c r="HJ261" s="20"/>
      <c r="HK261" s="20"/>
      <c r="HL261" s="20"/>
      <c r="HM261" s="20"/>
      <c r="HN261" s="20"/>
      <c r="HO261" s="20"/>
      <c r="HP261" s="20"/>
      <c r="HQ261" s="20"/>
      <c r="HR261" s="20"/>
      <c r="HS261" s="20"/>
      <c r="HT261" s="20"/>
      <c r="HU261" s="20"/>
      <c r="HV261" s="20"/>
      <c r="HW261" s="20"/>
      <c r="HX261" s="20"/>
      <c r="HY261" s="20"/>
      <c r="HZ261" s="20"/>
      <c r="IA261" s="20"/>
      <c r="IB261" s="20"/>
      <c r="IC261" s="20"/>
      <c r="ID261" s="20"/>
      <c r="IE261" s="20"/>
      <c r="IF261" s="20"/>
      <c r="IG261" s="20"/>
      <c r="IH261" s="20"/>
      <c r="II261" s="20"/>
      <c r="IJ261" s="20"/>
      <c r="IK261" s="20"/>
      <c r="IL261" s="20"/>
      <c r="IM261" s="20"/>
      <c r="IN261" s="20"/>
      <c r="IO261" s="20"/>
      <c r="IP261" s="20"/>
      <c r="IQ261" s="20"/>
      <c r="IR261" s="20"/>
      <c r="IS261" s="20"/>
      <c r="IT261" s="20"/>
      <c r="IU261" s="20"/>
      <c r="IV261" s="20"/>
      <c r="IW261" s="20"/>
      <c r="IX261" s="20"/>
      <c r="IY261" s="20"/>
      <c r="IZ261" s="20"/>
      <c r="JA261" s="20"/>
      <c r="JB261" s="20"/>
      <c r="JC261" s="20"/>
      <c r="JD261" s="20"/>
      <c r="JE261" s="20"/>
      <c r="JF261" s="20"/>
      <c r="JG261" s="20"/>
      <c r="JH261" s="20"/>
      <c r="JI261" s="20"/>
    </row>
    <row r="262" spans="1:269">
      <c r="A262" s="61" ph="1"/>
      <c r="B262" s="20" ph="1"/>
      <c r="C262" s="20" ph="1"/>
      <c r="D262" s="27" ph="1"/>
      <c r="E262" s="27" ph="1"/>
      <c r="F262" s="27" ph="1"/>
      <c r="G262" s="18" ph="1"/>
      <c r="H262" s="27" ph="1"/>
      <c r="I262" s="27" ph="1"/>
      <c r="J262" s="18" ph="1"/>
      <c r="K262" s="27" ph="1"/>
      <c r="L262" s="27" ph="1"/>
      <c r="M262" s="18" ph="1"/>
      <c r="N262" s="27" ph="1"/>
      <c r="O262" s="27" ph="1"/>
      <c r="P262" s="18" ph="1"/>
      <c r="Q262" s="27" ph="1"/>
      <c r="R262" s="18" ph="1"/>
      <c r="S262" s="18" ph="1"/>
      <c r="T262" s="18" ph="1"/>
      <c r="U262" s="18" ph="1"/>
      <c r="V262" s="18" ph="1"/>
      <c r="W262" s="105" ph="1"/>
      <c r="X262" s="105" ph="1"/>
      <c r="Y262" s="18" ph="1"/>
      <c r="Z262" s="105" ph="1"/>
      <c r="AA262" s="105" ph="1"/>
      <c r="AB262" s="18" ph="1"/>
      <c r="AC262" s="105" ph="1"/>
      <c r="AD262" s="105" ph="1"/>
      <c r="AE262" s="18" ph="1"/>
      <c r="AF262" s="105" ph="1"/>
      <c r="AG262" s="105" ph="1"/>
      <c r="AH262" s="105" ph="1"/>
      <c r="AI262" s="105" ph="1"/>
      <c r="AJ262" s="105" ph="1"/>
      <c r="AK262" s="105" ph="1"/>
      <c r="AL262" s="105" ph="1"/>
      <c r="AM262" s="18" ph="1"/>
      <c r="AN262" s="105" ph="1"/>
      <c r="AO262" s="105" ph="1"/>
      <c r="AP262" s="105" ph="1"/>
      <c r="AQ262" s="18" ph="1"/>
      <c r="AR262" s="105" ph="1"/>
      <c r="AS262" s="105" ph="1"/>
      <c r="AT262" s="105" ph="1"/>
      <c r="AU262" s="18" ph="1"/>
      <c r="AV262" s="105" ph="1"/>
      <c r="AW262" s="105" ph="1"/>
      <c r="AX262" s="18" ph="1"/>
      <c r="AY262" s="105" ph="1"/>
      <c r="AZ262" s="105" ph="1"/>
      <c r="BA262" s="105" ph="1"/>
      <c r="BB262" s="105" ph="1"/>
      <c r="BC262" s="18" ph="1"/>
      <c r="BD262" s="89"/>
      <c r="BE262" s="89"/>
      <c r="BF262" s="89"/>
      <c r="BG262" s="89"/>
      <c r="BH262" s="89"/>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c r="DU262" s="20"/>
      <c r="DV262" s="20"/>
      <c r="DW262" s="20"/>
      <c r="DX262" s="20"/>
      <c r="DY262" s="20"/>
      <c r="DZ262" s="20"/>
      <c r="EA262" s="20"/>
      <c r="EB262" s="20"/>
      <c r="EC262" s="20"/>
      <c r="ED262" s="20"/>
      <c r="EE262" s="20"/>
      <c r="EF262" s="20"/>
      <c r="EG262" s="20"/>
      <c r="EH262" s="20"/>
      <c r="EI262" s="20"/>
      <c r="EJ262" s="20"/>
      <c r="EK262" s="20"/>
      <c r="EL262" s="20"/>
      <c r="EM262" s="20"/>
      <c r="EN262" s="20"/>
      <c r="EO262" s="20"/>
      <c r="EP262" s="20"/>
      <c r="EQ262" s="20"/>
      <c r="ER262" s="20"/>
      <c r="ES262" s="20"/>
      <c r="ET262" s="20"/>
      <c r="EU262" s="20"/>
      <c r="EV262" s="20"/>
      <c r="EW262" s="20"/>
      <c r="EX262" s="20"/>
      <c r="EY262" s="20"/>
      <c r="EZ262" s="20"/>
      <c r="FA262" s="20"/>
      <c r="FB262" s="20"/>
      <c r="FC262" s="20"/>
      <c r="FD262" s="20"/>
      <c r="FE262" s="20"/>
      <c r="FF262" s="20"/>
      <c r="FG262" s="20"/>
      <c r="FH262" s="20"/>
      <c r="FI262" s="20"/>
      <c r="FJ262" s="20"/>
      <c r="FK262" s="20"/>
      <c r="FL262" s="20"/>
      <c r="FM262" s="20"/>
      <c r="FN262" s="20"/>
      <c r="FO262" s="20"/>
      <c r="FP262" s="20"/>
      <c r="FQ262" s="20"/>
      <c r="FR262" s="20"/>
      <c r="FS262" s="20"/>
      <c r="FT262" s="20"/>
      <c r="FU262" s="20"/>
      <c r="FV262" s="20"/>
      <c r="FW262" s="20"/>
      <c r="FX262" s="20"/>
      <c r="FY262" s="20"/>
      <c r="FZ262" s="20"/>
      <c r="GA262" s="20"/>
      <c r="GB262" s="20"/>
      <c r="GC262" s="20"/>
      <c r="GD262" s="20"/>
      <c r="GE262" s="20"/>
      <c r="GF262" s="20"/>
      <c r="GG262" s="20"/>
      <c r="GH262" s="20"/>
      <c r="GI262" s="20"/>
      <c r="GJ262" s="20"/>
      <c r="GK262" s="20"/>
      <c r="GL262" s="20"/>
      <c r="GM262" s="20"/>
      <c r="GN262" s="20"/>
      <c r="GO262" s="20"/>
      <c r="GP262" s="20"/>
      <c r="GQ262" s="20"/>
      <c r="GR262" s="20"/>
      <c r="GS262" s="20"/>
      <c r="GT262" s="20"/>
      <c r="GU262" s="20"/>
      <c r="GV262" s="20"/>
      <c r="GW262" s="20"/>
      <c r="GX262" s="20"/>
      <c r="GY262" s="20"/>
      <c r="GZ262" s="20"/>
      <c r="HA262" s="20"/>
      <c r="HB262" s="20"/>
      <c r="HC262" s="20"/>
      <c r="HD262" s="20"/>
      <c r="HE262" s="20"/>
      <c r="HF262" s="20"/>
      <c r="HG262" s="20"/>
      <c r="HH262" s="20"/>
      <c r="HI262" s="20"/>
      <c r="HJ262" s="20"/>
      <c r="HK262" s="20"/>
      <c r="HL262" s="20"/>
      <c r="HM262" s="20"/>
      <c r="HN262" s="20"/>
      <c r="HO262" s="20"/>
      <c r="HP262" s="20"/>
      <c r="HQ262" s="20"/>
      <c r="HR262" s="20"/>
      <c r="HS262" s="20"/>
      <c r="HT262" s="20"/>
      <c r="HU262" s="20"/>
      <c r="HV262" s="20"/>
      <c r="HW262" s="20"/>
      <c r="HX262" s="20"/>
      <c r="HY262" s="20"/>
      <c r="HZ262" s="20"/>
      <c r="IA262" s="20"/>
      <c r="IB262" s="20"/>
      <c r="IC262" s="20"/>
      <c r="ID262" s="20"/>
      <c r="IE262" s="20"/>
      <c r="IF262" s="20"/>
      <c r="IG262" s="20"/>
      <c r="IH262" s="20"/>
      <c r="II262" s="20"/>
      <c r="IJ262" s="20"/>
      <c r="IK262" s="20"/>
      <c r="IL262" s="20"/>
      <c r="IM262" s="20"/>
      <c r="IN262" s="20"/>
      <c r="IO262" s="20"/>
      <c r="IP262" s="20"/>
      <c r="IQ262" s="20"/>
      <c r="IR262" s="20"/>
      <c r="IS262" s="20"/>
      <c r="IT262" s="20"/>
      <c r="IU262" s="20"/>
      <c r="IV262" s="20"/>
      <c r="IW262" s="20"/>
      <c r="IX262" s="20"/>
      <c r="IY262" s="20"/>
      <c r="IZ262" s="20"/>
      <c r="JA262" s="20"/>
      <c r="JB262" s="20"/>
      <c r="JC262" s="20"/>
      <c r="JD262" s="20"/>
      <c r="JE262" s="20"/>
      <c r="JF262" s="20"/>
      <c r="JG262" s="20"/>
      <c r="JH262" s="20"/>
      <c r="JI262" s="20"/>
    </row>
    <row r="263" spans="1:269">
      <c r="A263" s="61" ph="1"/>
      <c r="B263" s="20" ph="1"/>
      <c r="C263" s="20" ph="1"/>
      <c r="D263" s="27" ph="1"/>
      <c r="E263" s="27" ph="1"/>
      <c r="F263" s="27" ph="1"/>
      <c r="G263" s="18" ph="1"/>
      <c r="H263" s="27" ph="1"/>
      <c r="I263" s="27" ph="1"/>
      <c r="J263" s="18" ph="1"/>
      <c r="K263" s="27" ph="1"/>
      <c r="L263" s="27" ph="1"/>
      <c r="M263" s="18" ph="1"/>
      <c r="N263" s="27" ph="1"/>
      <c r="O263" s="27" ph="1"/>
      <c r="P263" s="18" ph="1"/>
      <c r="Q263" s="27" ph="1"/>
      <c r="R263" s="18" ph="1"/>
      <c r="S263" s="18" ph="1"/>
      <c r="T263" s="18" ph="1"/>
      <c r="U263" s="18" ph="1"/>
      <c r="V263" s="18" ph="1"/>
      <c r="W263" s="105" ph="1"/>
      <c r="X263" s="105" ph="1"/>
      <c r="Y263" s="18" ph="1"/>
      <c r="Z263" s="105" ph="1"/>
      <c r="AA263" s="105" ph="1"/>
      <c r="AB263" s="18" ph="1"/>
      <c r="AC263" s="105" ph="1"/>
      <c r="AD263" s="105" ph="1"/>
      <c r="AE263" s="18" ph="1"/>
      <c r="AF263" s="105" ph="1"/>
      <c r="AG263" s="105" ph="1"/>
      <c r="AH263" s="105" ph="1"/>
      <c r="AI263" s="105" ph="1"/>
      <c r="AJ263" s="105" ph="1"/>
      <c r="AK263" s="105" ph="1"/>
      <c r="AL263" s="105" ph="1"/>
      <c r="AM263" s="18" ph="1"/>
      <c r="AN263" s="105" ph="1"/>
      <c r="AO263" s="105" ph="1"/>
      <c r="AP263" s="105" ph="1"/>
      <c r="AQ263" s="18" ph="1"/>
      <c r="AR263" s="105" ph="1"/>
      <c r="AS263" s="105" ph="1"/>
      <c r="AT263" s="105" ph="1"/>
      <c r="AU263" s="18" ph="1"/>
      <c r="AV263" s="105" ph="1"/>
      <c r="AW263" s="105" ph="1"/>
      <c r="AX263" s="18" ph="1"/>
      <c r="AY263" s="105" ph="1"/>
      <c r="AZ263" s="105" ph="1"/>
      <c r="BA263" s="105" ph="1"/>
      <c r="BB263" s="105" ph="1"/>
      <c r="BC263" s="18" ph="1"/>
      <c r="BD263" s="89"/>
      <c r="BE263" s="89"/>
      <c r="BF263" s="89"/>
      <c r="BG263" s="89"/>
      <c r="BH263" s="89"/>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c r="DU263" s="20"/>
      <c r="DV263" s="20"/>
      <c r="DW263" s="20"/>
      <c r="DX263" s="20"/>
      <c r="DY263" s="20"/>
      <c r="DZ263" s="20"/>
      <c r="EA263" s="20"/>
      <c r="EB263" s="20"/>
      <c r="EC263" s="20"/>
      <c r="ED263" s="20"/>
      <c r="EE263" s="20"/>
      <c r="EF263" s="20"/>
      <c r="EG263" s="20"/>
      <c r="EH263" s="20"/>
      <c r="EI263" s="20"/>
      <c r="EJ263" s="20"/>
      <c r="EK263" s="20"/>
      <c r="EL263" s="20"/>
      <c r="EM263" s="20"/>
      <c r="EN263" s="20"/>
      <c r="EO263" s="20"/>
      <c r="EP263" s="20"/>
      <c r="EQ263" s="20"/>
      <c r="ER263" s="20"/>
      <c r="ES263" s="20"/>
      <c r="ET263" s="20"/>
      <c r="EU263" s="20"/>
      <c r="EV263" s="20"/>
      <c r="EW263" s="20"/>
      <c r="EX263" s="20"/>
      <c r="EY263" s="20"/>
      <c r="EZ263" s="20"/>
      <c r="FA263" s="20"/>
      <c r="FB263" s="20"/>
      <c r="FC263" s="20"/>
      <c r="FD263" s="20"/>
      <c r="FE263" s="20"/>
      <c r="FF263" s="20"/>
      <c r="FG263" s="20"/>
      <c r="FH263" s="20"/>
      <c r="FI263" s="20"/>
      <c r="FJ263" s="20"/>
      <c r="FK263" s="20"/>
      <c r="FL263" s="20"/>
      <c r="FM263" s="20"/>
      <c r="FN263" s="20"/>
      <c r="FO263" s="20"/>
      <c r="FP263" s="20"/>
      <c r="FQ263" s="20"/>
      <c r="FR263" s="20"/>
      <c r="FS263" s="20"/>
      <c r="FT263" s="20"/>
      <c r="FU263" s="20"/>
      <c r="FV263" s="20"/>
      <c r="FW263" s="20"/>
      <c r="FX263" s="20"/>
      <c r="FY263" s="20"/>
      <c r="FZ263" s="20"/>
      <c r="GA263" s="20"/>
      <c r="GB263" s="20"/>
      <c r="GC263" s="20"/>
      <c r="GD263" s="20"/>
      <c r="GE263" s="20"/>
      <c r="GF263" s="20"/>
      <c r="GG263" s="20"/>
      <c r="GH263" s="20"/>
      <c r="GI263" s="20"/>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20"/>
      <c r="HP263" s="20"/>
      <c r="HQ263" s="20"/>
      <c r="HR263" s="20"/>
      <c r="HS263" s="20"/>
      <c r="HT263" s="20"/>
      <c r="HU263" s="20"/>
      <c r="HV263" s="20"/>
      <c r="HW263" s="20"/>
      <c r="HX263" s="20"/>
      <c r="HY263" s="20"/>
      <c r="HZ263" s="20"/>
      <c r="IA263" s="20"/>
      <c r="IB263" s="20"/>
      <c r="IC263" s="20"/>
      <c r="ID263" s="20"/>
      <c r="IE263" s="20"/>
      <c r="IF263" s="20"/>
      <c r="IG263" s="20"/>
      <c r="IH263" s="20"/>
      <c r="II263" s="20"/>
      <c r="IJ263" s="20"/>
      <c r="IK263" s="20"/>
      <c r="IL263" s="20"/>
      <c r="IM263" s="20"/>
      <c r="IN263" s="20"/>
      <c r="IO263" s="20"/>
      <c r="IP263" s="20"/>
      <c r="IQ263" s="20"/>
      <c r="IR263" s="20"/>
      <c r="IS263" s="20"/>
      <c r="IT263" s="20"/>
      <c r="IU263" s="20"/>
      <c r="IV263" s="20"/>
      <c r="IW263" s="20"/>
      <c r="IX263" s="20"/>
      <c r="IY263" s="20"/>
      <c r="IZ263" s="20"/>
      <c r="JA263" s="20"/>
      <c r="JB263" s="20"/>
      <c r="JC263" s="20"/>
      <c r="JD263" s="20"/>
      <c r="JE263" s="20"/>
      <c r="JF263" s="20"/>
      <c r="JG263" s="20"/>
      <c r="JH263" s="20"/>
      <c r="JI263" s="20"/>
    </row>
    <row r="264" spans="1:269">
      <c r="A264" s="61" ph="1"/>
      <c r="B264" s="20" ph="1"/>
      <c r="C264" s="20" ph="1"/>
      <c r="D264" s="27" ph="1"/>
      <c r="E264" s="27" ph="1"/>
      <c r="F264" s="27" ph="1"/>
      <c r="G264" s="18" ph="1"/>
      <c r="H264" s="27" ph="1"/>
      <c r="I264" s="27" ph="1"/>
      <c r="J264" s="18" ph="1"/>
      <c r="K264" s="27" ph="1"/>
      <c r="L264" s="27" ph="1"/>
      <c r="M264" s="18" ph="1"/>
      <c r="N264" s="27" ph="1"/>
      <c r="O264" s="27" ph="1"/>
      <c r="P264" s="18" ph="1"/>
      <c r="Q264" s="27" ph="1"/>
      <c r="R264" s="18" ph="1"/>
      <c r="S264" s="18" ph="1"/>
      <c r="T264" s="18" ph="1"/>
      <c r="U264" s="18" ph="1"/>
      <c r="V264" s="18" ph="1"/>
      <c r="W264" s="105" ph="1"/>
      <c r="X264" s="105" ph="1"/>
      <c r="Y264" s="18" ph="1"/>
      <c r="Z264" s="105" ph="1"/>
      <c r="AA264" s="105" ph="1"/>
      <c r="AB264" s="18" ph="1"/>
      <c r="AC264" s="105" ph="1"/>
      <c r="AD264" s="105" ph="1"/>
      <c r="AE264" s="18" ph="1"/>
      <c r="AF264" s="105" ph="1"/>
      <c r="AG264" s="105" ph="1"/>
      <c r="AH264" s="105" ph="1"/>
      <c r="AI264" s="105" ph="1"/>
      <c r="AJ264" s="105" ph="1"/>
      <c r="AK264" s="105" ph="1"/>
      <c r="AL264" s="105" ph="1"/>
      <c r="AM264" s="18" ph="1"/>
      <c r="AN264" s="105" ph="1"/>
      <c r="AO264" s="105" ph="1"/>
      <c r="AP264" s="105" ph="1"/>
      <c r="AQ264" s="18" ph="1"/>
      <c r="AR264" s="105" ph="1"/>
      <c r="AS264" s="105" ph="1"/>
      <c r="AT264" s="105" ph="1"/>
      <c r="AU264" s="18" ph="1"/>
      <c r="AV264" s="105" ph="1"/>
      <c r="AW264" s="105" ph="1"/>
      <c r="AX264" s="18" ph="1"/>
      <c r="AY264" s="105" ph="1"/>
      <c r="AZ264" s="105" ph="1"/>
      <c r="BA264" s="105" ph="1"/>
      <c r="BB264" s="105" ph="1"/>
      <c r="BC264" s="18" ph="1"/>
      <c r="BD264" s="89"/>
      <c r="BE264" s="89"/>
      <c r="BF264" s="89"/>
      <c r="BG264" s="89"/>
      <c r="BH264" s="89"/>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c r="DU264" s="20"/>
      <c r="DV264" s="20"/>
      <c r="DW264" s="20"/>
      <c r="DX264" s="20"/>
      <c r="DY264" s="20"/>
      <c r="DZ264" s="20"/>
      <c r="EA264" s="20"/>
      <c r="EB264" s="20"/>
      <c r="EC264" s="20"/>
      <c r="ED264" s="20"/>
      <c r="EE264" s="20"/>
      <c r="EF264" s="20"/>
      <c r="EG264" s="20"/>
      <c r="EH264" s="20"/>
      <c r="EI264" s="20"/>
      <c r="EJ264" s="20"/>
      <c r="EK264" s="20"/>
      <c r="EL264" s="20"/>
      <c r="EM264" s="20"/>
      <c r="EN264" s="20"/>
      <c r="EO264" s="20"/>
      <c r="EP264" s="20"/>
      <c r="EQ264" s="20"/>
      <c r="ER264" s="20"/>
      <c r="ES264" s="20"/>
      <c r="ET264" s="20"/>
      <c r="EU264" s="20"/>
      <c r="EV264" s="20"/>
      <c r="EW264" s="20"/>
      <c r="EX264" s="20"/>
      <c r="EY264" s="20"/>
      <c r="EZ264" s="20"/>
      <c r="FA264" s="20"/>
      <c r="FB264" s="20"/>
      <c r="FC264" s="20"/>
      <c r="FD264" s="20"/>
      <c r="FE264" s="20"/>
      <c r="FF264" s="20"/>
      <c r="FG264" s="20"/>
      <c r="FH264" s="20"/>
      <c r="FI264" s="20"/>
      <c r="FJ264" s="20"/>
      <c r="FK264" s="20"/>
      <c r="FL264" s="20"/>
      <c r="FM264" s="20"/>
      <c r="FN264" s="20"/>
      <c r="FO264" s="20"/>
      <c r="FP264" s="20"/>
      <c r="FQ264" s="20"/>
      <c r="FR264" s="20"/>
      <c r="FS264" s="20"/>
      <c r="FT264" s="20"/>
      <c r="FU264" s="20"/>
      <c r="FV264" s="20"/>
      <c r="FW264" s="20"/>
      <c r="FX264" s="20"/>
      <c r="FY264" s="20"/>
      <c r="FZ264" s="20"/>
      <c r="GA264" s="20"/>
      <c r="GB264" s="20"/>
      <c r="GC264" s="20"/>
      <c r="GD264" s="20"/>
      <c r="GE264" s="20"/>
      <c r="GF264" s="20"/>
      <c r="GG264" s="20"/>
      <c r="GH264" s="20"/>
      <c r="GI264" s="20"/>
      <c r="GJ264" s="20"/>
      <c r="GK264" s="20"/>
      <c r="GL264" s="20"/>
      <c r="GM264" s="20"/>
      <c r="GN264" s="20"/>
      <c r="GO264" s="20"/>
      <c r="GP264" s="20"/>
      <c r="GQ264" s="20"/>
      <c r="GR264" s="20"/>
      <c r="GS264" s="20"/>
      <c r="GT264" s="20"/>
      <c r="GU264" s="20"/>
      <c r="GV264" s="20"/>
      <c r="GW264" s="20"/>
      <c r="GX264" s="20"/>
      <c r="GY264" s="20"/>
      <c r="GZ264" s="20"/>
      <c r="HA264" s="20"/>
      <c r="HB264" s="20"/>
      <c r="HC264" s="20"/>
      <c r="HD264" s="20"/>
      <c r="HE264" s="20"/>
      <c r="HF264" s="20"/>
      <c r="HG264" s="20"/>
      <c r="HH264" s="20"/>
      <c r="HI264" s="20"/>
      <c r="HJ264" s="20"/>
      <c r="HK264" s="20"/>
      <c r="HL264" s="20"/>
      <c r="HM264" s="20"/>
      <c r="HN264" s="20"/>
      <c r="HO264" s="20"/>
      <c r="HP264" s="20"/>
      <c r="HQ264" s="20"/>
      <c r="HR264" s="20"/>
      <c r="HS264" s="20"/>
      <c r="HT264" s="20"/>
      <c r="HU264" s="20"/>
      <c r="HV264" s="20"/>
      <c r="HW264" s="20"/>
      <c r="HX264" s="20"/>
      <c r="HY264" s="20"/>
      <c r="HZ264" s="20"/>
      <c r="IA264" s="20"/>
      <c r="IB264" s="20"/>
      <c r="IC264" s="20"/>
      <c r="ID264" s="20"/>
      <c r="IE264" s="20"/>
      <c r="IF264" s="20"/>
      <c r="IG264" s="20"/>
      <c r="IH264" s="20"/>
      <c r="II264" s="20"/>
      <c r="IJ264" s="20"/>
      <c r="IK264" s="20"/>
      <c r="IL264" s="20"/>
      <c r="IM264" s="20"/>
      <c r="IN264" s="20"/>
      <c r="IO264" s="20"/>
      <c r="IP264" s="20"/>
      <c r="IQ264" s="20"/>
      <c r="IR264" s="20"/>
      <c r="IS264" s="20"/>
      <c r="IT264" s="20"/>
      <c r="IU264" s="20"/>
      <c r="IV264" s="20"/>
      <c r="IW264" s="20"/>
      <c r="IX264" s="20"/>
      <c r="IY264" s="20"/>
      <c r="IZ264" s="20"/>
      <c r="JA264" s="20"/>
      <c r="JB264" s="20"/>
      <c r="JC264" s="20"/>
      <c r="JD264" s="20"/>
      <c r="JE264" s="20"/>
      <c r="JF264" s="20"/>
      <c r="JG264" s="20"/>
      <c r="JH264" s="20"/>
      <c r="JI264" s="20"/>
    </row>
    <row r="265" spans="1:269">
      <c r="A265" s="61" ph="1"/>
      <c r="B265" s="20" ph="1"/>
      <c r="C265" s="20" ph="1"/>
      <c r="D265" s="27" ph="1"/>
      <c r="E265" s="27" ph="1"/>
      <c r="F265" s="27" ph="1"/>
      <c r="G265" s="18" ph="1"/>
      <c r="H265" s="27" ph="1"/>
      <c r="I265" s="27" ph="1"/>
      <c r="J265" s="18" ph="1"/>
      <c r="K265" s="27" ph="1"/>
      <c r="L265" s="27" ph="1"/>
      <c r="M265" s="18" ph="1"/>
      <c r="N265" s="27" ph="1"/>
      <c r="O265" s="27" ph="1"/>
      <c r="P265" s="18" ph="1"/>
      <c r="Q265" s="27" ph="1"/>
      <c r="R265" s="18" ph="1"/>
      <c r="S265" s="18" ph="1"/>
      <c r="T265" s="18" ph="1"/>
      <c r="U265" s="18" ph="1"/>
      <c r="V265" s="18" ph="1"/>
      <c r="W265" s="105" ph="1"/>
      <c r="X265" s="105" ph="1"/>
      <c r="Y265" s="18" ph="1"/>
      <c r="Z265" s="105" ph="1"/>
      <c r="AA265" s="105" ph="1"/>
      <c r="AB265" s="18" ph="1"/>
      <c r="AC265" s="105" ph="1"/>
      <c r="AD265" s="105" ph="1"/>
      <c r="AE265" s="18" ph="1"/>
      <c r="AF265" s="105" ph="1"/>
      <c r="AG265" s="105" ph="1"/>
      <c r="AH265" s="105" ph="1"/>
      <c r="AI265" s="105" ph="1"/>
      <c r="AJ265" s="105" ph="1"/>
      <c r="AK265" s="105" ph="1"/>
      <c r="AL265" s="105" ph="1"/>
      <c r="AM265" s="18" ph="1"/>
      <c r="AN265" s="105" ph="1"/>
      <c r="AO265" s="105" ph="1"/>
      <c r="AP265" s="105" ph="1"/>
      <c r="AQ265" s="18" ph="1"/>
      <c r="AR265" s="105" ph="1"/>
      <c r="AS265" s="105" ph="1"/>
      <c r="AT265" s="105" ph="1"/>
      <c r="AU265" s="18" ph="1"/>
      <c r="AV265" s="105" ph="1"/>
      <c r="AW265" s="105" ph="1"/>
      <c r="AX265" s="18" ph="1"/>
      <c r="AY265" s="105" ph="1"/>
      <c r="AZ265" s="105" ph="1"/>
      <c r="BA265" s="105" ph="1"/>
      <c r="BB265" s="105" ph="1"/>
      <c r="BC265" s="18" ph="1"/>
      <c r="BD265" s="89"/>
      <c r="BE265" s="89"/>
      <c r="BF265" s="89"/>
      <c r="BG265" s="89"/>
      <c r="BH265" s="89"/>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c r="DU265" s="20"/>
      <c r="DV265" s="20"/>
      <c r="DW265" s="20"/>
      <c r="DX265" s="20"/>
      <c r="DY265" s="20"/>
      <c r="DZ265" s="20"/>
      <c r="EA265" s="20"/>
      <c r="EB265" s="20"/>
      <c r="EC265" s="20"/>
      <c r="ED265" s="20"/>
      <c r="EE265" s="20"/>
      <c r="EF265" s="20"/>
      <c r="EG265" s="20"/>
      <c r="EH265" s="20"/>
      <c r="EI265" s="20"/>
      <c r="EJ265" s="20"/>
      <c r="EK265" s="20"/>
      <c r="EL265" s="20"/>
      <c r="EM265" s="20"/>
      <c r="EN265" s="20"/>
      <c r="EO265" s="20"/>
      <c r="EP265" s="20"/>
      <c r="EQ265" s="20"/>
      <c r="ER265" s="20"/>
      <c r="ES265" s="20"/>
      <c r="ET265" s="20"/>
      <c r="EU265" s="20"/>
      <c r="EV265" s="20"/>
      <c r="EW265" s="20"/>
      <c r="EX265" s="20"/>
      <c r="EY265" s="20"/>
      <c r="EZ265" s="20"/>
      <c r="FA265" s="20"/>
      <c r="FB265" s="20"/>
      <c r="FC265" s="20"/>
      <c r="FD265" s="20"/>
      <c r="FE265" s="20"/>
      <c r="FF265" s="20"/>
      <c r="FG265" s="20"/>
      <c r="FH265" s="20"/>
      <c r="FI265" s="20"/>
      <c r="FJ265" s="20"/>
      <c r="FK265" s="20"/>
      <c r="FL265" s="20"/>
      <c r="FM265" s="20"/>
      <c r="FN265" s="20"/>
      <c r="FO265" s="20"/>
      <c r="FP265" s="20"/>
      <c r="FQ265" s="20"/>
      <c r="FR265" s="20"/>
      <c r="FS265" s="20"/>
      <c r="FT265" s="20"/>
      <c r="FU265" s="20"/>
      <c r="FV265" s="20"/>
      <c r="FW265" s="20"/>
      <c r="FX265" s="20"/>
      <c r="FY265" s="20"/>
      <c r="FZ265" s="20"/>
      <c r="GA265" s="20"/>
      <c r="GB265" s="20"/>
      <c r="GC265" s="20"/>
      <c r="GD265" s="20"/>
      <c r="GE265" s="20"/>
      <c r="GF265" s="20"/>
      <c r="GG265" s="20"/>
      <c r="GH265" s="20"/>
      <c r="GI265" s="20"/>
      <c r="GJ265" s="20"/>
      <c r="GK265" s="20"/>
      <c r="GL265" s="20"/>
      <c r="GM265" s="20"/>
      <c r="GN265" s="20"/>
      <c r="GO265" s="20"/>
      <c r="GP265" s="20"/>
      <c r="GQ265" s="20"/>
      <c r="GR265" s="20"/>
      <c r="GS265" s="20"/>
      <c r="GT265" s="20"/>
      <c r="GU265" s="20"/>
      <c r="GV265" s="20"/>
      <c r="GW265" s="20"/>
      <c r="GX265" s="20"/>
      <c r="GY265" s="20"/>
      <c r="GZ265" s="20"/>
      <c r="HA265" s="20"/>
      <c r="HB265" s="20"/>
      <c r="HC265" s="20"/>
      <c r="HD265" s="20"/>
      <c r="HE265" s="20"/>
      <c r="HF265" s="20"/>
      <c r="HG265" s="20"/>
      <c r="HH265" s="20"/>
      <c r="HI265" s="20"/>
      <c r="HJ265" s="20"/>
      <c r="HK265" s="20"/>
      <c r="HL265" s="20"/>
      <c r="HM265" s="20"/>
      <c r="HN265" s="20"/>
      <c r="HO265" s="20"/>
      <c r="HP265" s="20"/>
      <c r="HQ265" s="20"/>
      <c r="HR265" s="20"/>
      <c r="HS265" s="20"/>
      <c r="HT265" s="20"/>
      <c r="HU265" s="20"/>
      <c r="HV265" s="20"/>
      <c r="HW265" s="20"/>
      <c r="HX265" s="20"/>
      <c r="HY265" s="20"/>
      <c r="HZ265" s="20"/>
      <c r="IA265" s="20"/>
      <c r="IB265" s="20"/>
      <c r="IC265" s="20"/>
      <c r="ID265" s="20"/>
      <c r="IE265" s="20"/>
      <c r="IF265" s="20"/>
      <c r="IG265" s="20"/>
      <c r="IH265" s="20"/>
      <c r="II265" s="20"/>
      <c r="IJ265" s="20"/>
      <c r="IK265" s="20"/>
      <c r="IL265" s="20"/>
      <c r="IM265" s="20"/>
      <c r="IN265" s="20"/>
      <c r="IO265" s="20"/>
      <c r="IP265" s="20"/>
      <c r="IQ265" s="20"/>
      <c r="IR265" s="20"/>
      <c r="IS265" s="20"/>
      <c r="IT265" s="20"/>
      <c r="IU265" s="20"/>
      <c r="IV265" s="20"/>
      <c r="IW265" s="20"/>
      <c r="IX265" s="20"/>
      <c r="IY265" s="20"/>
      <c r="IZ265" s="20"/>
      <c r="JA265" s="20"/>
      <c r="JB265" s="20"/>
      <c r="JC265" s="20"/>
      <c r="JD265" s="20"/>
      <c r="JE265" s="20"/>
      <c r="JF265" s="20"/>
      <c r="JG265" s="20"/>
      <c r="JH265" s="20"/>
      <c r="JI265" s="20"/>
    </row>
    <row r="266" spans="1:269">
      <c r="A266" s="61"/>
      <c r="B266" s="20"/>
      <c r="C266" s="20"/>
      <c r="D266" s="27"/>
      <c r="E266" s="27"/>
      <c r="F266" s="27"/>
      <c r="G266" s="18"/>
      <c r="H266" s="27"/>
      <c r="I266" s="27"/>
      <c r="J266" s="18"/>
      <c r="K266" s="27"/>
      <c r="L266" s="27"/>
      <c r="M266" s="18"/>
      <c r="N266" s="27"/>
      <c r="O266" s="27"/>
      <c r="P266" s="18"/>
      <c r="Q266" s="27"/>
      <c r="R266" s="18"/>
      <c r="S266" s="18"/>
      <c r="T266" s="18"/>
      <c r="U266" s="18"/>
      <c r="V266" s="18"/>
      <c r="W266" s="105"/>
      <c r="X266" s="105"/>
      <c r="Y266" s="18"/>
      <c r="Z266" s="105"/>
      <c r="AA266" s="105"/>
      <c r="AB266" s="18"/>
      <c r="AC266" s="105"/>
      <c r="AD266" s="105"/>
      <c r="AE266" s="18"/>
      <c r="AF266" s="105"/>
      <c r="AG266" s="105"/>
      <c r="AH266" s="105"/>
      <c r="AI266" s="105"/>
      <c r="AJ266" s="105"/>
      <c r="AK266" s="105"/>
      <c r="AL266" s="105"/>
      <c r="AM266" s="18"/>
      <c r="AN266" s="105"/>
      <c r="AO266" s="105"/>
      <c r="AP266" s="105"/>
      <c r="AQ266" s="18"/>
      <c r="AR266" s="105"/>
      <c r="AS266" s="105"/>
      <c r="AT266" s="105"/>
      <c r="AU266" s="18"/>
      <c r="AV266" s="105"/>
      <c r="AW266" s="105"/>
      <c r="AX266" s="18"/>
      <c r="AY266" s="105"/>
      <c r="AZ266" s="105"/>
      <c r="BA266" s="105"/>
      <c r="BB266" s="105"/>
      <c r="BC266" s="18"/>
      <c r="BD266" s="89"/>
      <c r="BE266" s="89"/>
      <c r="BF266" s="89"/>
      <c r="BG266" s="89"/>
      <c r="BH266" s="89"/>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c r="DU266" s="20"/>
      <c r="DV266" s="20"/>
      <c r="DW266" s="20"/>
      <c r="DX266" s="20"/>
      <c r="DY266" s="20"/>
      <c r="DZ266" s="20"/>
      <c r="EA266" s="20"/>
      <c r="EB266" s="20"/>
      <c r="EC266" s="20"/>
      <c r="ED266" s="20"/>
      <c r="EE266" s="20"/>
      <c r="EF266" s="20"/>
      <c r="EG266" s="20"/>
      <c r="EH266" s="20"/>
      <c r="EI266" s="20"/>
      <c r="EJ266" s="20"/>
      <c r="EK266" s="20"/>
      <c r="EL266" s="20"/>
      <c r="EM266" s="20"/>
      <c r="EN266" s="20"/>
      <c r="EO266" s="20"/>
      <c r="EP266" s="20"/>
      <c r="EQ266" s="20"/>
      <c r="ER266" s="20"/>
      <c r="ES266" s="20"/>
      <c r="ET266" s="20"/>
      <c r="EU266" s="20"/>
      <c r="EV266" s="20"/>
      <c r="EW266" s="20"/>
      <c r="EX266" s="20"/>
      <c r="EY266" s="20"/>
      <c r="EZ266" s="20"/>
      <c r="FA266" s="20"/>
      <c r="FB266" s="20"/>
      <c r="FC266" s="20"/>
      <c r="FD266" s="20"/>
      <c r="FE266" s="20"/>
      <c r="FF266" s="20"/>
      <c r="FG266" s="20"/>
      <c r="FH266" s="20"/>
      <c r="FI266" s="20"/>
      <c r="FJ266" s="20"/>
      <c r="FK266" s="20"/>
      <c r="FL266" s="20"/>
      <c r="FM266" s="20"/>
      <c r="FN266" s="20"/>
      <c r="FO266" s="20"/>
      <c r="FP266" s="20"/>
      <c r="FQ266" s="20"/>
      <c r="FR266" s="20"/>
      <c r="FS266" s="20"/>
      <c r="FT266" s="20"/>
      <c r="FU266" s="20"/>
      <c r="FV266" s="20"/>
      <c r="FW266" s="20"/>
      <c r="FX266" s="20"/>
      <c r="FY266" s="20"/>
      <c r="FZ266" s="20"/>
      <c r="GA266" s="20"/>
      <c r="GB266" s="20"/>
      <c r="GC266" s="20"/>
      <c r="GD266" s="20"/>
      <c r="GE266" s="20"/>
      <c r="GF266" s="20"/>
      <c r="GG266" s="20"/>
      <c r="GH266" s="20"/>
      <c r="GI266" s="20"/>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20"/>
      <c r="HP266" s="20"/>
      <c r="HQ266" s="20"/>
      <c r="HR266" s="20"/>
      <c r="HS266" s="20"/>
      <c r="HT266" s="20"/>
      <c r="HU266" s="20"/>
      <c r="HV266" s="20"/>
      <c r="HW266" s="20"/>
      <c r="HX266" s="20"/>
      <c r="HY266" s="20"/>
      <c r="HZ266" s="20"/>
      <c r="IA266" s="20"/>
      <c r="IB266" s="20"/>
      <c r="IC266" s="20"/>
      <c r="ID266" s="20"/>
      <c r="IE266" s="20"/>
      <c r="IF266" s="20"/>
      <c r="IG266" s="20"/>
      <c r="IH266" s="20"/>
      <c r="II266" s="20"/>
      <c r="IJ266" s="20"/>
      <c r="IK266" s="20"/>
      <c r="IL266" s="20"/>
      <c r="IM266" s="20"/>
      <c r="IN266" s="20"/>
      <c r="IO266" s="20"/>
      <c r="IP266" s="20"/>
      <c r="IQ266" s="20"/>
      <c r="IR266" s="20"/>
      <c r="IS266" s="20"/>
      <c r="IT266" s="20"/>
      <c r="IU266" s="20"/>
      <c r="IV266" s="20"/>
      <c r="IW266" s="20"/>
      <c r="IX266" s="20"/>
      <c r="IY266" s="20"/>
      <c r="IZ266" s="20"/>
      <c r="JA266" s="20"/>
      <c r="JB266" s="20"/>
      <c r="JC266" s="20"/>
      <c r="JD266" s="20"/>
      <c r="JE266" s="20"/>
      <c r="JF266" s="20"/>
      <c r="JG266" s="20"/>
      <c r="JH266" s="20"/>
      <c r="JI266" s="20"/>
    </row>
    <row r="267" spans="1:269">
      <c r="A267" s="61" ph="1"/>
      <c r="B267" s="20" ph="1"/>
      <c r="C267" s="20" ph="1"/>
      <c r="D267" s="27" ph="1"/>
      <c r="E267" s="27" ph="1"/>
      <c r="F267" s="27" ph="1"/>
      <c r="G267" s="18" ph="1"/>
      <c r="H267" s="27" ph="1"/>
      <c r="I267" s="27" ph="1"/>
      <c r="J267" s="18" ph="1"/>
      <c r="K267" s="27" ph="1"/>
      <c r="L267" s="27" ph="1"/>
      <c r="M267" s="18" ph="1"/>
      <c r="N267" s="27" ph="1"/>
      <c r="O267" s="27" ph="1"/>
      <c r="P267" s="18" ph="1"/>
      <c r="Q267" s="27" ph="1"/>
      <c r="R267" s="18" ph="1"/>
      <c r="S267" s="18" ph="1"/>
      <c r="T267" s="18" ph="1"/>
      <c r="U267" s="18" ph="1"/>
      <c r="V267" s="18" ph="1"/>
      <c r="W267" s="105" ph="1"/>
      <c r="X267" s="105" ph="1"/>
      <c r="Y267" s="18" ph="1"/>
      <c r="Z267" s="105" ph="1"/>
      <c r="AA267" s="105" ph="1"/>
      <c r="AB267" s="18" ph="1"/>
      <c r="AC267" s="105" ph="1"/>
      <c r="AD267" s="105" ph="1"/>
      <c r="AE267" s="18" ph="1"/>
      <c r="AF267" s="105" ph="1"/>
      <c r="AG267" s="105" ph="1"/>
      <c r="AH267" s="105" ph="1"/>
      <c r="AI267" s="105" ph="1"/>
      <c r="AJ267" s="105" ph="1"/>
      <c r="AK267" s="105" ph="1"/>
      <c r="AL267" s="105" ph="1"/>
      <c r="AM267" s="18" ph="1"/>
      <c r="AN267" s="105" ph="1"/>
      <c r="AO267" s="105" ph="1"/>
      <c r="AP267" s="105" ph="1"/>
      <c r="AQ267" s="18" ph="1"/>
      <c r="AR267" s="105" ph="1"/>
      <c r="AS267" s="105" ph="1"/>
      <c r="AT267" s="105" ph="1"/>
      <c r="AU267" s="18" ph="1"/>
      <c r="AV267" s="105" ph="1"/>
      <c r="AW267" s="105" ph="1"/>
      <c r="AX267" s="18" ph="1"/>
      <c r="AY267" s="105" ph="1"/>
      <c r="AZ267" s="105" ph="1"/>
      <c r="BA267" s="105" ph="1"/>
      <c r="BB267" s="105" ph="1"/>
      <c r="BC267" s="18" ph="1"/>
      <c r="BD267" s="89"/>
      <c r="BE267" s="89"/>
      <c r="BF267" s="89"/>
      <c r="BG267" s="89"/>
      <c r="BH267" s="89"/>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c r="DU267" s="20"/>
      <c r="DV267" s="20"/>
      <c r="DW267" s="20"/>
      <c r="DX267" s="20"/>
      <c r="DY267" s="20"/>
      <c r="DZ267" s="20"/>
      <c r="EA267" s="20"/>
      <c r="EB267" s="20"/>
      <c r="EC267" s="20"/>
      <c r="ED267" s="20"/>
      <c r="EE267" s="20"/>
      <c r="EF267" s="20"/>
      <c r="EG267" s="20"/>
      <c r="EH267" s="20"/>
      <c r="EI267" s="20"/>
      <c r="EJ267" s="20"/>
      <c r="EK267" s="20"/>
      <c r="EL267" s="20"/>
      <c r="EM267" s="20"/>
      <c r="EN267" s="20"/>
      <c r="EO267" s="20"/>
      <c r="EP267" s="20"/>
      <c r="EQ267" s="20"/>
      <c r="ER267" s="20"/>
      <c r="ES267" s="20"/>
      <c r="ET267" s="20"/>
      <c r="EU267" s="20"/>
      <c r="EV267" s="20"/>
      <c r="EW267" s="20"/>
      <c r="EX267" s="20"/>
      <c r="EY267" s="20"/>
      <c r="EZ267" s="20"/>
      <c r="FA267" s="20"/>
      <c r="FB267" s="20"/>
      <c r="FC267" s="20"/>
      <c r="FD267" s="20"/>
      <c r="FE267" s="20"/>
      <c r="FF267" s="20"/>
      <c r="FG267" s="20"/>
      <c r="FH267" s="20"/>
      <c r="FI267" s="20"/>
      <c r="FJ267" s="20"/>
      <c r="FK267" s="20"/>
      <c r="FL267" s="20"/>
      <c r="FM267" s="20"/>
      <c r="FN267" s="20"/>
      <c r="FO267" s="20"/>
      <c r="FP267" s="20"/>
      <c r="FQ267" s="20"/>
      <c r="FR267" s="20"/>
      <c r="FS267" s="20"/>
      <c r="FT267" s="20"/>
      <c r="FU267" s="20"/>
      <c r="FV267" s="20"/>
      <c r="FW267" s="20"/>
      <c r="FX267" s="20"/>
      <c r="FY267" s="20"/>
      <c r="FZ267" s="20"/>
      <c r="GA267" s="20"/>
      <c r="GB267" s="20"/>
      <c r="GC267" s="20"/>
      <c r="GD267" s="20"/>
      <c r="GE267" s="20"/>
      <c r="GF267" s="20"/>
      <c r="GG267" s="20"/>
      <c r="GH267" s="20"/>
      <c r="GI267" s="20"/>
      <c r="GJ267" s="20"/>
      <c r="GK267" s="20"/>
      <c r="GL267" s="20"/>
      <c r="GM267" s="20"/>
      <c r="GN267" s="20"/>
      <c r="GO267" s="20"/>
      <c r="GP267" s="20"/>
      <c r="GQ267" s="20"/>
      <c r="GR267" s="20"/>
      <c r="GS267" s="20"/>
      <c r="GT267" s="20"/>
      <c r="GU267" s="20"/>
      <c r="GV267" s="20"/>
      <c r="GW267" s="20"/>
      <c r="GX267" s="20"/>
      <c r="GY267" s="20"/>
      <c r="GZ267" s="20"/>
      <c r="HA267" s="20"/>
      <c r="HB267" s="20"/>
      <c r="HC267" s="20"/>
      <c r="HD267" s="20"/>
      <c r="HE267" s="20"/>
      <c r="HF267" s="20"/>
      <c r="HG267" s="20"/>
      <c r="HH267" s="20"/>
      <c r="HI267" s="20"/>
      <c r="HJ267" s="20"/>
      <c r="HK267" s="20"/>
      <c r="HL267" s="20"/>
      <c r="HM267" s="20"/>
      <c r="HN267" s="20"/>
      <c r="HO267" s="20"/>
      <c r="HP267" s="20"/>
      <c r="HQ267" s="20"/>
      <c r="HR267" s="20"/>
      <c r="HS267" s="20"/>
      <c r="HT267" s="20"/>
      <c r="HU267" s="20"/>
      <c r="HV267" s="20"/>
      <c r="HW267" s="20"/>
      <c r="HX267" s="20"/>
      <c r="HY267" s="20"/>
      <c r="HZ267" s="20"/>
      <c r="IA267" s="20"/>
      <c r="IB267" s="20"/>
      <c r="IC267" s="20"/>
      <c r="ID267" s="20"/>
      <c r="IE267" s="20"/>
      <c r="IF267" s="20"/>
      <c r="IG267" s="20"/>
      <c r="IH267" s="20"/>
      <c r="II267" s="20"/>
      <c r="IJ267" s="20"/>
      <c r="IK267" s="20"/>
      <c r="IL267" s="20"/>
      <c r="IM267" s="20"/>
      <c r="IN267" s="20"/>
      <c r="IO267" s="20"/>
      <c r="IP267" s="20"/>
      <c r="IQ267" s="20"/>
      <c r="IR267" s="20"/>
      <c r="IS267" s="20"/>
      <c r="IT267" s="20"/>
      <c r="IU267" s="20"/>
      <c r="IV267" s="20"/>
      <c r="IW267" s="20"/>
      <c r="IX267" s="20"/>
      <c r="IY267" s="20"/>
      <c r="IZ267" s="20"/>
      <c r="JA267" s="20"/>
      <c r="JB267" s="20"/>
      <c r="JC267" s="20"/>
      <c r="JD267" s="20"/>
      <c r="JE267" s="20"/>
      <c r="JF267" s="20"/>
      <c r="JG267" s="20"/>
      <c r="JH267" s="20"/>
      <c r="JI267" s="20"/>
    </row>
    <row r="268" spans="1:269">
      <c r="A268" s="61" ph="1"/>
      <c r="B268" s="20" ph="1"/>
      <c r="C268" s="20" ph="1"/>
      <c r="D268" s="27" ph="1"/>
      <c r="E268" s="27" ph="1"/>
      <c r="F268" s="27" ph="1"/>
      <c r="G268" s="18" ph="1"/>
      <c r="H268" s="27" ph="1"/>
      <c r="I268" s="27" ph="1"/>
      <c r="J268" s="18" ph="1"/>
      <c r="K268" s="27" ph="1"/>
      <c r="L268" s="27" ph="1"/>
      <c r="M268" s="18" ph="1"/>
      <c r="N268" s="27" ph="1"/>
      <c r="O268" s="27" ph="1"/>
      <c r="P268" s="18" ph="1"/>
      <c r="Q268" s="27" ph="1"/>
      <c r="R268" s="18" ph="1"/>
      <c r="S268" s="18" ph="1"/>
      <c r="T268" s="18" ph="1"/>
      <c r="U268" s="18" ph="1"/>
      <c r="V268" s="18" ph="1"/>
      <c r="W268" s="105" ph="1"/>
      <c r="X268" s="105" ph="1"/>
      <c r="Y268" s="18" ph="1"/>
      <c r="Z268" s="105" ph="1"/>
      <c r="AA268" s="105" ph="1"/>
      <c r="AB268" s="18" ph="1"/>
      <c r="AC268" s="105" ph="1"/>
      <c r="AD268" s="105" ph="1"/>
      <c r="AE268" s="18" ph="1"/>
      <c r="AF268" s="105" ph="1"/>
      <c r="AG268" s="105" ph="1"/>
      <c r="AH268" s="105" ph="1"/>
      <c r="AI268" s="105" ph="1"/>
      <c r="AJ268" s="105" ph="1"/>
      <c r="AK268" s="105" ph="1"/>
      <c r="AL268" s="105" ph="1"/>
      <c r="AM268" s="18" ph="1"/>
      <c r="AN268" s="105" ph="1"/>
      <c r="AO268" s="105" ph="1"/>
      <c r="AP268" s="105" ph="1"/>
      <c r="AQ268" s="18" ph="1"/>
      <c r="AR268" s="105" ph="1"/>
      <c r="AS268" s="105" ph="1"/>
      <c r="AT268" s="105" ph="1"/>
      <c r="AU268" s="18" ph="1"/>
      <c r="AV268" s="105" ph="1"/>
      <c r="AW268" s="105" ph="1"/>
      <c r="AX268" s="18" ph="1"/>
      <c r="AY268" s="105" ph="1"/>
      <c r="AZ268" s="105" ph="1"/>
      <c r="BA268" s="105" ph="1"/>
      <c r="BB268" s="105" ph="1"/>
      <c r="BC268" s="18" ph="1"/>
      <c r="BD268" s="89"/>
      <c r="BE268" s="89"/>
      <c r="BF268" s="89"/>
      <c r="BG268" s="89"/>
      <c r="BH268" s="89"/>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c r="DU268" s="20"/>
      <c r="DV268" s="20"/>
      <c r="DW268" s="20"/>
      <c r="DX268" s="20"/>
      <c r="DY268" s="20"/>
      <c r="DZ268" s="20"/>
      <c r="EA268" s="20"/>
      <c r="EB268" s="20"/>
      <c r="EC268" s="20"/>
      <c r="ED268" s="20"/>
      <c r="EE268" s="20"/>
      <c r="EF268" s="20"/>
      <c r="EG268" s="20"/>
      <c r="EH268" s="20"/>
      <c r="EI268" s="20"/>
      <c r="EJ268" s="20"/>
      <c r="EK268" s="20"/>
      <c r="EL268" s="20"/>
      <c r="EM268" s="20"/>
      <c r="EN268" s="20"/>
      <c r="EO268" s="20"/>
      <c r="EP268" s="20"/>
      <c r="EQ268" s="20"/>
      <c r="ER268" s="20"/>
      <c r="ES268" s="20"/>
      <c r="ET268" s="20"/>
      <c r="EU268" s="20"/>
      <c r="EV268" s="20"/>
      <c r="EW268" s="20"/>
      <c r="EX268" s="20"/>
      <c r="EY268" s="20"/>
      <c r="EZ268" s="20"/>
      <c r="FA268" s="20"/>
      <c r="FB268" s="20"/>
      <c r="FC268" s="20"/>
      <c r="FD268" s="20"/>
      <c r="FE268" s="20"/>
      <c r="FF268" s="20"/>
      <c r="FG268" s="20"/>
      <c r="FH268" s="20"/>
      <c r="FI268" s="20"/>
      <c r="FJ268" s="20"/>
      <c r="FK268" s="20"/>
      <c r="FL268" s="20"/>
      <c r="FM268" s="20"/>
      <c r="FN268" s="20"/>
      <c r="FO268" s="20"/>
      <c r="FP268" s="20"/>
      <c r="FQ268" s="20"/>
      <c r="FR268" s="20"/>
      <c r="FS268" s="20"/>
      <c r="FT268" s="20"/>
      <c r="FU268" s="20"/>
      <c r="FV268" s="20"/>
      <c r="FW268" s="20"/>
      <c r="FX268" s="20"/>
      <c r="FY268" s="20"/>
      <c r="FZ268" s="20"/>
      <c r="GA268" s="20"/>
      <c r="GB268" s="20"/>
      <c r="GC268" s="20"/>
      <c r="GD268" s="20"/>
      <c r="GE268" s="20"/>
      <c r="GF268" s="20"/>
      <c r="GG268" s="20"/>
      <c r="GH268" s="20"/>
      <c r="GI268" s="20"/>
      <c r="GJ268" s="20"/>
      <c r="GK268" s="20"/>
      <c r="GL268" s="20"/>
      <c r="GM268" s="20"/>
      <c r="GN268" s="20"/>
      <c r="GO268" s="20"/>
      <c r="GP268" s="20"/>
      <c r="GQ268" s="20"/>
      <c r="GR268" s="20"/>
      <c r="GS268" s="20"/>
      <c r="GT268" s="20"/>
      <c r="GU268" s="20"/>
      <c r="GV268" s="20"/>
      <c r="GW268" s="20"/>
      <c r="GX268" s="20"/>
      <c r="GY268" s="20"/>
      <c r="GZ268" s="20"/>
      <c r="HA268" s="20"/>
      <c r="HB268" s="20"/>
      <c r="HC268" s="20"/>
      <c r="HD268" s="20"/>
      <c r="HE268" s="20"/>
      <c r="HF268" s="20"/>
      <c r="HG268" s="20"/>
      <c r="HH268" s="20"/>
      <c r="HI268" s="20"/>
      <c r="HJ268" s="20"/>
      <c r="HK268" s="20"/>
      <c r="HL268" s="20"/>
      <c r="HM268" s="20"/>
      <c r="HN268" s="20"/>
      <c r="HO268" s="20"/>
      <c r="HP268" s="20"/>
      <c r="HQ268" s="20"/>
      <c r="HR268" s="20"/>
      <c r="HS268" s="20"/>
      <c r="HT268" s="20"/>
      <c r="HU268" s="20"/>
      <c r="HV268" s="20"/>
      <c r="HW268" s="20"/>
      <c r="HX268" s="20"/>
      <c r="HY268" s="20"/>
      <c r="HZ268" s="20"/>
      <c r="IA268" s="20"/>
      <c r="IB268" s="20"/>
      <c r="IC268" s="20"/>
      <c r="ID268" s="20"/>
      <c r="IE268" s="20"/>
      <c r="IF268" s="20"/>
      <c r="IG268" s="20"/>
      <c r="IH268" s="20"/>
      <c r="II268" s="20"/>
      <c r="IJ268" s="20"/>
      <c r="IK268" s="20"/>
      <c r="IL268" s="20"/>
      <c r="IM268" s="20"/>
      <c r="IN268" s="20"/>
      <c r="IO268" s="20"/>
      <c r="IP268" s="20"/>
      <c r="IQ268" s="20"/>
      <c r="IR268" s="20"/>
      <c r="IS268" s="20"/>
      <c r="IT268" s="20"/>
      <c r="IU268" s="20"/>
      <c r="IV268" s="20"/>
      <c r="IW268" s="20"/>
      <c r="IX268" s="20"/>
      <c r="IY268" s="20"/>
      <c r="IZ268" s="20"/>
      <c r="JA268" s="20"/>
      <c r="JB268" s="20"/>
      <c r="JC268" s="20"/>
      <c r="JD268" s="20"/>
      <c r="JE268" s="20"/>
      <c r="JF268" s="20"/>
      <c r="JG268" s="20"/>
      <c r="JH268" s="20"/>
      <c r="JI268" s="20"/>
    </row>
    <row r="269" spans="1:269">
      <c r="A269" s="61" ph="1"/>
      <c r="B269" s="20" ph="1"/>
      <c r="C269" s="20" ph="1"/>
      <c r="D269" s="27" ph="1"/>
      <c r="E269" s="27" ph="1"/>
      <c r="F269" s="27" ph="1"/>
      <c r="G269" s="18" ph="1"/>
      <c r="H269" s="27" ph="1"/>
      <c r="I269" s="27" ph="1"/>
      <c r="J269" s="18" ph="1"/>
      <c r="K269" s="27" ph="1"/>
      <c r="L269" s="27" ph="1"/>
      <c r="M269" s="18" ph="1"/>
      <c r="N269" s="27" ph="1"/>
      <c r="O269" s="27" ph="1"/>
      <c r="P269" s="18" ph="1"/>
      <c r="Q269" s="27" ph="1"/>
      <c r="R269" s="18" ph="1"/>
      <c r="S269" s="18" ph="1"/>
      <c r="T269" s="18" ph="1"/>
      <c r="U269" s="18" ph="1"/>
      <c r="V269" s="18" ph="1"/>
      <c r="W269" s="105" ph="1"/>
      <c r="X269" s="105" ph="1"/>
      <c r="Y269" s="18" ph="1"/>
      <c r="Z269" s="105" ph="1"/>
      <c r="AA269" s="105" ph="1"/>
      <c r="AB269" s="18" ph="1"/>
      <c r="AC269" s="105" ph="1"/>
      <c r="AD269" s="105" ph="1"/>
      <c r="AE269" s="18" ph="1"/>
      <c r="AF269" s="105" ph="1"/>
      <c r="AG269" s="105" ph="1"/>
      <c r="AH269" s="105" ph="1"/>
      <c r="AI269" s="105" ph="1"/>
      <c r="AJ269" s="105" ph="1"/>
      <c r="AK269" s="105" ph="1"/>
      <c r="AL269" s="105" ph="1"/>
      <c r="AM269" s="18" ph="1"/>
      <c r="AN269" s="105" ph="1"/>
      <c r="AO269" s="105" ph="1"/>
      <c r="AP269" s="105" ph="1"/>
      <c r="AQ269" s="18" ph="1"/>
      <c r="AR269" s="105" ph="1"/>
      <c r="AS269" s="105" ph="1"/>
      <c r="AT269" s="105" ph="1"/>
      <c r="AU269" s="18" ph="1"/>
      <c r="AV269" s="105" ph="1"/>
      <c r="AW269" s="105" ph="1"/>
      <c r="AX269" s="18" ph="1"/>
      <c r="AY269" s="105" ph="1"/>
      <c r="AZ269" s="105" ph="1"/>
      <c r="BA269" s="105" ph="1"/>
      <c r="BB269" s="105" ph="1"/>
      <c r="BC269" s="18" ph="1"/>
      <c r="BD269" s="89"/>
      <c r="BE269" s="89"/>
      <c r="BF269" s="89"/>
      <c r="BG269" s="89"/>
      <c r="BH269" s="89"/>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c r="DU269" s="20"/>
      <c r="DV269" s="20"/>
      <c r="DW269" s="20"/>
      <c r="DX269" s="20"/>
      <c r="DY269" s="20"/>
      <c r="DZ269" s="20"/>
      <c r="EA269" s="20"/>
      <c r="EB269" s="20"/>
      <c r="EC269" s="20"/>
      <c r="ED269" s="20"/>
      <c r="EE269" s="20"/>
      <c r="EF269" s="20"/>
      <c r="EG269" s="20"/>
      <c r="EH269" s="20"/>
      <c r="EI269" s="20"/>
      <c r="EJ269" s="20"/>
      <c r="EK269" s="20"/>
      <c r="EL269" s="20"/>
      <c r="EM269" s="20"/>
      <c r="EN269" s="20"/>
      <c r="EO269" s="20"/>
      <c r="EP269" s="20"/>
      <c r="EQ269" s="20"/>
      <c r="ER269" s="20"/>
      <c r="ES269" s="20"/>
      <c r="ET269" s="20"/>
      <c r="EU269" s="20"/>
      <c r="EV269" s="20"/>
      <c r="EW269" s="20"/>
      <c r="EX269" s="20"/>
      <c r="EY269" s="20"/>
      <c r="EZ269" s="20"/>
      <c r="FA269" s="20"/>
      <c r="FB269" s="20"/>
      <c r="FC269" s="20"/>
      <c r="FD269" s="20"/>
      <c r="FE269" s="20"/>
      <c r="FF269" s="20"/>
      <c r="FG269" s="20"/>
      <c r="FH269" s="20"/>
      <c r="FI269" s="20"/>
      <c r="FJ269" s="20"/>
      <c r="FK269" s="20"/>
      <c r="FL269" s="20"/>
      <c r="FM269" s="20"/>
      <c r="FN269" s="20"/>
      <c r="FO269" s="20"/>
      <c r="FP269" s="20"/>
      <c r="FQ269" s="20"/>
      <c r="FR269" s="20"/>
      <c r="FS269" s="20"/>
      <c r="FT269" s="20"/>
      <c r="FU269" s="20"/>
      <c r="FV269" s="20"/>
      <c r="FW269" s="20"/>
      <c r="FX269" s="20"/>
      <c r="FY269" s="20"/>
      <c r="FZ269" s="20"/>
      <c r="GA269" s="20"/>
      <c r="GB269" s="20"/>
      <c r="GC269" s="20"/>
      <c r="GD269" s="20"/>
      <c r="GE269" s="20"/>
      <c r="GF269" s="20"/>
      <c r="GG269" s="20"/>
      <c r="GH269" s="20"/>
      <c r="GI269" s="20"/>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20"/>
      <c r="HP269" s="20"/>
      <c r="HQ269" s="20"/>
      <c r="HR269" s="20"/>
      <c r="HS269" s="20"/>
      <c r="HT269" s="20"/>
      <c r="HU269" s="20"/>
      <c r="HV269" s="20"/>
      <c r="HW269" s="20"/>
      <c r="HX269" s="20"/>
      <c r="HY269" s="20"/>
      <c r="HZ269" s="20"/>
      <c r="IA269" s="20"/>
      <c r="IB269" s="20"/>
      <c r="IC269" s="20"/>
      <c r="ID269" s="20"/>
      <c r="IE269" s="20"/>
      <c r="IF269" s="20"/>
      <c r="IG269" s="20"/>
      <c r="IH269" s="20"/>
      <c r="II269" s="20"/>
      <c r="IJ269" s="20"/>
      <c r="IK269" s="20"/>
      <c r="IL269" s="20"/>
      <c r="IM269" s="20"/>
      <c r="IN269" s="20"/>
      <c r="IO269" s="20"/>
      <c r="IP269" s="20"/>
      <c r="IQ269" s="20"/>
      <c r="IR269" s="20"/>
      <c r="IS269" s="20"/>
      <c r="IT269" s="20"/>
      <c r="IU269" s="20"/>
      <c r="IV269" s="20"/>
      <c r="IW269" s="20"/>
      <c r="IX269" s="20"/>
      <c r="IY269" s="20"/>
      <c r="IZ269" s="20"/>
      <c r="JA269" s="20"/>
      <c r="JB269" s="20"/>
      <c r="JC269" s="20"/>
      <c r="JD269" s="20"/>
      <c r="JE269" s="20"/>
      <c r="JF269" s="20"/>
      <c r="JG269" s="20"/>
      <c r="JH269" s="20"/>
      <c r="JI269" s="20"/>
    </row>
    <row r="270" spans="1:269">
      <c r="A270" s="61"/>
      <c r="B270" s="20"/>
      <c r="C270" s="20"/>
      <c r="D270" s="27"/>
      <c r="E270" s="27"/>
      <c r="F270" s="27"/>
      <c r="G270" s="18"/>
      <c r="H270" s="27"/>
      <c r="I270" s="27"/>
      <c r="J270" s="18"/>
      <c r="K270" s="27"/>
      <c r="L270" s="27"/>
      <c r="M270" s="18"/>
      <c r="N270" s="27"/>
      <c r="O270" s="27"/>
      <c r="P270" s="18"/>
      <c r="Q270" s="27"/>
      <c r="R270" s="18"/>
      <c r="S270" s="18"/>
      <c r="T270" s="18"/>
      <c r="U270" s="18"/>
      <c r="V270" s="18"/>
      <c r="W270" s="105"/>
      <c r="X270" s="105"/>
      <c r="Y270" s="18"/>
      <c r="Z270" s="105"/>
      <c r="AA270" s="105"/>
      <c r="AB270" s="18"/>
      <c r="AC270" s="105"/>
      <c r="AD270" s="105"/>
      <c r="AE270" s="18"/>
      <c r="AF270" s="105"/>
      <c r="AG270" s="105"/>
      <c r="AH270" s="105"/>
      <c r="AI270" s="105"/>
      <c r="AJ270" s="105"/>
      <c r="AK270" s="105"/>
      <c r="AL270" s="105"/>
      <c r="AM270" s="18"/>
      <c r="AN270" s="105"/>
      <c r="AO270" s="105"/>
      <c r="AP270" s="105"/>
      <c r="AQ270" s="18"/>
      <c r="AR270" s="105"/>
      <c r="AS270" s="105"/>
      <c r="AT270" s="105"/>
      <c r="AU270" s="18"/>
      <c r="AV270" s="105"/>
      <c r="AW270" s="105"/>
      <c r="AX270" s="18"/>
      <c r="AY270" s="105"/>
      <c r="AZ270" s="105"/>
      <c r="BA270" s="105"/>
      <c r="BB270" s="105"/>
      <c r="BC270" s="18"/>
      <c r="BD270" s="89"/>
      <c r="BE270" s="89"/>
      <c r="BF270" s="89"/>
      <c r="BG270" s="89"/>
      <c r="BH270" s="89"/>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c r="DU270" s="20"/>
      <c r="DV270" s="20"/>
      <c r="DW270" s="20"/>
      <c r="DX270" s="20"/>
      <c r="DY270" s="20"/>
      <c r="DZ270" s="20"/>
      <c r="EA270" s="20"/>
      <c r="EB270" s="20"/>
      <c r="EC270" s="20"/>
      <c r="ED270" s="20"/>
      <c r="EE270" s="20"/>
      <c r="EF270" s="20"/>
      <c r="EG270" s="20"/>
      <c r="EH270" s="20"/>
      <c r="EI270" s="20"/>
      <c r="EJ270" s="20"/>
      <c r="EK270" s="20"/>
      <c r="EL270" s="20"/>
      <c r="EM270" s="20"/>
      <c r="EN270" s="20"/>
      <c r="EO270" s="20"/>
      <c r="EP270" s="20"/>
      <c r="EQ270" s="20"/>
      <c r="ER270" s="20"/>
      <c r="ES270" s="20"/>
      <c r="ET270" s="20"/>
      <c r="EU270" s="20"/>
      <c r="EV270" s="20"/>
      <c r="EW270" s="20"/>
      <c r="EX270" s="20"/>
      <c r="EY270" s="20"/>
      <c r="EZ270" s="20"/>
      <c r="FA270" s="20"/>
      <c r="FB270" s="20"/>
      <c r="FC270" s="20"/>
      <c r="FD270" s="20"/>
      <c r="FE270" s="20"/>
      <c r="FF270" s="20"/>
      <c r="FG270" s="20"/>
      <c r="FH270" s="20"/>
      <c r="FI270" s="20"/>
      <c r="FJ270" s="20"/>
      <c r="FK270" s="20"/>
      <c r="FL270" s="20"/>
      <c r="FM270" s="20"/>
      <c r="FN270" s="20"/>
      <c r="FO270" s="20"/>
      <c r="FP270" s="20"/>
      <c r="FQ270" s="20"/>
      <c r="FR270" s="20"/>
      <c r="FS270" s="20"/>
      <c r="FT270" s="20"/>
      <c r="FU270" s="20"/>
      <c r="FV270" s="20"/>
      <c r="FW270" s="20"/>
      <c r="FX270" s="20"/>
      <c r="FY270" s="20"/>
      <c r="FZ270" s="20"/>
      <c r="GA270" s="20"/>
      <c r="GB270" s="20"/>
      <c r="GC270" s="20"/>
      <c r="GD270" s="20"/>
      <c r="GE270" s="20"/>
      <c r="GF270" s="20"/>
      <c r="GG270" s="20"/>
      <c r="GH270" s="20"/>
      <c r="GI270" s="20"/>
      <c r="GJ270" s="20"/>
      <c r="GK270" s="20"/>
      <c r="GL270" s="20"/>
      <c r="GM270" s="20"/>
      <c r="GN270" s="20"/>
      <c r="GO270" s="20"/>
      <c r="GP270" s="20"/>
      <c r="GQ270" s="20"/>
      <c r="GR270" s="20"/>
      <c r="GS270" s="20"/>
      <c r="GT270" s="20"/>
      <c r="GU270" s="20"/>
      <c r="GV270" s="20"/>
      <c r="GW270" s="20"/>
      <c r="GX270" s="20"/>
      <c r="GY270" s="20"/>
      <c r="GZ270" s="20"/>
      <c r="HA270" s="20"/>
      <c r="HB270" s="20"/>
      <c r="HC270" s="20"/>
      <c r="HD270" s="20"/>
      <c r="HE270" s="20"/>
      <c r="HF270" s="20"/>
      <c r="HG270" s="20"/>
      <c r="HH270" s="20"/>
      <c r="HI270" s="20"/>
      <c r="HJ270" s="20"/>
      <c r="HK270" s="20"/>
      <c r="HL270" s="20"/>
      <c r="HM270" s="20"/>
      <c r="HN270" s="20"/>
      <c r="HO270" s="20"/>
      <c r="HP270" s="20"/>
      <c r="HQ270" s="20"/>
      <c r="HR270" s="20"/>
      <c r="HS270" s="20"/>
      <c r="HT270" s="20"/>
      <c r="HU270" s="20"/>
      <c r="HV270" s="20"/>
      <c r="HW270" s="20"/>
      <c r="HX270" s="20"/>
      <c r="HY270" s="20"/>
      <c r="HZ270" s="20"/>
      <c r="IA270" s="20"/>
      <c r="IB270" s="20"/>
      <c r="IC270" s="20"/>
      <c r="ID270" s="20"/>
      <c r="IE270" s="20"/>
      <c r="IF270" s="20"/>
      <c r="IG270" s="20"/>
      <c r="IH270" s="20"/>
      <c r="II270" s="20"/>
      <c r="IJ270" s="20"/>
      <c r="IK270" s="20"/>
      <c r="IL270" s="20"/>
      <c r="IM270" s="20"/>
      <c r="IN270" s="20"/>
      <c r="IO270" s="20"/>
      <c r="IP270" s="20"/>
      <c r="IQ270" s="20"/>
      <c r="IR270" s="20"/>
      <c r="IS270" s="20"/>
      <c r="IT270" s="20"/>
      <c r="IU270" s="20"/>
      <c r="IV270" s="20"/>
      <c r="IW270" s="20"/>
      <c r="IX270" s="20"/>
      <c r="IY270" s="20"/>
      <c r="IZ270" s="20"/>
      <c r="JA270" s="20"/>
      <c r="JB270" s="20"/>
      <c r="JC270" s="20"/>
      <c r="JD270" s="20"/>
      <c r="JE270" s="20"/>
      <c r="JF270" s="20"/>
      <c r="JG270" s="20"/>
      <c r="JH270" s="20"/>
      <c r="JI270" s="20"/>
    </row>
    <row r="271" spans="1:269">
      <c r="A271" s="61"/>
      <c r="B271" s="20"/>
      <c r="C271" s="20"/>
      <c r="D271" s="27"/>
      <c r="E271" s="27"/>
      <c r="F271" s="27"/>
      <c r="G271" s="18"/>
      <c r="H271" s="27"/>
      <c r="I271" s="27"/>
      <c r="J271" s="18"/>
      <c r="K271" s="27"/>
      <c r="L271" s="27"/>
      <c r="M271" s="18"/>
      <c r="N271" s="27"/>
      <c r="O271" s="27"/>
      <c r="P271" s="18"/>
      <c r="Q271" s="27"/>
      <c r="R271" s="18"/>
      <c r="S271" s="18"/>
      <c r="T271" s="18"/>
      <c r="U271" s="18"/>
      <c r="V271" s="18"/>
      <c r="W271" s="105"/>
      <c r="X271" s="105"/>
      <c r="Y271" s="18"/>
      <c r="Z271" s="105"/>
      <c r="AA271" s="105"/>
      <c r="AB271" s="18"/>
      <c r="AC271" s="105"/>
      <c r="AD271" s="105"/>
      <c r="AE271" s="18"/>
      <c r="AF271" s="105"/>
      <c r="AG271" s="105"/>
      <c r="AH271" s="105"/>
      <c r="AI271" s="105"/>
      <c r="AJ271" s="105"/>
      <c r="AK271" s="105"/>
      <c r="AL271" s="105"/>
      <c r="AM271" s="18"/>
      <c r="AN271" s="105"/>
      <c r="AO271" s="105"/>
      <c r="AP271" s="105"/>
      <c r="AQ271" s="18"/>
      <c r="AR271" s="105"/>
      <c r="AS271" s="105"/>
      <c r="AT271" s="105"/>
      <c r="AU271" s="18"/>
      <c r="AV271" s="105"/>
      <c r="AW271" s="105"/>
      <c r="AX271" s="18"/>
      <c r="AY271" s="105"/>
      <c r="AZ271" s="105"/>
      <c r="BA271" s="105"/>
      <c r="BB271" s="105"/>
      <c r="BC271" s="18"/>
      <c r="BD271" s="89"/>
      <c r="BE271" s="89"/>
      <c r="BF271" s="89"/>
      <c r="BG271" s="89"/>
      <c r="BH271" s="89"/>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c r="DU271" s="20"/>
      <c r="DV271" s="20"/>
      <c r="DW271" s="20"/>
      <c r="DX271" s="20"/>
      <c r="DY271" s="20"/>
      <c r="DZ271" s="20"/>
      <c r="EA271" s="20"/>
      <c r="EB271" s="20"/>
      <c r="EC271" s="20"/>
      <c r="ED271" s="20"/>
      <c r="EE271" s="20"/>
      <c r="EF271" s="20"/>
      <c r="EG271" s="20"/>
      <c r="EH271" s="20"/>
      <c r="EI271" s="20"/>
      <c r="EJ271" s="20"/>
      <c r="EK271" s="20"/>
      <c r="EL271" s="20"/>
      <c r="EM271" s="20"/>
      <c r="EN271" s="20"/>
      <c r="EO271" s="20"/>
      <c r="EP271" s="20"/>
      <c r="EQ271" s="20"/>
      <c r="ER271" s="20"/>
      <c r="ES271" s="20"/>
      <c r="ET271" s="20"/>
      <c r="EU271" s="20"/>
      <c r="EV271" s="20"/>
      <c r="EW271" s="20"/>
      <c r="EX271" s="20"/>
      <c r="EY271" s="20"/>
      <c r="EZ271" s="20"/>
      <c r="FA271" s="20"/>
      <c r="FB271" s="20"/>
      <c r="FC271" s="20"/>
      <c r="FD271" s="20"/>
      <c r="FE271" s="20"/>
      <c r="FF271" s="20"/>
      <c r="FG271" s="20"/>
      <c r="FH271" s="20"/>
      <c r="FI271" s="20"/>
      <c r="FJ271" s="20"/>
      <c r="FK271" s="20"/>
      <c r="FL271" s="20"/>
      <c r="FM271" s="20"/>
      <c r="FN271" s="20"/>
      <c r="FO271" s="20"/>
      <c r="FP271" s="20"/>
      <c r="FQ271" s="20"/>
      <c r="FR271" s="20"/>
      <c r="FS271" s="20"/>
      <c r="FT271" s="20"/>
      <c r="FU271" s="20"/>
      <c r="FV271" s="20"/>
      <c r="FW271" s="20"/>
      <c r="FX271" s="20"/>
      <c r="FY271" s="20"/>
      <c r="FZ271" s="20"/>
      <c r="GA271" s="20"/>
      <c r="GB271" s="20"/>
      <c r="GC271" s="20"/>
      <c r="GD271" s="20"/>
      <c r="GE271" s="20"/>
      <c r="GF271" s="20"/>
      <c r="GG271" s="20"/>
      <c r="GH271" s="20"/>
      <c r="GI271" s="20"/>
      <c r="GJ271" s="20"/>
      <c r="GK271" s="20"/>
      <c r="GL271" s="20"/>
      <c r="GM271" s="20"/>
      <c r="GN271" s="20"/>
      <c r="GO271" s="20"/>
      <c r="GP271" s="20"/>
      <c r="GQ271" s="20"/>
      <c r="GR271" s="20"/>
      <c r="GS271" s="20"/>
      <c r="GT271" s="20"/>
      <c r="GU271" s="20"/>
      <c r="GV271" s="20"/>
      <c r="GW271" s="20"/>
      <c r="GX271" s="20"/>
      <c r="GY271" s="20"/>
      <c r="GZ271" s="20"/>
      <c r="HA271" s="20"/>
      <c r="HB271" s="20"/>
      <c r="HC271" s="20"/>
      <c r="HD271" s="20"/>
      <c r="HE271" s="20"/>
      <c r="HF271" s="20"/>
      <c r="HG271" s="20"/>
      <c r="HH271" s="20"/>
      <c r="HI271" s="20"/>
      <c r="HJ271" s="20"/>
      <c r="HK271" s="20"/>
      <c r="HL271" s="20"/>
      <c r="HM271" s="20"/>
      <c r="HN271" s="20"/>
      <c r="HO271" s="20"/>
      <c r="HP271" s="20"/>
      <c r="HQ271" s="20"/>
      <c r="HR271" s="20"/>
      <c r="HS271" s="20"/>
      <c r="HT271" s="20"/>
      <c r="HU271" s="20"/>
      <c r="HV271" s="20"/>
      <c r="HW271" s="20"/>
      <c r="HX271" s="20"/>
      <c r="HY271" s="20"/>
      <c r="HZ271" s="20"/>
      <c r="IA271" s="20"/>
      <c r="IB271" s="20"/>
      <c r="IC271" s="20"/>
      <c r="ID271" s="20"/>
      <c r="IE271" s="20"/>
      <c r="IF271" s="20"/>
      <c r="IG271" s="20"/>
      <c r="IH271" s="20"/>
      <c r="II271" s="20"/>
      <c r="IJ271" s="20"/>
      <c r="IK271" s="20"/>
      <c r="IL271" s="20"/>
      <c r="IM271" s="20"/>
      <c r="IN271" s="20"/>
      <c r="IO271" s="20"/>
      <c r="IP271" s="20"/>
      <c r="IQ271" s="20"/>
      <c r="IR271" s="20"/>
      <c r="IS271" s="20"/>
      <c r="IT271" s="20"/>
      <c r="IU271" s="20"/>
      <c r="IV271" s="20"/>
      <c r="IW271" s="20"/>
      <c r="IX271" s="20"/>
      <c r="IY271" s="20"/>
      <c r="IZ271" s="20"/>
      <c r="JA271" s="20"/>
      <c r="JB271" s="20"/>
      <c r="JC271" s="20"/>
      <c r="JD271" s="20"/>
      <c r="JE271" s="20"/>
      <c r="JF271" s="20"/>
      <c r="JG271" s="20"/>
      <c r="JH271" s="20"/>
      <c r="JI271" s="20"/>
    </row>
    <row r="272" spans="1:269">
      <c r="A272" s="61"/>
      <c r="B272" s="20"/>
      <c r="C272" s="20"/>
      <c r="D272" s="27"/>
      <c r="E272" s="27"/>
      <c r="F272" s="27"/>
      <c r="G272" s="18"/>
      <c r="H272" s="27"/>
      <c r="I272" s="27"/>
      <c r="J272" s="18"/>
      <c r="K272" s="27"/>
      <c r="L272" s="27"/>
      <c r="M272" s="18"/>
      <c r="N272" s="27"/>
      <c r="O272" s="27"/>
      <c r="P272" s="18"/>
      <c r="Q272" s="27"/>
      <c r="R272" s="18"/>
      <c r="S272" s="18"/>
      <c r="T272" s="18"/>
      <c r="U272" s="18"/>
      <c r="V272" s="18"/>
      <c r="W272" s="105"/>
      <c r="X272" s="105"/>
      <c r="Y272" s="18"/>
      <c r="Z272" s="105"/>
      <c r="AA272" s="105"/>
      <c r="AB272" s="18"/>
      <c r="AC272" s="105"/>
      <c r="AD272" s="105"/>
      <c r="AE272" s="18"/>
      <c r="AF272" s="105"/>
      <c r="AG272" s="105"/>
      <c r="AH272" s="105"/>
      <c r="AI272" s="105"/>
      <c r="AJ272" s="105"/>
      <c r="AK272" s="105"/>
      <c r="AL272" s="105"/>
      <c r="AM272" s="18"/>
      <c r="AN272" s="105"/>
      <c r="AO272" s="105"/>
      <c r="AP272" s="105"/>
      <c r="AQ272" s="18"/>
      <c r="AR272" s="105"/>
      <c r="AS272" s="105"/>
      <c r="AT272" s="105"/>
      <c r="AU272" s="18"/>
      <c r="AV272" s="105"/>
      <c r="AW272" s="105"/>
      <c r="AX272" s="18"/>
      <c r="AY272" s="105"/>
      <c r="AZ272" s="105"/>
      <c r="BA272" s="105"/>
      <c r="BB272" s="105"/>
      <c r="BC272" s="18"/>
      <c r="BD272" s="89"/>
      <c r="BE272" s="89"/>
      <c r="BF272" s="89"/>
      <c r="BG272" s="89"/>
      <c r="BH272" s="89"/>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c r="DU272" s="20"/>
      <c r="DV272" s="20"/>
      <c r="DW272" s="20"/>
      <c r="DX272" s="20"/>
      <c r="DY272" s="20"/>
      <c r="DZ272" s="20"/>
      <c r="EA272" s="20"/>
      <c r="EB272" s="20"/>
      <c r="EC272" s="20"/>
      <c r="ED272" s="20"/>
      <c r="EE272" s="20"/>
      <c r="EF272" s="20"/>
      <c r="EG272" s="20"/>
      <c r="EH272" s="20"/>
      <c r="EI272" s="20"/>
      <c r="EJ272" s="20"/>
      <c r="EK272" s="20"/>
      <c r="EL272" s="20"/>
      <c r="EM272" s="20"/>
      <c r="EN272" s="20"/>
      <c r="EO272" s="20"/>
      <c r="EP272" s="20"/>
      <c r="EQ272" s="20"/>
      <c r="ER272" s="20"/>
      <c r="ES272" s="20"/>
      <c r="ET272" s="20"/>
      <c r="EU272" s="20"/>
      <c r="EV272" s="20"/>
      <c r="EW272" s="20"/>
      <c r="EX272" s="20"/>
      <c r="EY272" s="20"/>
      <c r="EZ272" s="20"/>
      <c r="FA272" s="20"/>
      <c r="FB272" s="20"/>
      <c r="FC272" s="20"/>
      <c r="FD272" s="20"/>
      <c r="FE272" s="20"/>
      <c r="FF272" s="20"/>
      <c r="FG272" s="20"/>
      <c r="FH272" s="20"/>
      <c r="FI272" s="20"/>
      <c r="FJ272" s="20"/>
      <c r="FK272" s="20"/>
      <c r="FL272" s="20"/>
      <c r="FM272" s="20"/>
      <c r="FN272" s="20"/>
      <c r="FO272" s="20"/>
      <c r="FP272" s="20"/>
      <c r="FQ272" s="20"/>
      <c r="FR272" s="20"/>
      <c r="FS272" s="20"/>
      <c r="FT272" s="20"/>
      <c r="FU272" s="20"/>
      <c r="FV272" s="20"/>
      <c r="FW272" s="20"/>
      <c r="FX272" s="20"/>
      <c r="FY272" s="20"/>
      <c r="FZ272" s="20"/>
      <c r="GA272" s="20"/>
      <c r="GB272" s="20"/>
      <c r="GC272" s="20"/>
      <c r="GD272" s="20"/>
      <c r="GE272" s="20"/>
      <c r="GF272" s="20"/>
      <c r="GG272" s="20"/>
      <c r="GH272" s="20"/>
      <c r="GI272" s="20"/>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20"/>
      <c r="HP272" s="20"/>
      <c r="HQ272" s="20"/>
      <c r="HR272" s="20"/>
      <c r="HS272" s="20"/>
      <c r="HT272" s="20"/>
      <c r="HU272" s="20"/>
      <c r="HV272" s="20"/>
      <c r="HW272" s="20"/>
      <c r="HX272" s="20"/>
      <c r="HY272" s="20"/>
      <c r="HZ272" s="20"/>
      <c r="IA272" s="20"/>
      <c r="IB272" s="20"/>
      <c r="IC272" s="20"/>
      <c r="ID272" s="20"/>
      <c r="IE272" s="20"/>
      <c r="IF272" s="20"/>
      <c r="IG272" s="20"/>
      <c r="IH272" s="20"/>
      <c r="II272" s="20"/>
      <c r="IJ272" s="20"/>
      <c r="IK272" s="20"/>
      <c r="IL272" s="20"/>
      <c r="IM272" s="20"/>
      <c r="IN272" s="20"/>
      <c r="IO272" s="20"/>
      <c r="IP272" s="20"/>
      <c r="IQ272" s="20"/>
      <c r="IR272" s="20"/>
      <c r="IS272" s="20"/>
      <c r="IT272" s="20"/>
      <c r="IU272" s="20"/>
      <c r="IV272" s="20"/>
      <c r="IW272" s="20"/>
      <c r="IX272" s="20"/>
      <c r="IY272" s="20"/>
      <c r="IZ272" s="20"/>
      <c r="JA272" s="20"/>
      <c r="JB272" s="20"/>
      <c r="JC272" s="20"/>
      <c r="JD272" s="20"/>
      <c r="JE272" s="20"/>
      <c r="JF272" s="20"/>
      <c r="JG272" s="20"/>
      <c r="JH272" s="20"/>
      <c r="JI272" s="20"/>
    </row>
    <row r="273" spans="1:269">
      <c r="A273" s="61"/>
      <c r="B273" s="20"/>
      <c r="C273" s="20"/>
      <c r="D273" s="27"/>
      <c r="E273" s="27"/>
      <c r="F273" s="27"/>
      <c r="G273" s="18"/>
      <c r="H273" s="27"/>
      <c r="I273" s="27"/>
      <c r="J273" s="18"/>
      <c r="K273" s="27"/>
      <c r="L273" s="27"/>
      <c r="M273" s="18"/>
      <c r="N273" s="27"/>
      <c r="O273" s="27"/>
      <c r="P273" s="18"/>
      <c r="Q273" s="27"/>
      <c r="R273" s="18"/>
      <c r="S273" s="18"/>
      <c r="T273" s="18"/>
      <c r="U273" s="18"/>
      <c r="V273" s="18"/>
      <c r="W273" s="105"/>
      <c r="X273" s="105"/>
      <c r="Y273" s="18"/>
      <c r="Z273" s="105"/>
      <c r="AA273" s="105"/>
      <c r="AB273" s="18"/>
      <c r="AC273" s="105"/>
      <c r="AD273" s="105"/>
      <c r="AE273" s="18"/>
      <c r="AF273" s="105"/>
      <c r="AG273" s="105"/>
      <c r="AH273" s="105"/>
      <c r="AI273" s="105"/>
      <c r="AJ273" s="105"/>
      <c r="AK273" s="105"/>
      <c r="AL273" s="105"/>
      <c r="AM273" s="18"/>
      <c r="AN273" s="105"/>
      <c r="AO273" s="105"/>
      <c r="AP273" s="105"/>
      <c r="AQ273" s="18"/>
      <c r="AR273" s="105"/>
      <c r="AS273" s="105"/>
      <c r="AT273" s="105"/>
      <c r="AU273" s="18"/>
      <c r="AV273" s="105"/>
      <c r="AW273" s="105"/>
      <c r="AX273" s="18"/>
      <c r="AY273" s="105"/>
      <c r="AZ273" s="105"/>
      <c r="BA273" s="105"/>
      <c r="BB273" s="105"/>
      <c r="BC273" s="18"/>
      <c r="BD273" s="89"/>
      <c r="BE273" s="89"/>
      <c r="BF273" s="89"/>
      <c r="BG273" s="89"/>
      <c r="BH273" s="89"/>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c r="DU273" s="20"/>
      <c r="DV273" s="20"/>
      <c r="DW273" s="20"/>
      <c r="DX273" s="20"/>
      <c r="DY273" s="20"/>
      <c r="DZ273" s="20"/>
      <c r="EA273" s="20"/>
      <c r="EB273" s="20"/>
      <c r="EC273" s="20"/>
      <c r="ED273" s="20"/>
      <c r="EE273" s="20"/>
      <c r="EF273" s="20"/>
      <c r="EG273" s="20"/>
      <c r="EH273" s="20"/>
      <c r="EI273" s="20"/>
      <c r="EJ273" s="20"/>
      <c r="EK273" s="20"/>
      <c r="EL273" s="20"/>
      <c r="EM273" s="20"/>
      <c r="EN273" s="20"/>
      <c r="EO273" s="20"/>
      <c r="EP273" s="20"/>
      <c r="EQ273" s="20"/>
      <c r="ER273" s="20"/>
      <c r="ES273" s="20"/>
      <c r="ET273" s="20"/>
      <c r="EU273" s="20"/>
      <c r="EV273" s="20"/>
      <c r="EW273" s="20"/>
      <c r="EX273" s="20"/>
      <c r="EY273" s="20"/>
      <c r="EZ273" s="20"/>
      <c r="FA273" s="20"/>
      <c r="FB273" s="20"/>
      <c r="FC273" s="20"/>
      <c r="FD273" s="20"/>
      <c r="FE273" s="20"/>
      <c r="FF273" s="20"/>
      <c r="FG273" s="20"/>
      <c r="FH273" s="20"/>
      <c r="FI273" s="20"/>
      <c r="FJ273" s="20"/>
      <c r="FK273" s="20"/>
      <c r="FL273" s="20"/>
      <c r="FM273" s="20"/>
      <c r="FN273" s="20"/>
      <c r="FO273" s="20"/>
      <c r="FP273" s="20"/>
      <c r="FQ273" s="20"/>
      <c r="FR273" s="20"/>
      <c r="FS273" s="20"/>
      <c r="FT273" s="20"/>
      <c r="FU273" s="20"/>
      <c r="FV273" s="20"/>
      <c r="FW273" s="20"/>
      <c r="FX273" s="20"/>
      <c r="FY273" s="20"/>
      <c r="FZ273" s="20"/>
      <c r="GA273" s="20"/>
      <c r="GB273" s="20"/>
      <c r="GC273" s="20"/>
      <c r="GD273" s="20"/>
      <c r="GE273" s="20"/>
      <c r="GF273" s="20"/>
      <c r="GG273" s="20"/>
      <c r="GH273" s="20"/>
      <c r="GI273" s="20"/>
      <c r="GJ273" s="20"/>
      <c r="GK273" s="20"/>
      <c r="GL273" s="20"/>
      <c r="GM273" s="20"/>
      <c r="GN273" s="20"/>
      <c r="GO273" s="20"/>
      <c r="GP273" s="20"/>
      <c r="GQ273" s="20"/>
      <c r="GR273" s="20"/>
      <c r="GS273" s="20"/>
      <c r="GT273" s="20"/>
      <c r="GU273" s="20"/>
      <c r="GV273" s="20"/>
      <c r="GW273" s="20"/>
      <c r="GX273" s="20"/>
      <c r="GY273" s="20"/>
      <c r="GZ273" s="20"/>
      <c r="HA273" s="20"/>
      <c r="HB273" s="20"/>
      <c r="HC273" s="20"/>
      <c r="HD273" s="20"/>
      <c r="HE273" s="20"/>
      <c r="HF273" s="20"/>
      <c r="HG273" s="20"/>
      <c r="HH273" s="20"/>
      <c r="HI273" s="20"/>
      <c r="HJ273" s="20"/>
      <c r="HK273" s="20"/>
      <c r="HL273" s="20"/>
      <c r="HM273" s="20"/>
      <c r="HN273" s="20"/>
      <c r="HO273" s="20"/>
      <c r="HP273" s="20"/>
      <c r="HQ273" s="20"/>
      <c r="HR273" s="20"/>
      <c r="HS273" s="20"/>
      <c r="HT273" s="20"/>
      <c r="HU273" s="20"/>
      <c r="HV273" s="20"/>
      <c r="HW273" s="20"/>
      <c r="HX273" s="20"/>
      <c r="HY273" s="20"/>
      <c r="HZ273" s="20"/>
      <c r="IA273" s="20"/>
      <c r="IB273" s="20"/>
      <c r="IC273" s="20"/>
      <c r="ID273" s="20"/>
      <c r="IE273" s="20"/>
      <c r="IF273" s="20"/>
      <c r="IG273" s="20"/>
      <c r="IH273" s="20"/>
      <c r="II273" s="20"/>
      <c r="IJ273" s="20"/>
      <c r="IK273" s="20"/>
      <c r="IL273" s="20"/>
      <c r="IM273" s="20"/>
      <c r="IN273" s="20"/>
      <c r="IO273" s="20"/>
      <c r="IP273" s="20"/>
      <c r="IQ273" s="20"/>
      <c r="IR273" s="20"/>
      <c r="IS273" s="20"/>
      <c r="IT273" s="20"/>
      <c r="IU273" s="20"/>
      <c r="IV273" s="20"/>
      <c r="IW273" s="20"/>
      <c r="IX273" s="20"/>
      <c r="IY273" s="20"/>
      <c r="IZ273" s="20"/>
      <c r="JA273" s="20"/>
      <c r="JB273" s="20"/>
      <c r="JC273" s="20"/>
      <c r="JD273" s="20"/>
      <c r="JE273" s="20"/>
      <c r="JF273" s="20"/>
      <c r="JG273" s="20"/>
      <c r="JH273" s="20"/>
      <c r="JI273" s="20"/>
    </row>
    <row r="274" spans="1:269">
      <c r="A274" s="61"/>
      <c r="B274" s="20"/>
      <c r="C274" s="20"/>
      <c r="D274" s="27"/>
      <c r="E274" s="27"/>
      <c r="F274" s="27"/>
      <c r="G274" s="18"/>
      <c r="H274" s="27"/>
      <c r="I274" s="27"/>
      <c r="J274" s="18"/>
      <c r="K274" s="27"/>
      <c r="L274" s="27"/>
      <c r="M274" s="18"/>
      <c r="N274" s="27"/>
      <c r="O274" s="27"/>
      <c r="P274" s="18"/>
      <c r="Q274" s="27"/>
      <c r="R274" s="18"/>
      <c r="S274" s="18"/>
      <c r="T274" s="18"/>
      <c r="U274" s="18"/>
      <c r="V274" s="18"/>
      <c r="W274" s="105"/>
      <c r="X274" s="105"/>
      <c r="Y274" s="18"/>
      <c r="Z274" s="105"/>
      <c r="AA274" s="105"/>
      <c r="AB274" s="18"/>
      <c r="AC274" s="105"/>
      <c r="AD274" s="105"/>
      <c r="AE274" s="18"/>
      <c r="AF274" s="105"/>
      <c r="AG274" s="105"/>
      <c r="AH274" s="105"/>
      <c r="AI274" s="105"/>
      <c r="AJ274" s="105"/>
      <c r="AK274" s="105"/>
      <c r="AL274" s="105"/>
      <c r="AM274" s="18"/>
      <c r="AN274" s="105"/>
      <c r="AO274" s="105"/>
      <c r="AP274" s="105"/>
      <c r="AQ274" s="18"/>
      <c r="AR274" s="105"/>
      <c r="AS274" s="105"/>
      <c r="AT274" s="105"/>
      <c r="AU274" s="18"/>
      <c r="AV274" s="105"/>
      <c r="AW274" s="105"/>
      <c r="AX274" s="18"/>
      <c r="AY274" s="105"/>
      <c r="AZ274" s="105"/>
      <c r="BA274" s="105"/>
      <c r="BB274" s="105"/>
      <c r="BC274" s="18"/>
      <c r="BD274" s="89"/>
      <c r="BE274" s="89"/>
      <c r="BF274" s="89"/>
      <c r="BG274" s="89"/>
      <c r="BH274" s="89"/>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c r="DU274" s="20"/>
      <c r="DV274" s="20"/>
      <c r="DW274" s="20"/>
      <c r="DX274" s="20"/>
      <c r="DY274" s="20"/>
      <c r="DZ274" s="20"/>
      <c r="EA274" s="20"/>
      <c r="EB274" s="20"/>
      <c r="EC274" s="20"/>
      <c r="ED274" s="20"/>
      <c r="EE274" s="20"/>
      <c r="EF274" s="20"/>
      <c r="EG274" s="20"/>
      <c r="EH274" s="20"/>
      <c r="EI274" s="20"/>
      <c r="EJ274" s="20"/>
      <c r="EK274" s="20"/>
      <c r="EL274" s="20"/>
      <c r="EM274" s="20"/>
      <c r="EN274" s="20"/>
      <c r="EO274" s="20"/>
      <c r="EP274" s="20"/>
      <c r="EQ274" s="20"/>
      <c r="ER274" s="20"/>
      <c r="ES274" s="20"/>
      <c r="ET274" s="20"/>
      <c r="EU274" s="20"/>
      <c r="EV274" s="20"/>
      <c r="EW274" s="20"/>
      <c r="EX274" s="20"/>
      <c r="EY274" s="20"/>
      <c r="EZ274" s="20"/>
      <c r="FA274" s="20"/>
      <c r="FB274" s="20"/>
      <c r="FC274" s="20"/>
      <c r="FD274" s="20"/>
      <c r="FE274" s="20"/>
      <c r="FF274" s="20"/>
      <c r="FG274" s="20"/>
      <c r="FH274" s="20"/>
      <c r="FI274" s="20"/>
      <c r="FJ274" s="20"/>
      <c r="FK274" s="20"/>
      <c r="FL274" s="20"/>
      <c r="FM274" s="20"/>
      <c r="FN274" s="20"/>
      <c r="FO274" s="20"/>
      <c r="FP274" s="20"/>
      <c r="FQ274" s="20"/>
      <c r="FR274" s="20"/>
      <c r="FS274" s="20"/>
      <c r="FT274" s="20"/>
      <c r="FU274" s="20"/>
      <c r="FV274" s="20"/>
      <c r="FW274" s="20"/>
      <c r="FX274" s="20"/>
      <c r="FY274" s="20"/>
      <c r="FZ274" s="20"/>
      <c r="GA274" s="20"/>
      <c r="GB274" s="20"/>
      <c r="GC274" s="20"/>
      <c r="GD274" s="20"/>
      <c r="GE274" s="20"/>
      <c r="GF274" s="20"/>
      <c r="GG274" s="20"/>
      <c r="GH274" s="20"/>
      <c r="GI274" s="20"/>
      <c r="GJ274" s="20"/>
      <c r="GK274" s="20"/>
      <c r="GL274" s="20"/>
      <c r="GM274" s="20"/>
      <c r="GN274" s="20"/>
      <c r="GO274" s="20"/>
      <c r="GP274" s="20"/>
      <c r="GQ274" s="20"/>
      <c r="GR274" s="20"/>
      <c r="GS274" s="20"/>
      <c r="GT274" s="20"/>
      <c r="GU274" s="20"/>
      <c r="GV274" s="20"/>
      <c r="GW274" s="20"/>
      <c r="GX274" s="20"/>
      <c r="GY274" s="20"/>
      <c r="GZ274" s="20"/>
      <c r="HA274" s="20"/>
      <c r="HB274" s="20"/>
      <c r="HC274" s="20"/>
      <c r="HD274" s="20"/>
      <c r="HE274" s="20"/>
      <c r="HF274" s="20"/>
      <c r="HG274" s="20"/>
      <c r="HH274" s="20"/>
      <c r="HI274" s="20"/>
      <c r="HJ274" s="20"/>
      <c r="HK274" s="20"/>
      <c r="HL274" s="20"/>
      <c r="HM274" s="20"/>
      <c r="HN274" s="20"/>
      <c r="HO274" s="20"/>
      <c r="HP274" s="20"/>
      <c r="HQ274" s="20"/>
      <c r="HR274" s="20"/>
      <c r="HS274" s="20"/>
      <c r="HT274" s="20"/>
      <c r="HU274" s="20"/>
      <c r="HV274" s="20"/>
      <c r="HW274" s="20"/>
      <c r="HX274" s="20"/>
      <c r="HY274" s="20"/>
      <c r="HZ274" s="20"/>
      <c r="IA274" s="20"/>
      <c r="IB274" s="20"/>
      <c r="IC274" s="20"/>
      <c r="ID274" s="20"/>
      <c r="IE274" s="20"/>
      <c r="IF274" s="20"/>
      <c r="IG274" s="20"/>
      <c r="IH274" s="20"/>
      <c r="II274" s="20"/>
      <c r="IJ274" s="20"/>
      <c r="IK274" s="20"/>
      <c r="IL274" s="20"/>
      <c r="IM274" s="20"/>
      <c r="IN274" s="20"/>
      <c r="IO274" s="20"/>
      <c r="IP274" s="20"/>
      <c r="IQ274" s="20"/>
      <c r="IR274" s="20"/>
      <c r="IS274" s="20"/>
      <c r="IT274" s="20"/>
      <c r="IU274" s="20"/>
      <c r="IV274" s="20"/>
      <c r="IW274" s="20"/>
      <c r="IX274" s="20"/>
      <c r="IY274" s="20"/>
      <c r="IZ274" s="20"/>
      <c r="JA274" s="20"/>
      <c r="JB274" s="20"/>
      <c r="JC274" s="20"/>
      <c r="JD274" s="20"/>
      <c r="JE274" s="20"/>
      <c r="JF274" s="20"/>
      <c r="JG274" s="20"/>
      <c r="JH274" s="20"/>
      <c r="JI274" s="20"/>
    </row>
    <row r="275" spans="1:269">
      <c r="A275" s="61"/>
      <c r="B275" s="20"/>
      <c r="C275" s="20"/>
      <c r="D275" s="27"/>
      <c r="E275" s="27"/>
      <c r="F275" s="27"/>
      <c r="G275" s="18"/>
      <c r="H275" s="27"/>
      <c r="I275" s="27"/>
      <c r="J275" s="18"/>
      <c r="K275" s="27"/>
      <c r="L275" s="27"/>
      <c r="M275" s="18"/>
      <c r="N275" s="27"/>
      <c r="O275" s="27"/>
      <c r="P275" s="18"/>
      <c r="Q275" s="27"/>
      <c r="R275" s="18"/>
      <c r="S275" s="18"/>
      <c r="T275" s="18"/>
      <c r="U275" s="18"/>
      <c r="V275" s="18"/>
      <c r="W275" s="105"/>
      <c r="X275" s="105"/>
      <c r="Y275" s="18"/>
      <c r="Z275" s="105"/>
      <c r="AA275" s="105"/>
      <c r="AB275" s="18"/>
      <c r="AC275" s="105"/>
      <c r="AD275" s="105"/>
      <c r="AE275" s="18"/>
      <c r="AF275" s="105"/>
      <c r="AG275" s="105"/>
      <c r="AH275" s="105"/>
      <c r="AI275" s="105"/>
      <c r="AJ275" s="105"/>
      <c r="AK275" s="105"/>
      <c r="AL275" s="105"/>
      <c r="AM275" s="18"/>
      <c r="AN275" s="105"/>
      <c r="AO275" s="105"/>
      <c r="AP275" s="105"/>
      <c r="AQ275" s="18"/>
      <c r="AR275" s="105"/>
      <c r="AS275" s="105"/>
      <c r="AT275" s="105"/>
      <c r="AU275" s="18"/>
      <c r="AV275" s="105"/>
      <c r="AW275" s="105"/>
      <c r="AX275" s="18"/>
      <c r="AY275" s="105"/>
      <c r="AZ275" s="105"/>
      <c r="BA275" s="105"/>
      <c r="BB275" s="105"/>
      <c r="BC275" s="18"/>
      <c r="BD275" s="89"/>
      <c r="BE275" s="89"/>
      <c r="BF275" s="89"/>
      <c r="BG275" s="89"/>
      <c r="BH275" s="89"/>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c r="DU275" s="20"/>
      <c r="DV275" s="20"/>
      <c r="DW275" s="20"/>
      <c r="DX275" s="20"/>
      <c r="DY275" s="20"/>
      <c r="DZ275" s="20"/>
      <c r="EA275" s="20"/>
      <c r="EB275" s="20"/>
      <c r="EC275" s="20"/>
      <c r="ED275" s="20"/>
      <c r="EE275" s="20"/>
      <c r="EF275" s="20"/>
      <c r="EG275" s="20"/>
      <c r="EH275" s="20"/>
      <c r="EI275" s="20"/>
      <c r="EJ275" s="20"/>
      <c r="EK275" s="20"/>
      <c r="EL275" s="20"/>
      <c r="EM275" s="20"/>
      <c r="EN275" s="20"/>
      <c r="EO275" s="20"/>
      <c r="EP275" s="20"/>
      <c r="EQ275" s="20"/>
      <c r="ER275" s="20"/>
      <c r="ES275" s="20"/>
      <c r="ET275" s="20"/>
      <c r="EU275" s="20"/>
      <c r="EV275" s="20"/>
      <c r="EW275" s="20"/>
      <c r="EX275" s="20"/>
      <c r="EY275" s="20"/>
      <c r="EZ275" s="20"/>
      <c r="FA275" s="20"/>
      <c r="FB275" s="20"/>
      <c r="FC275" s="20"/>
      <c r="FD275" s="20"/>
      <c r="FE275" s="20"/>
      <c r="FF275" s="20"/>
      <c r="FG275" s="20"/>
      <c r="FH275" s="20"/>
      <c r="FI275" s="20"/>
      <c r="FJ275" s="20"/>
      <c r="FK275" s="20"/>
      <c r="FL275" s="20"/>
      <c r="FM275" s="20"/>
      <c r="FN275" s="20"/>
      <c r="FO275" s="20"/>
      <c r="FP275" s="20"/>
      <c r="FQ275" s="20"/>
      <c r="FR275" s="20"/>
      <c r="FS275" s="20"/>
      <c r="FT275" s="20"/>
      <c r="FU275" s="20"/>
      <c r="FV275" s="20"/>
      <c r="FW275" s="20"/>
      <c r="FX275" s="20"/>
      <c r="FY275" s="20"/>
      <c r="FZ275" s="20"/>
      <c r="GA275" s="20"/>
      <c r="GB275" s="20"/>
      <c r="GC275" s="20"/>
      <c r="GD275" s="20"/>
      <c r="GE275" s="20"/>
      <c r="GF275" s="20"/>
      <c r="GG275" s="20"/>
      <c r="GH275" s="20"/>
      <c r="GI275" s="20"/>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20"/>
      <c r="HP275" s="20"/>
      <c r="HQ275" s="20"/>
      <c r="HR275" s="20"/>
      <c r="HS275" s="20"/>
      <c r="HT275" s="20"/>
      <c r="HU275" s="20"/>
      <c r="HV275" s="20"/>
      <c r="HW275" s="20"/>
      <c r="HX275" s="20"/>
      <c r="HY275" s="20"/>
      <c r="HZ275" s="20"/>
      <c r="IA275" s="20"/>
      <c r="IB275" s="20"/>
      <c r="IC275" s="20"/>
      <c r="ID275" s="20"/>
      <c r="IE275" s="20"/>
      <c r="IF275" s="20"/>
      <c r="IG275" s="20"/>
      <c r="IH275" s="20"/>
      <c r="II275" s="20"/>
      <c r="IJ275" s="20"/>
      <c r="IK275" s="20"/>
      <c r="IL275" s="20"/>
      <c r="IM275" s="20"/>
      <c r="IN275" s="20"/>
      <c r="IO275" s="20"/>
      <c r="IP275" s="20"/>
      <c r="IQ275" s="20"/>
      <c r="IR275" s="20"/>
      <c r="IS275" s="20"/>
      <c r="IT275" s="20"/>
      <c r="IU275" s="20"/>
      <c r="IV275" s="20"/>
      <c r="IW275" s="20"/>
      <c r="IX275" s="20"/>
      <c r="IY275" s="20"/>
      <c r="IZ275" s="20"/>
      <c r="JA275" s="20"/>
      <c r="JB275" s="20"/>
      <c r="JC275" s="20"/>
      <c r="JD275" s="20"/>
      <c r="JE275" s="20"/>
      <c r="JF275" s="20"/>
      <c r="JG275" s="20"/>
      <c r="JH275" s="20"/>
      <c r="JI275" s="20"/>
    </row>
    <row r="276" spans="1:269">
      <c r="A276" s="61"/>
      <c r="B276" s="20"/>
      <c r="C276" s="20"/>
      <c r="D276" s="27"/>
      <c r="E276" s="27"/>
      <c r="F276" s="27"/>
      <c r="G276" s="18"/>
      <c r="H276" s="27"/>
      <c r="I276" s="27"/>
      <c r="J276" s="18"/>
      <c r="K276" s="27"/>
      <c r="L276" s="27"/>
      <c r="M276" s="18"/>
      <c r="N276" s="27"/>
      <c r="O276" s="27"/>
      <c r="P276" s="18"/>
      <c r="Q276" s="27"/>
      <c r="R276" s="18"/>
      <c r="S276" s="18"/>
      <c r="T276" s="18"/>
      <c r="U276" s="18"/>
      <c r="V276" s="18"/>
      <c r="W276" s="105"/>
      <c r="X276" s="105"/>
      <c r="Y276" s="18"/>
      <c r="Z276" s="105"/>
      <c r="AA276" s="105"/>
      <c r="AB276" s="18"/>
      <c r="AC276" s="105"/>
      <c r="AD276" s="105"/>
      <c r="AE276" s="18"/>
      <c r="AF276" s="105"/>
      <c r="AG276" s="105"/>
      <c r="AH276" s="105"/>
      <c r="AI276" s="105"/>
      <c r="AJ276" s="105"/>
      <c r="AK276" s="105"/>
      <c r="AL276" s="105"/>
      <c r="AM276" s="18"/>
      <c r="AN276" s="105"/>
      <c r="AO276" s="105"/>
      <c r="AP276" s="105"/>
      <c r="AQ276" s="18"/>
      <c r="AR276" s="105"/>
      <c r="AS276" s="105"/>
      <c r="AT276" s="105"/>
      <c r="AU276" s="18"/>
      <c r="AV276" s="105"/>
      <c r="AW276" s="105"/>
      <c r="AX276" s="18"/>
      <c r="AY276" s="105"/>
      <c r="AZ276" s="105"/>
      <c r="BA276" s="105"/>
      <c r="BB276" s="105"/>
      <c r="BC276" s="18"/>
      <c r="BD276" s="89"/>
      <c r="BE276" s="89"/>
      <c r="BF276" s="89"/>
      <c r="BG276" s="89"/>
      <c r="BH276" s="89"/>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c r="DU276" s="20"/>
      <c r="DV276" s="20"/>
      <c r="DW276" s="20"/>
      <c r="DX276" s="20"/>
      <c r="DY276" s="20"/>
      <c r="DZ276" s="20"/>
      <c r="EA276" s="20"/>
      <c r="EB276" s="20"/>
      <c r="EC276" s="20"/>
      <c r="ED276" s="20"/>
      <c r="EE276" s="20"/>
      <c r="EF276" s="20"/>
      <c r="EG276" s="20"/>
      <c r="EH276" s="20"/>
      <c r="EI276" s="20"/>
      <c r="EJ276" s="20"/>
      <c r="EK276" s="20"/>
      <c r="EL276" s="20"/>
      <c r="EM276" s="20"/>
      <c r="EN276" s="20"/>
      <c r="EO276" s="20"/>
      <c r="EP276" s="20"/>
      <c r="EQ276" s="20"/>
      <c r="ER276" s="20"/>
      <c r="ES276" s="20"/>
      <c r="ET276" s="20"/>
      <c r="EU276" s="20"/>
      <c r="EV276" s="20"/>
      <c r="EW276" s="20"/>
      <c r="EX276" s="20"/>
      <c r="EY276" s="20"/>
      <c r="EZ276" s="20"/>
      <c r="FA276" s="20"/>
      <c r="FB276" s="20"/>
      <c r="FC276" s="20"/>
      <c r="FD276" s="20"/>
      <c r="FE276" s="20"/>
      <c r="FF276" s="20"/>
      <c r="FG276" s="20"/>
      <c r="FH276" s="20"/>
      <c r="FI276" s="20"/>
      <c r="FJ276" s="20"/>
      <c r="FK276" s="20"/>
      <c r="FL276" s="20"/>
      <c r="FM276" s="20"/>
      <c r="FN276" s="20"/>
      <c r="FO276" s="20"/>
      <c r="FP276" s="20"/>
      <c r="FQ276" s="20"/>
      <c r="FR276" s="20"/>
      <c r="FS276" s="20"/>
      <c r="FT276" s="20"/>
      <c r="FU276" s="20"/>
      <c r="FV276" s="20"/>
      <c r="FW276" s="20"/>
      <c r="FX276" s="20"/>
      <c r="FY276" s="20"/>
      <c r="FZ276" s="20"/>
      <c r="GA276" s="20"/>
      <c r="GB276" s="20"/>
      <c r="GC276" s="20"/>
      <c r="GD276" s="20"/>
      <c r="GE276" s="20"/>
      <c r="GF276" s="20"/>
      <c r="GG276" s="20"/>
      <c r="GH276" s="20"/>
      <c r="GI276" s="20"/>
      <c r="GJ276" s="20"/>
      <c r="GK276" s="20"/>
      <c r="GL276" s="20"/>
      <c r="GM276" s="20"/>
      <c r="GN276" s="20"/>
      <c r="GO276" s="20"/>
      <c r="GP276" s="20"/>
      <c r="GQ276" s="20"/>
      <c r="GR276" s="20"/>
      <c r="GS276" s="20"/>
      <c r="GT276" s="20"/>
      <c r="GU276" s="20"/>
      <c r="GV276" s="20"/>
      <c r="GW276" s="20"/>
      <c r="GX276" s="20"/>
      <c r="GY276" s="20"/>
      <c r="GZ276" s="20"/>
      <c r="HA276" s="20"/>
      <c r="HB276" s="20"/>
      <c r="HC276" s="20"/>
      <c r="HD276" s="20"/>
      <c r="HE276" s="20"/>
      <c r="HF276" s="20"/>
      <c r="HG276" s="20"/>
      <c r="HH276" s="20"/>
      <c r="HI276" s="20"/>
      <c r="HJ276" s="20"/>
      <c r="HK276" s="20"/>
      <c r="HL276" s="20"/>
      <c r="HM276" s="20"/>
      <c r="HN276" s="20"/>
      <c r="HO276" s="20"/>
      <c r="HP276" s="20"/>
      <c r="HQ276" s="20"/>
      <c r="HR276" s="20"/>
      <c r="HS276" s="20"/>
      <c r="HT276" s="20"/>
      <c r="HU276" s="20"/>
      <c r="HV276" s="20"/>
      <c r="HW276" s="20"/>
      <c r="HX276" s="20"/>
      <c r="HY276" s="20"/>
      <c r="HZ276" s="20"/>
      <c r="IA276" s="20"/>
      <c r="IB276" s="20"/>
      <c r="IC276" s="20"/>
      <c r="ID276" s="20"/>
      <c r="IE276" s="20"/>
      <c r="IF276" s="20"/>
      <c r="IG276" s="20"/>
      <c r="IH276" s="20"/>
      <c r="II276" s="20"/>
      <c r="IJ276" s="20"/>
      <c r="IK276" s="20"/>
      <c r="IL276" s="20"/>
      <c r="IM276" s="20"/>
      <c r="IN276" s="20"/>
      <c r="IO276" s="20"/>
      <c r="IP276" s="20"/>
      <c r="IQ276" s="20"/>
      <c r="IR276" s="20"/>
      <c r="IS276" s="20"/>
      <c r="IT276" s="20"/>
      <c r="IU276" s="20"/>
      <c r="IV276" s="20"/>
      <c r="IW276" s="20"/>
      <c r="IX276" s="20"/>
      <c r="IY276" s="20"/>
      <c r="IZ276" s="20"/>
      <c r="JA276" s="20"/>
      <c r="JB276" s="20"/>
      <c r="JC276" s="20"/>
      <c r="JD276" s="20"/>
      <c r="JE276" s="20"/>
      <c r="JF276" s="20"/>
      <c r="JG276" s="20"/>
      <c r="JH276" s="20"/>
      <c r="JI276" s="20"/>
    </row>
    <row r="277" spans="1:269">
      <c r="A277" s="61" ph="1"/>
      <c r="B277" s="20" ph="1"/>
      <c r="C277" s="20" ph="1"/>
      <c r="D277" s="27" ph="1"/>
      <c r="E277" s="27" ph="1"/>
      <c r="F277" s="27" ph="1"/>
      <c r="G277" s="18" ph="1"/>
      <c r="H277" s="27" ph="1"/>
      <c r="I277" s="27" ph="1"/>
      <c r="J277" s="18" ph="1"/>
      <c r="K277" s="27" ph="1"/>
      <c r="L277" s="27" ph="1"/>
      <c r="M277" s="18" ph="1"/>
      <c r="N277" s="27" ph="1"/>
      <c r="O277" s="27" ph="1"/>
      <c r="P277" s="18" ph="1"/>
      <c r="Q277" s="27" ph="1"/>
      <c r="R277" s="18" ph="1"/>
      <c r="S277" s="18" ph="1"/>
      <c r="T277" s="18" ph="1"/>
      <c r="U277" s="18" ph="1"/>
      <c r="V277" s="18" ph="1"/>
      <c r="W277" s="105" ph="1"/>
      <c r="X277" s="105" ph="1"/>
      <c r="Y277" s="18" ph="1"/>
      <c r="Z277" s="105" ph="1"/>
      <c r="AA277" s="105" ph="1"/>
      <c r="AB277" s="18" ph="1"/>
      <c r="AC277" s="105" ph="1"/>
      <c r="AD277" s="105" ph="1"/>
      <c r="AE277" s="18" ph="1"/>
      <c r="AF277" s="105" ph="1"/>
      <c r="AG277" s="105" ph="1"/>
      <c r="AH277" s="105" ph="1"/>
      <c r="AI277" s="105" ph="1"/>
      <c r="AJ277" s="105" ph="1"/>
      <c r="AK277" s="105" ph="1"/>
      <c r="AL277" s="105" ph="1"/>
      <c r="AM277" s="18" ph="1"/>
      <c r="AN277" s="105" ph="1"/>
      <c r="AO277" s="105" ph="1"/>
      <c r="AP277" s="105" ph="1"/>
      <c r="AQ277" s="18" ph="1"/>
      <c r="AR277" s="105" ph="1"/>
      <c r="AS277" s="105" ph="1"/>
      <c r="AT277" s="105" ph="1"/>
      <c r="AU277" s="18" ph="1"/>
      <c r="AV277" s="105" ph="1"/>
      <c r="AW277" s="105" ph="1"/>
      <c r="AX277" s="18" ph="1"/>
      <c r="AY277" s="105" ph="1"/>
      <c r="AZ277" s="105" ph="1"/>
      <c r="BA277" s="105" ph="1"/>
      <c r="BB277" s="105" ph="1"/>
      <c r="BC277" s="18" ph="1"/>
      <c r="BD277" s="89"/>
      <c r="BE277" s="89"/>
      <c r="BF277" s="89"/>
      <c r="BG277" s="89"/>
      <c r="BH277" s="89"/>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c r="DU277" s="20"/>
      <c r="DV277" s="20"/>
      <c r="DW277" s="20"/>
      <c r="DX277" s="20"/>
      <c r="DY277" s="20"/>
      <c r="DZ277" s="20"/>
      <c r="EA277" s="20"/>
      <c r="EB277" s="20"/>
      <c r="EC277" s="20"/>
      <c r="ED277" s="20"/>
      <c r="EE277" s="20"/>
      <c r="EF277" s="20"/>
      <c r="EG277" s="20"/>
      <c r="EH277" s="20"/>
      <c r="EI277" s="20"/>
      <c r="EJ277" s="20"/>
      <c r="EK277" s="20"/>
      <c r="EL277" s="20"/>
      <c r="EM277" s="20"/>
      <c r="EN277" s="20"/>
      <c r="EO277" s="20"/>
      <c r="EP277" s="20"/>
      <c r="EQ277" s="20"/>
      <c r="ER277" s="20"/>
      <c r="ES277" s="20"/>
      <c r="ET277" s="20"/>
      <c r="EU277" s="20"/>
      <c r="EV277" s="20"/>
      <c r="EW277" s="20"/>
      <c r="EX277" s="20"/>
      <c r="EY277" s="20"/>
      <c r="EZ277" s="20"/>
      <c r="FA277" s="20"/>
      <c r="FB277" s="20"/>
      <c r="FC277" s="20"/>
      <c r="FD277" s="20"/>
      <c r="FE277" s="20"/>
      <c r="FF277" s="20"/>
      <c r="FG277" s="20"/>
      <c r="FH277" s="20"/>
      <c r="FI277" s="20"/>
      <c r="FJ277" s="20"/>
      <c r="FK277" s="20"/>
      <c r="FL277" s="20"/>
      <c r="FM277" s="20"/>
      <c r="FN277" s="20"/>
      <c r="FO277" s="20"/>
      <c r="FP277" s="20"/>
      <c r="FQ277" s="20"/>
      <c r="FR277" s="20"/>
      <c r="FS277" s="20"/>
      <c r="FT277" s="20"/>
      <c r="FU277" s="20"/>
      <c r="FV277" s="20"/>
      <c r="FW277" s="20"/>
      <c r="FX277" s="20"/>
      <c r="FY277" s="20"/>
      <c r="FZ277" s="20"/>
      <c r="GA277" s="20"/>
      <c r="GB277" s="20"/>
      <c r="GC277" s="20"/>
      <c r="GD277" s="20"/>
      <c r="GE277" s="20"/>
      <c r="GF277" s="20"/>
      <c r="GG277" s="20"/>
      <c r="GH277" s="20"/>
      <c r="GI277" s="20"/>
      <c r="GJ277" s="20"/>
      <c r="GK277" s="20"/>
      <c r="GL277" s="20"/>
      <c r="GM277" s="20"/>
      <c r="GN277" s="20"/>
      <c r="GO277" s="20"/>
      <c r="GP277" s="20"/>
      <c r="GQ277" s="20"/>
      <c r="GR277" s="20"/>
      <c r="GS277" s="20"/>
      <c r="GT277" s="20"/>
      <c r="GU277" s="20"/>
      <c r="GV277" s="20"/>
      <c r="GW277" s="20"/>
      <c r="GX277" s="20"/>
      <c r="GY277" s="20"/>
      <c r="GZ277" s="20"/>
      <c r="HA277" s="20"/>
      <c r="HB277" s="20"/>
      <c r="HC277" s="20"/>
      <c r="HD277" s="20"/>
      <c r="HE277" s="20"/>
      <c r="HF277" s="20"/>
      <c r="HG277" s="20"/>
      <c r="HH277" s="20"/>
      <c r="HI277" s="20"/>
      <c r="HJ277" s="20"/>
      <c r="HK277" s="20"/>
      <c r="HL277" s="20"/>
      <c r="HM277" s="20"/>
      <c r="HN277" s="20"/>
      <c r="HO277" s="20"/>
      <c r="HP277" s="20"/>
      <c r="HQ277" s="20"/>
      <c r="HR277" s="20"/>
      <c r="HS277" s="20"/>
      <c r="HT277" s="20"/>
      <c r="HU277" s="20"/>
      <c r="HV277" s="20"/>
      <c r="HW277" s="20"/>
      <c r="HX277" s="20"/>
      <c r="HY277" s="20"/>
      <c r="HZ277" s="20"/>
      <c r="IA277" s="20"/>
      <c r="IB277" s="20"/>
      <c r="IC277" s="20"/>
      <c r="ID277" s="20"/>
      <c r="IE277" s="20"/>
      <c r="IF277" s="20"/>
      <c r="IG277" s="20"/>
      <c r="IH277" s="20"/>
      <c r="II277" s="20"/>
      <c r="IJ277" s="20"/>
      <c r="IK277" s="20"/>
      <c r="IL277" s="20"/>
      <c r="IM277" s="20"/>
      <c r="IN277" s="20"/>
      <c r="IO277" s="20"/>
      <c r="IP277" s="20"/>
      <c r="IQ277" s="20"/>
      <c r="IR277" s="20"/>
      <c r="IS277" s="20"/>
      <c r="IT277" s="20"/>
      <c r="IU277" s="20"/>
      <c r="IV277" s="20"/>
      <c r="IW277" s="20"/>
      <c r="IX277" s="20"/>
      <c r="IY277" s="20"/>
      <c r="IZ277" s="20"/>
      <c r="JA277" s="20"/>
      <c r="JB277" s="20"/>
      <c r="JC277" s="20"/>
      <c r="JD277" s="20"/>
      <c r="JE277" s="20"/>
      <c r="JF277" s="20"/>
      <c r="JG277" s="20"/>
      <c r="JH277" s="20"/>
      <c r="JI277" s="20"/>
    </row>
    <row r="278" spans="1:269">
      <c r="A278" s="61"/>
      <c r="B278" s="20"/>
      <c r="C278" s="20"/>
      <c r="D278" s="27"/>
      <c r="E278" s="27"/>
      <c r="F278" s="27"/>
      <c r="G278" s="18"/>
      <c r="H278" s="27"/>
      <c r="I278" s="27"/>
      <c r="J278" s="18"/>
      <c r="K278" s="27"/>
      <c r="L278" s="27"/>
      <c r="M278" s="18"/>
      <c r="N278" s="27"/>
      <c r="O278" s="27"/>
      <c r="P278" s="18"/>
      <c r="Q278" s="27"/>
      <c r="R278" s="18"/>
      <c r="S278" s="18"/>
      <c r="T278" s="18"/>
      <c r="U278" s="18"/>
      <c r="V278" s="18"/>
      <c r="W278" s="105"/>
      <c r="X278" s="105"/>
      <c r="Y278" s="18"/>
      <c r="Z278" s="105"/>
      <c r="AA278" s="105"/>
      <c r="AB278" s="18"/>
      <c r="AC278" s="105"/>
      <c r="AD278" s="105"/>
      <c r="AE278" s="18"/>
      <c r="AF278" s="105"/>
      <c r="AG278" s="105"/>
      <c r="AH278" s="105"/>
      <c r="AI278" s="105"/>
      <c r="AJ278" s="105"/>
      <c r="AK278" s="105"/>
      <c r="AL278" s="105"/>
      <c r="AM278" s="18"/>
      <c r="AN278" s="105"/>
      <c r="AO278" s="105"/>
      <c r="AP278" s="105"/>
      <c r="AQ278" s="18"/>
      <c r="AR278" s="105"/>
      <c r="AS278" s="105"/>
      <c r="AT278" s="105"/>
      <c r="AU278" s="18"/>
      <c r="AV278" s="105"/>
      <c r="AW278" s="105"/>
      <c r="AX278" s="18"/>
      <c r="AY278" s="105"/>
      <c r="AZ278" s="105"/>
      <c r="BA278" s="105"/>
      <c r="BB278" s="105"/>
      <c r="BC278" s="18"/>
      <c r="BD278" s="89"/>
      <c r="BE278" s="89"/>
      <c r="BF278" s="89"/>
      <c r="BG278" s="89"/>
      <c r="BH278" s="89"/>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c r="DU278" s="20"/>
      <c r="DV278" s="20"/>
      <c r="DW278" s="20"/>
      <c r="DX278" s="20"/>
      <c r="DY278" s="20"/>
      <c r="DZ278" s="20"/>
      <c r="EA278" s="20"/>
      <c r="EB278" s="20"/>
      <c r="EC278" s="20"/>
      <c r="ED278" s="20"/>
      <c r="EE278" s="20"/>
      <c r="EF278" s="20"/>
      <c r="EG278" s="20"/>
      <c r="EH278" s="20"/>
      <c r="EI278" s="20"/>
      <c r="EJ278" s="20"/>
      <c r="EK278" s="20"/>
      <c r="EL278" s="20"/>
      <c r="EM278" s="20"/>
      <c r="EN278" s="20"/>
      <c r="EO278" s="20"/>
      <c r="EP278" s="20"/>
      <c r="EQ278" s="20"/>
      <c r="ER278" s="20"/>
      <c r="ES278" s="20"/>
      <c r="ET278" s="20"/>
      <c r="EU278" s="20"/>
      <c r="EV278" s="20"/>
      <c r="EW278" s="20"/>
      <c r="EX278" s="20"/>
      <c r="EY278" s="20"/>
      <c r="EZ278" s="20"/>
      <c r="FA278" s="20"/>
      <c r="FB278" s="20"/>
      <c r="FC278" s="20"/>
      <c r="FD278" s="20"/>
      <c r="FE278" s="20"/>
      <c r="FF278" s="20"/>
      <c r="FG278" s="20"/>
      <c r="FH278" s="20"/>
      <c r="FI278" s="20"/>
      <c r="FJ278" s="20"/>
      <c r="FK278" s="20"/>
      <c r="FL278" s="20"/>
      <c r="FM278" s="20"/>
      <c r="FN278" s="20"/>
      <c r="FO278" s="20"/>
      <c r="FP278" s="20"/>
      <c r="FQ278" s="20"/>
      <c r="FR278" s="20"/>
      <c r="FS278" s="20"/>
      <c r="FT278" s="20"/>
      <c r="FU278" s="20"/>
      <c r="FV278" s="20"/>
      <c r="FW278" s="20"/>
      <c r="FX278" s="20"/>
      <c r="FY278" s="20"/>
      <c r="FZ278" s="20"/>
      <c r="GA278" s="20"/>
      <c r="GB278" s="20"/>
      <c r="GC278" s="20"/>
      <c r="GD278" s="20"/>
      <c r="GE278" s="20"/>
      <c r="GF278" s="20"/>
      <c r="GG278" s="20"/>
      <c r="GH278" s="20"/>
      <c r="GI278" s="20"/>
      <c r="GJ278" s="20"/>
      <c r="GK278" s="20"/>
      <c r="GL278" s="20"/>
      <c r="GM278" s="20"/>
      <c r="GN278" s="20"/>
      <c r="GO278" s="20"/>
      <c r="GP278" s="20"/>
      <c r="GQ278" s="20"/>
      <c r="GR278" s="20"/>
      <c r="GS278" s="20"/>
      <c r="GT278" s="20"/>
      <c r="GU278" s="20"/>
      <c r="GV278" s="20"/>
      <c r="GW278" s="20"/>
      <c r="GX278" s="20"/>
      <c r="GY278" s="20"/>
      <c r="GZ278" s="20"/>
      <c r="HA278" s="20"/>
      <c r="HB278" s="20"/>
      <c r="HC278" s="20"/>
      <c r="HD278" s="20"/>
      <c r="HE278" s="20"/>
      <c r="HF278" s="20"/>
      <c r="HG278" s="20"/>
      <c r="HH278" s="20"/>
      <c r="HI278" s="20"/>
      <c r="HJ278" s="20"/>
      <c r="HK278" s="20"/>
      <c r="HL278" s="20"/>
      <c r="HM278" s="20"/>
      <c r="HN278" s="20"/>
      <c r="HO278" s="20"/>
      <c r="HP278" s="20"/>
      <c r="HQ278" s="20"/>
      <c r="HR278" s="20"/>
      <c r="HS278" s="20"/>
      <c r="HT278" s="20"/>
      <c r="HU278" s="20"/>
      <c r="HV278" s="20"/>
      <c r="HW278" s="20"/>
      <c r="HX278" s="20"/>
      <c r="HY278" s="20"/>
      <c r="HZ278" s="20"/>
      <c r="IA278" s="20"/>
      <c r="IB278" s="20"/>
      <c r="IC278" s="20"/>
      <c r="ID278" s="20"/>
      <c r="IE278" s="20"/>
      <c r="IF278" s="20"/>
      <c r="IG278" s="20"/>
      <c r="IH278" s="20"/>
      <c r="II278" s="20"/>
      <c r="IJ278" s="20"/>
      <c r="IK278" s="20"/>
      <c r="IL278" s="20"/>
      <c r="IM278" s="20"/>
      <c r="IN278" s="20"/>
      <c r="IO278" s="20"/>
      <c r="IP278" s="20"/>
      <c r="IQ278" s="20"/>
      <c r="IR278" s="20"/>
      <c r="IS278" s="20"/>
      <c r="IT278" s="20"/>
      <c r="IU278" s="20"/>
      <c r="IV278" s="20"/>
      <c r="IW278" s="20"/>
      <c r="IX278" s="20"/>
      <c r="IY278" s="20"/>
      <c r="IZ278" s="20"/>
      <c r="JA278" s="20"/>
      <c r="JB278" s="20"/>
      <c r="JC278" s="20"/>
      <c r="JD278" s="20"/>
      <c r="JE278" s="20"/>
      <c r="JF278" s="20"/>
      <c r="JG278" s="20"/>
      <c r="JH278" s="20"/>
      <c r="JI278" s="20"/>
    </row>
    <row r="279" spans="1:269">
      <c r="A279" s="61"/>
      <c r="B279" s="20"/>
      <c r="C279" s="20"/>
      <c r="D279" s="27"/>
      <c r="E279" s="27"/>
      <c r="F279" s="27"/>
      <c r="G279" s="18"/>
      <c r="H279" s="27"/>
      <c r="I279" s="27"/>
      <c r="J279" s="18"/>
      <c r="K279" s="27"/>
      <c r="L279" s="27"/>
      <c r="M279" s="18"/>
      <c r="N279" s="27"/>
      <c r="O279" s="27"/>
      <c r="P279" s="18"/>
      <c r="Q279" s="27"/>
      <c r="R279" s="18"/>
      <c r="S279" s="18"/>
      <c r="T279" s="18"/>
      <c r="U279" s="18"/>
      <c r="V279" s="18"/>
      <c r="W279" s="105"/>
      <c r="X279" s="105"/>
      <c r="Y279" s="18"/>
      <c r="Z279" s="105"/>
      <c r="AA279" s="105"/>
      <c r="AB279" s="18"/>
      <c r="AC279" s="105"/>
      <c r="AD279" s="105"/>
      <c r="AE279" s="18"/>
      <c r="AF279" s="105"/>
      <c r="AG279" s="105"/>
      <c r="AH279" s="105"/>
      <c r="AI279" s="105"/>
      <c r="AJ279" s="105"/>
      <c r="AK279" s="105"/>
      <c r="AL279" s="105"/>
      <c r="AM279" s="18"/>
      <c r="AN279" s="105"/>
      <c r="AO279" s="105"/>
      <c r="AP279" s="105"/>
      <c r="AQ279" s="18"/>
      <c r="AR279" s="105"/>
      <c r="AS279" s="105"/>
      <c r="AT279" s="105"/>
      <c r="AU279" s="18"/>
      <c r="AV279" s="105"/>
      <c r="AW279" s="105"/>
      <c r="AX279" s="18"/>
      <c r="AY279" s="105"/>
      <c r="AZ279" s="105"/>
      <c r="BA279" s="105"/>
      <c r="BB279" s="105"/>
      <c r="BC279" s="18"/>
      <c r="BD279" s="89"/>
      <c r="BE279" s="89"/>
      <c r="BF279" s="89"/>
      <c r="BG279" s="89"/>
      <c r="BH279" s="89"/>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c r="DU279" s="20"/>
      <c r="DV279" s="20"/>
      <c r="DW279" s="20"/>
      <c r="DX279" s="20"/>
      <c r="DY279" s="20"/>
      <c r="DZ279" s="20"/>
      <c r="EA279" s="20"/>
      <c r="EB279" s="20"/>
      <c r="EC279" s="20"/>
      <c r="ED279" s="20"/>
      <c r="EE279" s="20"/>
      <c r="EF279" s="20"/>
      <c r="EG279" s="20"/>
      <c r="EH279" s="20"/>
      <c r="EI279" s="20"/>
      <c r="EJ279" s="20"/>
      <c r="EK279" s="20"/>
      <c r="EL279" s="20"/>
      <c r="EM279" s="20"/>
      <c r="EN279" s="20"/>
      <c r="EO279" s="20"/>
      <c r="EP279" s="20"/>
      <c r="EQ279" s="20"/>
      <c r="ER279" s="20"/>
      <c r="ES279" s="20"/>
      <c r="ET279" s="20"/>
      <c r="EU279" s="20"/>
      <c r="EV279" s="20"/>
      <c r="EW279" s="20"/>
      <c r="EX279" s="20"/>
      <c r="EY279" s="20"/>
      <c r="EZ279" s="20"/>
      <c r="FA279" s="20"/>
      <c r="FB279" s="20"/>
      <c r="FC279" s="20"/>
      <c r="FD279" s="20"/>
      <c r="FE279" s="20"/>
      <c r="FF279" s="20"/>
      <c r="FG279" s="20"/>
      <c r="FH279" s="20"/>
      <c r="FI279" s="20"/>
      <c r="FJ279" s="20"/>
      <c r="FK279" s="20"/>
      <c r="FL279" s="20"/>
      <c r="FM279" s="20"/>
      <c r="FN279" s="20"/>
      <c r="FO279" s="20"/>
      <c r="FP279" s="20"/>
      <c r="FQ279" s="20"/>
      <c r="FR279" s="20"/>
      <c r="FS279" s="20"/>
      <c r="FT279" s="20"/>
      <c r="FU279" s="20"/>
      <c r="FV279" s="20"/>
      <c r="FW279" s="20"/>
      <c r="FX279" s="20"/>
      <c r="FY279" s="20"/>
      <c r="FZ279" s="20"/>
      <c r="GA279" s="20"/>
      <c r="GB279" s="20"/>
      <c r="GC279" s="20"/>
      <c r="GD279" s="20"/>
      <c r="GE279" s="20"/>
      <c r="GF279" s="20"/>
      <c r="GG279" s="20"/>
      <c r="GH279" s="20"/>
      <c r="GI279" s="20"/>
      <c r="GJ279" s="20"/>
      <c r="GK279" s="20"/>
      <c r="GL279" s="20"/>
      <c r="GM279" s="20"/>
      <c r="GN279" s="20"/>
      <c r="GO279" s="20"/>
      <c r="GP279" s="20"/>
      <c r="GQ279" s="20"/>
      <c r="GR279" s="20"/>
      <c r="GS279" s="20"/>
      <c r="GT279" s="20"/>
      <c r="GU279" s="20"/>
      <c r="GV279" s="20"/>
      <c r="GW279" s="20"/>
      <c r="GX279" s="20"/>
      <c r="GY279" s="20"/>
      <c r="GZ279" s="20"/>
      <c r="HA279" s="20"/>
      <c r="HB279" s="20"/>
      <c r="HC279" s="20"/>
      <c r="HD279" s="20"/>
      <c r="HE279" s="20"/>
      <c r="HF279" s="20"/>
      <c r="HG279" s="20"/>
      <c r="HH279" s="20"/>
      <c r="HI279" s="20"/>
      <c r="HJ279" s="20"/>
      <c r="HK279" s="20"/>
      <c r="HL279" s="20"/>
      <c r="HM279" s="20"/>
      <c r="HN279" s="20"/>
      <c r="HO279" s="20"/>
      <c r="HP279" s="20"/>
      <c r="HQ279" s="20"/>
      <c r="HR279" s="20"/>
      <c r="HS279" s="20"/>
      <c r="HT279" s="20"/>
      <c r="HU279" s="20"/>
      <c r="HV279" s="20"/>
      <c r="HW279" s="20"/>
      <c r="HX279" s="20"/>
      <c r="HY279" s="20"/>
      <c r="HZ279" s="20"/>
      <c r="IA279" s="20"/>
      <c r="IB279" s="20"/>
      <c r="IC279" s="20"/>
      <c r="ID279" s="20"/>
      <c r="IE279" s="20"/>
      <c r="IF279" s="20"/>
      <c r="IG279" s="20"/>
      <c r="IH279" s="20"/>
      <c r="II279" s="20"/>
      <c r="IJ279" s="20"/>
      <c r="IK279" s="20"/>
      <c r="IL279" s="20"/>
      <c r="IM279" s="20"/>
      <c r="IN279" s="20"/>
      <c r="IO279" s="20"/>
      <c r="IP279" s="20"/>
      <c r="IQ279" s="20"/>
      <c r="IR279" s="20"/>
      <c r="IS279" s="20"/>
      <c r="IT279" s="20"/>
      <c r="IU279" s="20"/>
      <c r="IV279" s="20"/>
      <c r="IW279" s="20"/>
      <c r="IX279" s="20"/>
      <c r="IY279" s="20"/>
      <c r="IZ279" s="20"/>
      <c r="JA279" s="20"/>
      <c r="JB279" s="20"/>
      <c r="JC279" s="20"/>
      <c r="JD279" s="20"/>
      <c r="JE279" s="20"/>
      <c r="JF279" s="20"/>
      <c r="JG279" s="20"/>
      <c r="JH279" s="20"/>
      <c r="JI279" s="20"/>
    </row>
    <row r="280" spans="1:269">
      <c r="A280" s="61"/>
      <c r="B280" s="20"/>
      <c r="C280" s="20"/>
      <c r="D280" s="27"/>
      <c r="E280" s="27"/>
      <c r="F280" s="27"/>
      <c r="G280" s="18"/>
      <c r="H280" s="27"/>
      <c r="I280" s="27"/>
      <c r="J280" s="18"/>
      <c r="K280" s="27"/>
      <c r="L280" s="27"/>
      <c r="M280" s="18"/>
      <c r="N280" s="27"/>
      <c r="O280" s="27"/>
      <c r="P280" s="18"/>
      <c r="Q280" s="27"/>
      <c r="R280" s="18"/>
      <c r="S280" s="18"/>
      <c r="T280" s="18"/>
      <c r="U280" s="18"/>
      <c r="V280" s="18"/>
      <c r="W280" s="105"/>
      <c r="X280" s="105"/>
      <c r="Y280" s="18"/>
      <c r="Z280" s="105"/>
      <c r="AA280" s="105"/>
      <c r="AB280" s="18"/>
      <c r="AC280" s="105"/>
      <c r="AD280" s="105"/>
      <c r="AE280" s="18"/>
      <c r="AF280" s="105"/>
      <c r="AG280" s="105"/>
      <c r="AH280" s="105"/>
      <c r="AI280" s="105"/>
      <c r="AJ280" s="105"/>
      <c r="AK280" s="105"/>
      <c r="AL280" s="105"/>
      <c r="AM280" s="18"/>
      <c r="AN280" s="105"/>
      <c r="AO280" s="105"/>
      <c r="AP280" s="105"/>
      <c r="AQ280" s="18"/>
      <c r="AR280" s="105"/>
      <c r="AS280" s="105"/>
      <c r="AT280" s="105"/>
      <c r="AU280" s="18"/>
      <c r="AV280" s="105"/>
      <c r="AW280" s="105"/>
      <c r="AX280" s="18"/>
      <c r="AY280" s="105"/>
      <c r="AZ280" s="105"/>
      <c r="BA280" s="105"/>
      <c r="BB280" s="105"/>
      <c r="BC280" s="18"/>
      <c r="BD280" s="89"/>
      <c r="BE280" s="89"/>
      <c r="BF280" s="89"/>
      <c r="BG280" s="89"/>
      <c r="BH280" s="89"/>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c r="DU280" s="20"/>
      <c r="DV280" s="20"/>
      <c r="DW280" s="20"/>
      <c r="DX280" s="20"/>
      <c r="DY280" s="20"/>
      <c r="DZ280" s="20"/>
      <c r="EA280" s="20"/>
      <c r="EB280" s="20"/>
      <c r="EC280" s="20"/>
      <c r="ED280" s="20"/>
      <c r="EE280" s="20"/>
      <c r="EF280" s="20"/>
      <c r="EG280" s="20"/>
      <c r="EH280" s="20"/>
      <c r="EI280" s="20"/>
      <c r="EJ280" s="20"/>
      <c r="EK280" s="20"/>
      <c r="EL280" s="20"/>
      <c r="EM280" s="20"/>
      <c r="EN280" s="20"/>
      <c r="EO280" s="20"/>
      <c r="EP280" s="20"/>
      <c r="EQ280" s="20"/>
      <c r="ER280" s="20"/>
      <c r="ES280" s="20"/>
      <c r="ET280" s="20"/>
      <c r="EU280" s="20"/>
      <c r="EV280" s="20"/>
      <c r="EW280" s="20"/>
      <c r="EX280" s="20"/>
      <c r="EY280" s="20"/>
      <c r="EZ280" s="20"/>
      <c r="FA280" s="20"/>
      <c r="FB280" s="20"/>
      <c r="FC280" s="20"/>
      <c r="FD280" s="20"/>
      <c r="FE280" s="20"/>
      <c r="FF280" s="20"/>
      <c r="FG280" s="20"/>
      <c r="FH280" s="20"/>
      <c r="FI280" s="20"/>
      <c r="FJ280" s="20"/>
      <c r="FK280" s="20"/>
      <c r="FL280" s="20"/>
      <c r="FM280" s="20"/>
      <c r="FN280" s="20"/>
      <c r="FO280" s="20"/>
      <c r="FP280" s="20"/>
      <c r="FQ280" s="20"/>
      <c r="FR280" s="20"/>
      <c r="FS280" s="20"/>
      <c r="FT280" s="20"/>
      <c r="FU280" s="20"/>
      <c r="FV280" s="20"/>
      <c r="FW280" s="20"/>
      <c r="FX280" s="20"/>
      <c r="FY280" s="20"/>
      <c r="FZ280" s="20"/>
      <c r="GA280" s="20"/>
      <c r="GB280" s="20"/>
      <c r="GC280" s="20"/>
      <c r="GD280" s="20"/>
      <c r="GE280" s="20"/>
      <c r="GF280" s="20"/>
      <c r="GG280" s="20"/>
      <c r="GH280" s="20"/>
      <c r="GI280" s="20"/>
      <c r="GJ280" s="20"/>
      <c r="GK280" s="20"/>
      <c r="GL280" s="20"/>
      <c r="GM280" s="20"/>
      <c r="GN280" s="20"/>
      <c r="GO280" s="20"/>
      <c r="GP280" s="20"/>
      <c r="GQ280" s="20"/>
      <c r="GR280" s="20"/>
      <c r="GS280" s="20"/>
      <c r="GT280" s="20"/>
      <c r="GU280" s="20"/>
      <c r="GV280" s="20"/>
      <c r="GW280" s="20"/>
      <c r="GX280" s="20"/>
      <c r="GY280" s="20"/>
      <c r="GZ280" s="20"/>
      <c r="HA280" s="20"/>
      <c r="HB280" s="20"/>
      <c r="HC280" s="20"/>
      <c r="HD280" s="20"/>
      <c r="HE280" s="20"/>
      <c r="HF280" s="20"/>
      <c r="HG280" s="20"/>
      <c r="HH280" s="20"/>
      <c r="HI280" s="20"/>
      <c r="HJ280" s="20"/>
      <c r="HK280" s="20"/>
      <c r="HL280" s="20"/>
      <c r="HM280" s="20"/>
      <c r="HN280" s="20"/>
      <c r="HO280" s="20"/>
      <c r="HP280" s="20"/>
      <c r="HQ280" s="20"/>
      <c r="HR280" s="20"/>
      <c r="HS280" s="20"/>
      <c r="HT280" s="20"/>
      <c r="HU280" s="20"/>
      <c r="HV280" s="20"/>
      <c r="HW280" s="20"/>
      <c r="HX280" s="20"/>
      <c r="HY280" s="20"/>
      <c r="HZ280" s="20"/>
      <c r="IA280" s="20"/>
      <c r="IB280" s="20"/>
      <c r="IC280" s="20"/>
      <c r="ID280" s="20"/>
      <c r="IE280" s="20"/>
      <c r="IF280" s="20"/>
      <c r="IG280" s="20"/>
      <c r="IH280" s="20"/>
      <c r="II280" s="20"/>
      <c r="IJ280" s="20"/>
      <c r="IK280" s="20"/>
      <c r="IL280" s="20"/>
      <c r="IM280" s="20"/>
      <c r="IN280" s="20"/>
      <c r="IO280" s="20"/>
      <c r="IP280" s="20"/>
      <c r="IQ280" s="20"/>
      <c r="IR280" s="20"/>
      <c r="IS280" s="20"/>
      <c r="IT280" s="20"/>
      <c r="IU280" s="20"/>
      <c r="IV280" s="20"/>
      <c r="IW280" s="20"/>
      <c r="IX280" s="20"/>
      <c r="IY280" s="20"/>
      <c r="IZ280" s="20"/>
      <c r="JA280" s="20"/>
      <c r="JB280" s="20"/>
      <c r="JC280" s="20"/>
      <c r="JD280" s="20"/>
      <c r="JE280" s="20"/>
      <c r="JF280" s="20"/>
      <c r="JG280" s="20"/>
      <c r="JH280" s="20"/>
      <c r="JI280" s="20"/>
    </row>
    <row r="281" spans="1:269">
      <c r="A281" s="61"/>
      <c r="B281" s="20"/>
      <c r="C281" s="20"/>
      <c r="D281" s="27"/>
      <c r="E281" s="27"/>
      <c r="F281" s="27"/>
      <c r="G281" s="18"/>
      <c r="H281" s="27"/>
      <c r="I281" s="27"/>
      <c r="J281" s="18"/>
      <c r="K281" s="27"/>
      <c r="L281" s="27"/>
      <c r="M281" s="18"/>
      <c r="N281" s="27"/>
      <c r="O281" s="27"/>
      <c r="P281" s="18"/>
      <c r="Q281" s="27"/>
      <c r="R281" s="18"/>
      <c r="S281" s="18"/>
      <c r="T281" s="18"/>
      <c r="U281" s="18"/>
      <c r="V281" s="18"/>
      <c r="W281" s="105"/>
      <c r="X281" s="105"/>
      <c r="Y281" s="18"/>
      <c r="Z281" s="105"/>
      <c r="AA281" s="105"/>
      <c r="AB281" s="18"/>
      <c r="AC281" s="105"/>
      <c r="AD281" s="105"/>
      <c r="AE281" s="18"/>
      <c r="AF281" s="105"/>
      <c r="AG281" s="105"/>
      <c r="AH281" s="105"/>
      <c r="AI281" s="105"/>
      <c r="AJ281" s="105"/>
      <c r="AK281" s="105"/>
      <c r="AL281" s="105"/>
      <c r="AM281" s="18"/>
      <c r="AN281" s="105"/>
      <c r="AO281" s="105"/>
      <c r="AP281" s="105"/>
      <c r="AQ281" s="18"/>
      <c r="AR281" s="105"/>
      <c r="AS281" s="105"/>
      <c r="AT281" s="105"/>
      <c r="AU281" s="18"/>
      <c r="AV281" s="105"/>
      <c r="AW281" s="105"/>
      <c r="AX281" s="18"/>
      <c r="AY281" s="105"/>
      <c r="AZ281" s="105"/>
      <c r="BA281" s="105"/>
      <c r="BB281" s="105"/>
      <c r="BC281" s="18"/>
      <c r="BD281" s="89"/>
      <c r="BE281" s="89"/>
      <c r="BF281" s="89"/>
      <c r="BG281" s="89"/>
      <c r="BH281" s="89"/>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c r="DU281" s="20"/>
      <c r="DV281" s="20"/>
      <c r="DW281" s="20"/>
      <c r="DX281" s="20"/>
      <c r="DY281" s="20"/>
      <c r="DZ281" s="20"/>
      <c r="EA281" s="20"/>
      <c r="EB281" s="20"/>
      <c r="EC281" s="20"/>
      <c r="ED281" s="20"/>
      <c r="EE281" s="20"/>
      <c r="EF281" s="20"/>
      <c r="EG281" s="20"/>
      <c r="EH281" s="20"/>
      <c r="EI281" s="20"/>
      <c r="EJ281" s="20"/>
      <c r="EK281" s="20"/>
      <c r="EL281" s="20"/>
      <c r="EM281" s="20"/>
      <c r="EN281" s="20"/>
      <c r="EO281" s="20"/>
      <c r="EP281" s="20"/>
      <c r="EQ281" s="20"/>
      <c r="ER281" s="20"/>
      <c r="ES281" s="20"/>
      <c r="ET281" s="20"/>
      <c r="EU281" s="20"/>
      <c r="EV281" s="20"/>
      <c r="EW281" s="20"/>
      <c r="EX281" s="20"/>
      <c r="EY281" s="20"/>
      <c r="EZ281" s="20"/>
      <c r="FA281" s="20"/>
      <c r="FB281" s="20"/>
      <c r="FC281" s="20"/>
      <c r="FD281" s="20"/>
      <c r="FE281" s="20"/>
      <c r="FF281" s="20"/>
      <c r="FG281" s="20"/>
      <c r="FH281" s="20"/>
      <c r="FI281" s="20"/>
      <c r="FJ281" s="20"/>
      <c r="FK281" s="20"/>
      <c r="FL281" s="20"/>
      <c r="FM281" s="20"/>
      <c r="FN281" s="20"/>
      <c r="FO281" s="20"/>
      <c r="FP281" s="20"/>
      <c r="FQ281" s="20"/>
      <c r="FR281" s="20"/>
      <c r="FS281" s="20"/>
      <c r="FT281" s="20"/>
      <c r="FU281" s="20"/>
      <c r="FV281" s="20"/>
      <c r="FW281" s="20"/>
      <c r="FX281" s="20"/>
      <c r="FY281" s="20"/>
      <c r="FZ281" s="20"/>
      <c r="GA281" s="20"/>
      <c r="GB281" s="20"/>
      <c r="GC281" s="20"/>
      <c r="GD281" s="20"/>
      <c r="GE281" s="20"/>
      <c r="GF281" s="20"/>
      <c r="GG281" s="20"/>
      <c r="GH281" s="20"/>
      <c r="GI281" s="20"/>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20"/>
      <c r="HP281" s="20"/>
      <c r="HQ281" s="20"/>
      <c r="HR281" s="20"/>
      <c r="HS281" s="20"/>
      <c r="HT281" s="20"/>
      <c r="HU281" s="20"/>
      <c r="HV281" s="20"/>
      <c r="HW281" s="20"/>
      <c r="HX281" s="20"/>
      <c r="HY281" s="20"/>
      <c r="HZ281" s="20"/>
      <c r="IA281" s="20"/>
      <c r="IB281" s="20"/>
      <c r="IC281" s="20"/>
      <c r="ID281" s="20"/>
      <c r="IE281" s="20"/>
      <c r="IF281" s="20"/>
      <c r="IG281" s="20"/>
      <c r="IH281" s="20"/>
      <c r="II281" s="20"/>
      <c r="IJ281" s="20"/>
      <c r="IK281" s="20"/>
      <c r="IL281" s="20"/>
      <c r="IM281" s="20"/>
      <c r="IN281" s="20"/>
      <c r="IO281" s="20"/>
      <c r="IP281" s="20"/>
      <c r="IQ281" s="20"/>
      <c r="IR281" s="20"/>
      <c r="IS281" s="20"/>
      <c r="IT281" s="20"/>
      <c r="IU281" s="20"/>
      <c r="IV281" s="20"/>
      <c r="IW281" s="20"/>
      <c r="IX281" s="20"/>
      <c r="IY281" s="20"/>
      <c r="IZ281" s="20"/>
      <c r="JA281" s="20"/>
      <c r="JB281" s="20"/>
      <c r="JC281" s="20"/>
      <c r="JD281" s="20"/>
      <c r="JE281" s="20"/>
      <c r="JF281" s="20"/>
      <c r="JG281" s="20"/>
      <c r="JH281" s="20"/>
      <c r="JI281" s="20"/>
    </row>
    <row r="282" spans="1:269">
      <c r="A282" s="61"/>
      <c r="B282" s="20"/>
      <c r="C282" s="20"/>
      <c r="D282" s="27"/>
      <c r="E282" s="27"/>
      <c r="F282" s="27"/>
      <c r="G282" s="18"/>
      <c r="H282" s="27"/>
      <c r="I282" s="27"/>
      <c r="J282" s="18"/>
      <c r="K282" s="27"/>
      <c r="L282" s="27"/>
      <c r="M282" s="18"/>
      <c r="N282" s="27"/>
      <c r="O282" s="27"/>
      <c r="P282" s="18"/>
      <c r="Q282" s="27"/>
      <c r="R282" s="18"/>
      <c r="S282" s="18"/>
      <c r="T282" s="18"/>
      <c r="U282" s="18"/>
      <c r="V282" s="18"/>
      <c r="W282" s="105"/>
      <c r="X282" s="105"/>
      <c r="Y282" s="18"/>
      <c r="Z282" s="105"/>
      <c r="AA282" s="105"/>
      <c r="AB282" s="18"/>
      <c r="AC282" s="105"/>
      <c r="AD282" s="105"/>
      <c r="AE282" s="18"/>
      <c r="AF282" s="105"/>
      <c r="AG282" s="105"/>
      <c r="AH282" s="105"/>
      <c r="AI282" s="105"/>
      <c r="AJ282" s="105"/>
      <c r="AK282" s="105"/>
      <c r="AL282" s="105"/>
      <c r="AM282" s="18"/>
      <c r="AN282" s="105"/>
      <c r="AO282" s="105"/>
      <c r="AP282" s="105"/>
      <c r="AQ282" s="18"/>
      <c r="AR282" s="105"/>
      <c r="AS282" s="105"/>
      <c r="AT282" s="105"/>
      <c r="AU282" s="18"/>
      <c r="AV282" s="105"/>
      <c r="AW282" s="105"/>
      <c r="AX282" s="18"/>
      <c r="AY282" s="105"/>
      <c r="AZ282" s="105"/>
      <c r="BA282" s="105"/>
      <c r="BB282" s="105"/>
      <c r="BC282" s="18"/>
      <c r="BD282" s="89"/>
      <c r="BE282" s="89"/>
      <c r="BF282" s="89"/>
      <c r="BG282" s="89"/>
      <c r="BH282" s="89"/>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c r="DU282" s="20"/>
      <c r="DV282" s="20"/>
      <c r="DW282" s="20"/>
      <c r="DX282" s="20"/>
      <c r="DY282" s="20"/>
      <c r="DZ282" s="20"/>
      <c r="EA282" s="20"/>
      <c r="EB282" s="20"/>
      <c r="EC282" s="20"/>
      <c r="ED282" s="20"/>
      <c r="EE282" s="20"/>
      <c r="EF282" s="20"/>
      <c r="EG282" s="20"/>
      <c r="EH282" s="20"/>
      <c r="EI282" s="20"/>
      <c r="EJ282" s="20"/>
      <c r="EK282" s="20"/>
      <c r="EL282" s="20"/>
      <c r="EM282" s="20"/>
      <c r="EN282" s="20"/>
      <c r="EO282" s="20"/>
      <c r="EP282" s="20"/>
      <c r="EQ282" s="20"/>
      <c r="ER282" s="20"/>
      <c r="ES282" s="20"/>
      <c r="ET282" s="20"/>
      <c r="EU282" s="20"/>
      <c r="EV282" s="20"/>
      <c r="EW282" s="20"/>
      <c r="EX282" s="20"/>
      <c r="EY282" s="20"/>
      <c r="EZ282" s="20"/>
      <c r="FA282" s="20"/>
      <c r="FB282" s="20"/>
      <c r="FC282" s="20"/>
      <c r="FD282" s="20"/>
      <c r="FE282" s="20"/>
      <c r="FF282" s="20"/>
      <c r="FG282" s="20"/>
      <c r="FH282" s="20"/>
      <c r="FI282" s="20"/>
      <c r="FJ282" s="20"/>
      <c r="FK282" s="20"/>
      <c r="FL282" s="20"/>
      <c r="FM282" s="20"/>
      <c r="FN282" s="20"/>
      <c r="FO282" s="20"/>
      <c r="FP282" s="20"/>
      <c r="FQ282" s="20"/>
      <c r="FR282" s="20"/>
      <c r="FS282" s="20"/>
      <c r="FT282" s="20"/>
      <c r="FU282" s="20"/>
      <c r="FV282" s="20"/>
      <c r="FW282" s="20"/>
      <c r="FX282" s="20"/>
      <c r="FY282" s="20"/>
      <c r="FZ282" s="20"/>
      <c r="GA282" s="20"/>
      <c r="GB282" s="20"/>
      <c r="GC282" s="20"/>
      <c r="GD282" s="20"/>
      <c r="GE282" s="20"/>
      <c r="GF282" s="20"/>
      <c r="GG282" s="20"/>
      <c r="GH282" s="20"/>
      <c r="GI282" s="20"/>
      <c r="GJ282" s="20"/>
      <c r="GK282" s="20"/>
      <c r="GL282" s="20"/>
      <c r="GM282" s="20"/>
      <c r="GN282" s="20"/>
      <c r="GO282" s="20"/>
      <c r="GP282" s="20"/>
      <c r="GQ282" s="20"/>
      <c r="GR282" s="20"/>
      <c r="GS282" s="20"/>
      <c r="GT282" s="20"/>
      <c r="GU282" s="20"/>
      <c r="GV282" s="20"/>
      <c r="GW282" s="20"/>
      <c r="GX282" s="20"/>
      <c r="GY282" s="20"/>
      <c r="GZ282" s="20"/>
      <c r="HA282" s="20"/>
      <c r="HB282" s="20"/>
      <c r="HC282" s="20"/>
      <c r="HD282" s="20"/>
      <c r="HE282" s="20"/>
      <c r="HF282" s="20"/>
      <c r="HG282" s="20"/>
      <c r="HH282" s="20"/>
      <c r="HI282" s="20"/>
      <c r="HJ282" s="20"/>
      <c r="HK282" s="20"/>
      <c r="HL282" s="20"/>
      <c r="HM282" s="20"/>
      <c r="HN282" s="20"/>
      <c r="HO282" s="20"/>
      <c r="HP282" s="20"/>
      <c r="HQ282" s="20"/>
      <c r="HR282" s="20"/>
      <c r="HS282" s="20"/>
      <c r="HT282" s="20"/>
      <c r="HU282" s="20"/>
      <c r="HV282" s="20"/>
      <c r="HW282" s="20"/>
      <c r="HX282" s="20"/>
      <c r="HY282" s="20"/>
      <c r="HZ282" s="20"/>
      <c r="IA282" s="20"/>
      <c r="IB282" s="20"/>
      <c r="IC282" s="20"/>
      <c r="ID282" s="20"/>
      <c r="IE282" s="20"/>
      <c r="IF282" s="20"/>
      <c r="IG282" s="20"/>
      <c r="IH282" s="20"/>
      <c r="II282" s="20"/>
      <c r="IJ282" s="20"/>
      <c r="IK282" s="20"/>
      <c r="IL282" s="20"/>
      <c r="IM282" s="20"/>
      <c r="IN282" s="20"/>
      <c r="IO282" s="20"/>
      <c r="IP282" s="20"/>
      <c r="IQ282" s="20"/>
      <c r="IR282" s="20"/>
      <c r="IS282" s="20"/>
      <c r="IT282" s="20"/>
      <c r="IU282" s="20"/>
      <c r="IV282" s="20"/>
      <c r="IW282" s="20"/>
      <c r="IX282" s="20"/>
      <c r="IY282" s="20"/>
      <c r="IZ282" s="20"/>
      <c r="JA282" s="20"/>
      <c r="JB282" s="20"/>
      <c r="JC282" s="20"/>
      <c r="JD282" s="20"/>
      <c r="JE282" s="20"/>
      <c r="JF282" s="20"/>
      <c r="JG282" s="20"/>
      <c r="JH282" s="20"/>
      <c r="JI282" s="20"/>
    </row>
    <row r="283" spans="1:269">
      <c r="A283" s="61"/>
      <c r="B283" s="20"/>
      <c r="C283" s="20"/>
      <c r="D283" s="27"/>
      <c r="E283" s="27"/>
      <c r="F283" s="27"/>
      <c r="G283" s="18"/>
      <c r="H283" s="27"/>
      <c r="I283" s="27"/>
      <c r="J283" s="18"/>
      <c r="K283" s="27"/>
      <c r="L283" s="27"/>
      <c r="M283" s="18"/>
      <c r="N283" s="27"/>
      <c r="O283" s="27"/>
      <c r="P283" s="18"/>
      <c r="Q283" s="27"/>
      <c r="R283" s="18"/>
      <c r="S283" s="18"/>
      <c r="T283" s="18"/>
      <c r="U283" s="18"/>
      <c r="V283" s="18"/>
      <c r="W283" s="105"/>
      <c r="X283" s="105"/>
      <c r="Y283" s="18"/>
      <c r="Z283" s="105"/>
      <c r="AA283" s="105"/>
      <c r="AB283" s="18"/>
      <c r="AC283" s="105"/>
      <c r="AD283" s="105"/>
      <c r="AE283" s="18"/>
      <c r="AF283" s="105"/>
      <c r="AG283" s="105"/>
      <c r="AH283" s="105"/>
      <c r="AI283" s="105"/>
      <c r="AJ283" s="105"/>
      <c r="AK283" s="105"/>
      <c r="AL283" s="105"/>
      <c r="AM283" s="18"/>
      <c r="AN283" s="105"/>
      <c r="AO283" s="105"/>
      <c r="AP283" s="105"/>
      <c r="AQ283" s="18"/>
      <c r="AR283" s="105"/>
      <c r="AS283" s="105"/>
      <c r="AT283" s="105"/>
      <c r="AU283" s="18"/>
      <c r="AV283" s="105"/>
      <c r="AW283" s="105"/>
      <c r="AX283" s="18"/>
      <c r="AY283" s="105"/>
      <c r="AZ283" s="105"/>
      <c r="BA283" s="105"/>
      <c r="BB283" s="105"/>
      <c r="BC283" s="18"/>
      <c r="BD283" s="89"/>
      <c r="BE283" s="89"/>
      <c r="BF283" s="89"/>
      <c r="BG283" s="89"/>
      <c r="BH283" s="89"/>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c r="DU283" s="20"/>
      <c r="DV283" s="20"/>
      <c r="DW283" s="20"/>
      <c r="DX283" s="20"/>
      <c r="DY283" s="20"/>
      <c r="DZ283" s="20"/>
      <c r="EA283" s="20"/>
      <c r="EB283" s="20"/>
      <c r="EC283" s="20"/>
      <c r="ED283" s="20"/>
      <c r="EE283" s="20"/>
      <c r="EF283" s="20"/>
      <c r="EG283" s="20"/>
      <c r="EH283" s="20"/>
      <c r="EI283" s="20"/>
      <c r="EJ283" s="20"/>
      <c r="EK283" s="20"/>
      <c r="EL283" s="20"/>
      <c r="EM283" s="20"/>
      <c r="EN283" s="20"/>
      <c r="EO283" s="20"/>
      <c r="EP283" s="20"/>
      <c r="EQ283" s="20"/>
      <c r="ER283" s="20"/>
      <c r="ES283" s="20"/>
      <c r="ET283" s="20"/>
      <c r="EU283" s="20"/>
      <c r="EV283" s="20"/>
      <c r="EW283" s="20"/>
      <c r="EX283" s="20"/>
      <c r="EY283" s="20"/>
      <c r="EZ283" s="20"/>
      <c r="FA283" s="20"/>
      <c r="FB283" s="20"/>
      <c r="FC283" s="20"/>
      <c r="FD283" s="20"/>
      <c r="FE283" s="20"/>
      <c r="FF283" s="20"/>
      <c r="FG283" s="20"/>
      <c r="FH283" s="20"/>
      <c r="FI283" s="20"/>
      <c r="FJ283" s="20"/>
      <c r="FK283" s="20"/>
      <c r="FL283" s="20"/>
      <c r="FM283" s="20"/>
      <c r="FN283" s="20"/>
      <c r="FO283" s="20"/>
      <c r="FP283" s="20"/>
      <c r="FQ283" s="20"/>
      <c r="FR283" s="20"/>
      <c r="FS283" s="20"/>
      <c r="FT283" s="20"/>
      <c r="FU283" s="20"/>
      <c r="FV283" s="20"/>
      <c r="FW283" s="20"/>
      <c r="FX283" s="20"/>
      <c r="FY283" s="20"/>
      <c r="FZ283" s="20"/>
      <c r="GA283" s="20"/>
      <c r="GB283" s="20"/>
      <c r="GC283" s="20"/>
      <c r="GD283" s="20"/>
      <c r="GE283" s="20"/>
      <c r="GF283" s="20"/>
      <c r="GG283" s="20"/>
      <c r="GH283" s="20"/>
      <c r="GI283" s="20"/>
      <c r="GJ283" s="20"/>
      <c r="GK283" s="20"/>
      <c r="GL283" s="20"/>
      <c r="GM283" s="20"/>
      <c r="GN283" s="20"/>
      <c r="GO283" s="20"/>
      <c r="GP283" s="20"/>
      <c r="GQ283" s="20"/>
      <c r="GR283" s="20"/>
      <c r="GS283" s="20"/>
      <c r="GT283" s="20"/>
      <c r="GU283" s="20"/>
      <c r="GV283" s="20"/>
      <c r="GW283" s="20"/>
      <c r="GX283" s="20"/>
      <c r="GY283" s="20"/>
      <c r="GZ283" s="20"/>
      <c r="HA283" s="20"/>
      <c r="HB283" s="20"/>
      <c r="HC283" s="20"/>
      <c r="HD283" s="20"/>
      <c r="HE283" s="20"/>
      <c r="HF283" s="20"/>
      <c r="HG283" s="20"/>
      <c r="HH283" s="20"/>
      <c r="HI283" s="20"/>
      <c r="HJ283" s="20"/>
      <c r="HK283" s="20"/>
      <c r="HL283" s="20"/>
      <c r="HM283" s="20"/>
      <c r="HN283" s="20"/>
      <c r="HO283" s="20"/>
      <c r="HP283" s="20"/>
      <c r="HQ283" s="20"/>
      <c r="HR283" s="20"/>
      <c r="HS283" s="20"/>
      <c r="HT283" s="20"/>
      <c r="HU283" s="20"/>
      <c r="HV283" s="20"/>
      <c r="HW283" s="20"/>
      <c r="HX283" s="20"/>
      <c r="HY283" s="20"/>
      <c r="HZ283" s="20"/>
      <c r="IA283" s="20"/>
      <c r="IB283" s="20"/>
      <c r="IC283" s="20"/>
      <c r="ID283" s="20"/>
      <c r="IE283" s="20"/>
      <c r="IF283" s="20"/>
      <c r="IG283" s="20"/>
      <c r="IH283" s="20"/>
      <c r="II283" s="20"/>
      <c r="IJ283" s="20"/>
      <c r="IK283" s="20"/>
      <c r="IL283" s="20"/>
      <c r="IM283" s="20"/>
      <c r="IN283" s="20"/>
      <c r="IO283" s="20"/>
      <c r="IP283" s="20"/>
      <c r="IQ283" s="20"/>
      <c r="IR283" s="20"/>
      <c r="IS283" s="20"/>
      <c r="IT283" s="20"/>
      <c r="IU283" s="20"/>
      <c r="IV283" s="20"/>
      <c r="IW283" s="20"/>
      <c r="IX283" s="20"/>
      <c r="IY283" s="20"/>
      <c r="IZ283" s="20"/>
      <c r="JA283" s="20"/>
      <c r="JB283" s="20"/>
      <c r="JC283" s="20"/>
      <c r="JD283" s="20"/>
      <c r="JE283" s="20"/>
      <c r="JF283" s="20"/>
      <c r="JG283" s="20"/>
      <c r="JH283" s="20"/>
      <c r="JI283" s="20"/>
    </row>
    <row r="284" spans="1:269">
      <c r="A284" s="61"/>
      <c r="B284" s="20"/>
      <c r="C284" s="20"/>
      <c r="D284" s="27"/>
      <c r="E284" s="27"/>
      <c r="F284" s="27"/>
      <c r="G284" s="18"/>
      <c r="H284" s="27"/>
      <c r="I284" s="27"/>
      <c r="J284" s="18"/>
      <c r="K284" s="27"/>
      <c r="L284" s="27"/>
      <c r="M284" s="18"/>
      <c r="N284" s="27"/>
      <c r="O284" s="27"/>
      <c r="P284" s="18"/>
      <c r="Q284" s="27"/>
      <c r="R284" s="18"/>
      <c r="S284" s="18"/>
      <c r="T284" s="18"/>
      <c r="U284" s="18"/>
      <c r="V284" s="18"/>
      <c r="W284" s="105"/>
      <c r="X284" s="105"/>
      <c r="Y284" s="18"/>
      <c r="Z284" s="105"/>
      <c r="AA284" s="105"/>
      <c r="AB284" s="18"/>
      <c r="AC284" s="105"/>
      <c r="AD284" s="105"/>
      <c r="AE284" s="18"/>
      <c r="AF284" s="105"/>
      <c r="AG284" s="105"/>
      <c r="AH284" s="105"/>
      <c r="AI284" s="105"/>
      <c r="AJ284" s="105"/>
      <c r="AK284" s="105"/>
      <c r="AL284" s="105"/>
      <c r="AM284" s="18"/>
      <c r="AN284" s="105"/>
      <c r="AO284" s="105"/>
      <c r="AP284" s="105"/>
      <c r="AQ284" s="18"/>
      <c r="AR284" s="105"/>
      <c r="AS284" s="105"/>
      <c r="AT284" s="105"/>
      <c r="AU284" s="18"/>
      <c r="AV284" s="105"/>
      <c r="AW284" s="105"/>
      <c r="AX284" s="18"/>
      <c r="AY284" s="105"/>
      <c r="AZ284" s="105"/>
      <c r="BA284" s="105"/>
      <c r="BB284" s="105"/>
      <c r="BC284" s="18"/>
      <c r="BD284" s="89"/>
      <c r="BE284" s="89"/>
      <c r="BF284" s="89"/>
      <c r="BG284" s="89"/>
      <c r="BH284" s="89"/>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c r="DU284" s="20"/>
      <c r="DV284" s="20"/>
      <c r="DW284" s="20"/>
      <c r="DX284" s="20"/>
      <c r="DY284" s="20"/>
      <c r="DZ284" s="20"/>
      <c r="EA284" s="20"/>
      <c r="EB284" s="20"/>
      <c r="EC284" s="20"/>
      <c r="ED284" s="20"/>
      <c r="EE284" s="20"/>
      <c r="EF284" s="20"/>
      <c r="EG284" s="20"/>
      <c r="EH284" s="20"/>
      <c r="EI284" s="20"/>
      <c r="EJ284" s="20"/>
      <c r="EK284" s="20"/>
      <c r="EL284" s="20"/>
      <c r="EM284" s="20"/>
      <c r="EN284" s="20"/>
      <c r="EO284" s="20"/>
      <c r="EP284" s="20"/>
      <c r="EQ284" s="20"/>
      <c r="ER284" s="20"/>
      <c r="ES284" s="20"/>
      <c r="ET284" s="20"/>
      <c r="EU284" s="20"/>
      <c r="EV284" s="20"/>
      <c r="EW284" s="20"/>
      <c r="EX284" s="20"/>
      <c r="EY284" s="20"/>
      <c r="EZ284" s="20"/>
      <c r="FA284" s="20"/>
      <c r="FB284" s="20"/>
      <c r="FC284" s="20"/>
      <c r="FD284" s="20"/>
      <c r="FE284" s="20"/>
      <c r="FF284" s="20"/>
      <c r="FG284" s="20"/>
      <c r="FH284" s="20"/>
      <c r="FI284" s="20"/>
      <c r="FJ284" s="20"/>
      <c r="FK284" s="20"/>
      <c r="FL284" s="20"/>
      <c r="FM284" s="20"/>
      <c r="FN284" s="20"/>
      <c r="FO284" s="20"/>
      <c r="FP284" s="20"/>
      <c r="FQ284" s="20"/>
      <c r="FR284" s="20"/>
      <c r="FS284" s="20"/>
      <c r="FT284" s="20"/>
      <c r="FU284" s="20"/>
      <c r="FV284" s="20"/>
      <c r="FW284" s="20"/>
      <c r="FX284" s="20"/>
      <c r="FY284" s="20"/>
      <c r="FZ284" s="20"/>
      <c r="GA284" s="20"/>
      <c r="GB284" s="20"/>
      <c r="GC284" s="20"/>
      <c r="GD284" s="20"/>
      <c r="GE284" s="20"/>
      <c r="GF284" s="20"/>
      <c r="GG284" s="20"/>
      <c r="GH284" s="20"/>
      <c r="GI284" s="20"/>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20"/>
      <c r="HP284" s="20"/>
      <c r="HQ284" s="20"/>
      <c r="HR284" s="20"/>
      <c r="HS284" s="20"/>
      <c r="HT284" s="20"/>
      <c r="HU284" s="20"/>
      <c r="HV284" s="20"/>
      <c r="HW284" s="20"/>
      <c r="HX284" s="20"/>
      <c r="HY284" s="20"/>
      <c r="HZ284" s="20"/>
      <c r="IA284" s="20"/>
      <c r="IB284" s="20"/>
      <c r="IC284" s="20"/>
      <c r="ID284" s="20"/>
      <c r="IE284" s="20"/>
      <c r="IF284" s="20"/>
      <c r="IG284" s="20"/>
      <c r="IH284" s="20"/>
      <c r="II284" s="20"/>
      <c r="IJ284" s="20"/>
      <c r="IK284" s="20"/>
      <c r="IL284" s="20"/>
      <c r="IM284" s="20"/>
      <c r="IN284" s="20"/>
      <c r="IO284" s="20"/>
      <c r="IP284" s="20"/>
      <c r="IQ284" s="20"/>
      <c r="IR284" s="20"/>
      <c r="IS284" s="20"/>
      <c r="IT284" s="20"/>
      <c r="IU284" s="20"/>
      <c r="IV284" s="20"/>
      <c r="IW284" s="20"/>
      <c r="IX284" s="20"/>
      <c r="IY284" s="20"/>
      <c r="IZ284" s="20"/>
      <c r="JA284" s="20"/>
      <c r="JB284" s="20"/>
      <c r="JC284" s="20"/>
      <c r="JD284" s="20"/>
      <c r="JE284" s="20"/>
      <c r="JF284" s="20"/>
      <c r="JG284" s="20"/>
      <c r="JH284" s="20"/>
      <c r="JI284" s="20"/>
    </row>
    <row r="285" spans="1:269">
      <c r="A285" s="61"/>
      <c r="B285" s="20"/>
      <c r="C285" s="20"/>
      <c r="D285" s="27"/>
      <c r="E285" s="27"/>
      <c r="F285" s="27"/>
      <c r="G285" s="18"/>
      <c r="H285" s="27"/>
      <c r="I285" s="27"/>
      <c r="J285" s="18"/>
      <c r="K285" s="27"/>
      <c r="L285" s="27"/>
      <c r="M285" s="18"/>
      <c r="N285" s="27"/>
      <c r="O285" s="27"/>
      <c r="P285" s="18"/>
      <c r="Q285" s="27"/>
      <c r="R285" s="18"/>
      <c r="S285" s="18"/>
      <c r="T285" s="18"/>
      <c r="U285" s="18"/>
      <c r="V285" s="18"/>
      <c r="W285" s="105"/>
      <c r="X285" s="105"/>
      <c r="Y285" s="18"/>
      <c r="Z285" s="105"/>
      <c r="AA285" s="105"/>
      <c r="AB285" s="18"/>
      <c r="AC285" s="105"/>
      <c r="AD285" s="105"/>
      <c r="AE285" s="18"/>
      <c r="AF285" s="105"/>
      <c r="AG285" s="105"/>
      <c r="AH285" s="105"/>
      <c r="AI285" s="105"/>
      <c r="AJ285" s="105"/>
      <c r="AK285" s="105"/>
      <c r="AL285" s="105"/>
      <c r="AM285" s="18"/>
      <c r="AN285" s="105"/>
      <c r="AO285" s="105"/>
      <c r="AP285" s="105"/>
      <c r="AQ285" s="18"/>
      <c r="AR285" s="105"/>
      <c r="AS285" s="105"/>
      <c r="AT285" s="105"/>
      <c r="AU285" s="18"/>
      <c r="AV285" s="105"/>
      <c r="AW285" s="105"/>
      <c r="AX285" s="18"/>
      <c r="AY285" s="105"/>
      <c r="AZ285" s="105"/>
      <c r="BA285" s="105"/>
      <c r="BB285" s="105"/>
      <c r="BC285" s="18"/>
      <c r="BD285" s="89"/>
      <c r="BE285" s="89"/>
      <c r="BF285" s="89"/>
      <c r="BG285" s="89"/>
      <c r="BH285" s="89"/>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c r="DU285" s="20"/>
      <c r="DV285" s="20"/>
      <c r="DW285" s="20"/>
      <c r="DX285" s="20"/>
      <c r="DY285" s="20"/>
      <c r="DZ285" s="20"/>
      <c r="EA285" s="20"/>
      <c r="EB285" s="20"/>
      <c r="EC285" s="20"/>
      <c r="ED285" s="20"/>
      <c r="EE285" s="20"/>
      <c r="EF285" s="20"/>
      <c r="EG285" s="20"/>
      <c r="EH285" s="20"/>
      <c r="EI285" s="20"/>
      <c r="EJ285" s="20"/>
      <c r="EK285" s="20"/>
      <c r="EL285" s="20"/>
      <c r="EM285" s="20"/>
      <c r="EN285" s="20"/>
      <c r="EO285" s="20"/>
      <c r="EP285" s="20"/>
      <c r="EQ285" s="20"/>
      <c r="ER285" s="20"/>
      <c r="ES285" s="20"/>
      <c r="ET285" s="20"/>
      <c r="EU285" s="20"/>
      <c r="EV285" s="20"/>
      <c r="EW285" s="20"/>
      <c r="EX285" s="20"/>
      <c r="EY285" s="20"/>
      <c r="EZ285" s="20"/>
      <c r="FA285" s="20"/>
      <c r="FB285" s="20"/>
      <c r="FC285" s="20"/>
      <c r="FD285" s="20"/>
      <c r="FE285" s="20"/>
      <c r="FF285" s="20"/>
      <c r="FG285" s="20"/>
      <c r="FH285" s="20"/>
      <c r="FI285" s="20"/>
      <c r="FJ285" s="20"/>
      <c r="FK285" s="20"/>
      <c r="FL285" s="20"/>
      <c r="FM285" s="20"/>
      <c r="FN285" s="20"/>
      <c r="FO285" s="20"/>
      <c r="FP285" s="20"/>
      <c r="FQ285" s="20"/>
      <c r="FR285" s="20"/>
      <c r="FS285" s="20"/>
      <c r="FT285" s="20"/>
      <c r="FU285" s="20"/>
      <c r="FV285" s="20"/>
      <c r="FW285" s="20"/>
      <c r="FX285" s="20"/>
      <c r="FY285" s="20"/>
      <c r="FZ285" s="20"/>
      <c r="GA285" s="20"/>
      <c r="GB285" s="20"/>
      <c r="GC285" s="20"/>
      <c r="GD285" s="20"/>
      <c r="GE285" s="20"/>
      <c r="GF285" s="20"/>
      <c r="GG285" s="20"/>
      <c r="GH285" s="20"/>
      <c r="GI285" s="20"/>
      <c r="GJ285" s="20"/>
      <c r="GK285" s="20"/>
      <c r="GL285" s="20"/>
      <c r="GM285" s="20"/>
      <c r="GN285" s="20"/>
      <c r="GO285" s="20"/>
      <c r="GP285" s="20"/>
      <c r="GQ285" s="20"/>
      <c r="GR285" s="20"/>
      <c r="GS285" s="20"/>
      <c r="GT285" s="20"/>
      <c r="GU285" s="20"/>
      <c r="GV285" s="20"/>
      <c r="GW285" s="20"/>
      <c r="GX285" s="20"/>
      <c r="GY285" s="20"/>
      <c r="GZ285" s="20"/>
      <c r="HA285" s="20"/>
      <c r="HB285" s="20"/>
      <c r="HC285" s="20"/>
      <c r="HD285" s="20"/>
      <c r="HE285" s="20"/>
      <c r="HF285" s="20"/>
      <c r="HG285" s="20"/>
      <c r="HH285" s="20"/>
      <c r="HI285" s="20"/>
      <c r="HJ285" s="20"/>
      <c r="HK285" s="20"/>
      <c r="HL285" s="20"/>
      <c r="HM285" s="20"/>
      <c r="HN285" s="20"/>
      <c r="HO285" s="20"/>
      <c r="HP285" s="20"/>
      <c r="HQ285" s="20"/>
      <c r="HR285" s="20"/>
      <c r="HS285" s="20"/>
      <c r="HT285" s="20"/>
      <c r="HU285" s="20"/>
      <c r="HV285" s="20"/>
      <c r="HW285" s="20"/>
      <c r="HX285" s="20"/>
      <c r="HY285" s="20"/>
      <c r="HZ285" s="20"/>
      <c r="IA285" s="20"/>
      <c r="IB285" s="20"/>
      <c r="IC285" s="20"/>
      <c r="ID285" s="20"/>
      <c r="IE285" s="20"/>
      <c r="IF285" s="20"/>
      <c r="IG285" s="20"/>
      <c r="IH285" s="20"/>
      <c r="II285" s="20"/>
      <c r="IJ285" s="20"/>
      <c r="IK285" s="20"/>
      <c r="IL285" s="20"/>
      <c r="IM285" s="20"/>
      <c r="IN285" s="20"/>
      <c r="IO285" s="20"/>
      <c r="IP285" s="20"/>
      <c r="IQ285" s="20"/>
      <c r="IR285" s="20"/>
      <c r="IS285" s="20"/>
      <c r="IT285" s="20"/>
      <c r="IU285" s="20"/>
      <c r="IV285" s="20"/>
      <c r="IW285" s="20"/>
      <c r="IX285" s="20"/>
      <c r="IY285" s="20"/>
      <c r="IZ285" s="20"/>
      <c r="JA285" s="20"/>
      <c r="JB285" s="20"/>
      <c r="JC285" s="20"/>
      <c r="JD285" s="20"/>
      <c r="JE285" s="20"/>
      <c r="JF285" s="20"/>
      <c r="JG285" s="20"/>
      <c r="JH285" s="20"/>
      <c r="JI285" s="20"/>
    </row>
    <row r="286" spans="1:269">
      <c r="A286" s="61" ph="1"/>
      <c r="B286" s="20" ph="1"/>
      <c r="C286" s="20" ph="1"/>
      <c r="D286" s="27" ph="1"/>
      <c r="E286" s="27" ph="1"/>
      <c r="F286" s="27" ph="1"/>
      <c r="G286" s="18" ph="1"/>
      <c r="H286" s="27" ph="1"/>
      <c r="I286" s="27" ph="1"/>
      <c r="J286" s="18" ph="1"/>
      <c r="K286" s="27" ph="1"/>
      <c r="L286" s="27" ph="1"/>
      <c r="M286" s="18" ph="1"/>
      <c r="N286" s="27" ph="1"/>
      <c r="O286" s="27" ph="1"/>
      <c r="P286" s="18" ph="1"/>
      <c r="Q286" s="27" ph="1"/>
      <c r="R286" s="18" ph="1"/>
      <c r="S286" s="18" ph="1"/>
      <c r="T286" s="18" ph="1"/>
      <c r="U286" s="18" ph="1"/>
      <c r="V286" s="18" ph="1"/>
      <c r="W286" s="105" ph="1"/>
      <c r="X286" s="105" ph="1"/>
      <c r="Y286" s="18" ph="1"/>
      <c r="Z286" s="105" ph="1"/>
      <c r="AA286" s="105" ph="1"/>
      <c r="AB286" s="18" ph="1"/>
      <c r="AC286" s="105" ph="1"/>
      <c r="AD286" s="105" ph="1"/>
      <c r="AE286" s="18" ph="1"/>
      <c r="AF286" s="105" ph="1"/>
      <c r="AG286" s="105" ph="1"/>
      <c r="AH286" s="105" ph="1"/>
      <c r="AI286" s="105" ph="1"/>
      <c r="AJ286" s="105" ph="1"/>
      <c r="AK286" s="105" ph="1"/>
      <c r="AL286" s="105" ph="1"/>
      <c r="AM286" s="18" ph="1"/>
      <c r="AN286" s="105" ph="1"/>
      <c r="AO286" s="105" ph="1"/>
      <c r="AP286" s="105" ph="1"/>
      <c r="AQ286" s="18" ph="1"/>
      <c r="AR286" s="105" ph="1"/>
      <c r="AS286" s="105" ph="1"/>
      <c r="AT286" s="105" ph="1"/>
      <c r="AU286" s="18" ph="1"/>
      <c r="AV286" s="105" ph="1"/>
      <c r="AW286" s="105" ph="1"/>
      <c r="AX286" s="18" ph="1"/>
      <c r="AY286" s="105" ph="1"/>
      <c r="AZ286" s="105" ph="1"/>
      <c r="BA286" s="105" ph="1"/>
      <c r="BB286" s="105" ph="1"/>
      <c r="BC286" s="18" ph="1"/>
      <c r="BD286" s="89"/>
      <c r="BE286" s="89"/>
      <c r="BF286" s="89"/>
      <c r="BG286" s="89"/>
      <c r="BH286" s="89"/>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c r="DU286" s="20"/>
      <c r="DV286" s="20"/>
      <c r="DW286" s="20"/>
      <c r="DX286" s="20"/>
      <c r="DY286" s="20"/>
      <c r="DZ286" s="20"/>
      <c r="EA286" s="20"/>
      <c r="EB286" s="20"/>
      <c r="EC286" s="20"/>
      <c r="ED286" s="20"/>
      <c r="EE286" s="20"/>
      <c r="EF286" s="20"/>
      <c r="EG286" s="20"/>
      <c r="EH286" s="20"/>
      <c r="EI286" s="20"/>
      <c r="EJ286" s="20"/>
      <c r="EK286" s="20"/>
      <c r="EL286" s="20"/>
      <c r="EM286" s="20"/>
      <c r="EN286" s="20"/>
      <c r="EO286" s="20"/>
      <c r="EP286" s="20"/>
      <c r="EQ286" s="20"/>
      <c r="ER286" s="20"/>
      <c r="ES286" s="20"/>
      <c r="ET286" s="20"/>
      <c r="EU286" s="20"/>
      <c r="EV286" s="20"/>
      <c r="EW286" s="20"/>
      <c r="EX286" s="20"/>
      <c r="EY286" s="20"/>
      <c r="EZ286" s="20"/>
      <c r="FA286" s="20"/>
      <c r="FB286" s="20"/>
      <c r="FC286" s="20"/>
      <c r="FD286" s="20"/>
      <c r="FE286" s="20"/>
      <c r="FF286" s="20"/>
      <c r="FG286" s="20"/>
      <c r="FH286" s="20"/>
      <c r="FI286" s="20"/>
      <c r="FJ286" s="20"/>
      <c r="FK286" s="20"/>
      <c r="FL286" s="20"/>
      <c r="FM286" s="20"/>
      <c r="FN286" s="20"/>
      <c r="FO286" s="20"/>
      <c r="FP286" s="20"/>
      <c r="FQ286" s="20"/>
      <c r="FR286" s="20"/>
      <c r="FS286" s="20"/>
      <c r="FT286" s="20"/>
      <c r="FU286" s="20"/>
      <c r="FV286" s="20"/>
      <c r="FW286" s="20"/>
      <c r="FX286" s="20"/>
      <c r="FY286" s="20"/>
      <c r="FZ286" s="20"/>
      <c r="GA286" s="20"/>
      <c r="GB286" s="20"/>
      <c r="GC286" s="20"/>
      <c r="GD286" s="20"/>
      <c r="GE286" s="20"/>
      <c r="GF286" s="20"/>
      <c r="GG286" s="20"/>
      <c r="GH286" s="20"/>
      <c r="GI286" s="20"/>
      <c r="GJ286" s="20"/>
      <c r="GK286" s="20"/>
      <c r="GL286" s="20"/>
      <c r="GM286" s="20"/>
      <c r="GN286" s="20"/>
      <c r="GO286" s="20"/>
      <c r="GP286" s="20"/>
      <c r="GQ286" s="20"/>
      <c r="GR286" s="20"/>
      <c r="GS286" s="20"/>
      <c r="GT286" s="20"/>
      <c r="GU286" s="20"/>
      <c r="GV286" s="20"/>
      <c r="GW286" s="20"/>
      <c r="GX286" s="20"/>
      <c r="GY286" s="20"/>
      <c r="GZ286" s="20"/>
      <c r="HA286" s="20"/>
      <c r="HB286" s="20"/>
      <c r="HC286" s="20"/>
      <c r="HD286" s="20"/>
      <c r="HE286" s="20"/>
      <c r="HF286" s="20"/>
      <c r="HG286" s="20"/>
      <c r="HH286" s="20"/>
      <c r="HI286" s="20"/>
      <c r="HJ286" s="20"/>
      <c r="HK286" s="20"/>
      <c r="HL286" s="20"/>
      <c r="HM286" s="20"/>
      <c r="HN286" s="20"/>
      <c r="HO286" s="20"/>
      <c r="HP286" s="20"/>
      <c r="HQ286" s="20"/>
      <c r="HR286" s="20"/>
      <c r="HS286" s="20"/>
      <c r="HT286" s="20"/>
      <c r="HU286" s="20"/>
      <c r="HV286" s="20"/>
      <c r="HW286" s="20"/>
      <c r="HX286" s="20"/>
      <c r="HY286" s="20"/>
      <c r="HZ286" s="20"/>
      <c r="IA286" s="20"/>
      <c r="IB286" s="20"/>
      <c r="IC286" s="20"/>
      <c r="ID286" s="20"/>
      <c r="IE286" s="20"/>
      <c r="IF286" s="20"/>
      <c r="IG286" s="20"/>
      <c r="IH286" s="20"/>
      <c r="II286" s="20"/>
      <c r="IJ286" s="20"/>
      <c r="IK286" s="20"/>
      <c r="IL286" s="20"/>
      <c r="IM286" s="20"/>
      <c r="IN286" s="20"/>
      <c r="IO286" s="20"/>
      <c r="IP286" s="20"/>
      <c r="IQ286" s="20"/>
      <c r="IR286" s="20"/>
      <c r="IS286" s="20"/>
      <c r="IT286" s="20"/>
      <c r="IU286" s="20"/>
      <c r="IV286" s="20"/>
      <c r="IW286" s="20"/>
      <c r="IX286" s="20"/>
      <c r="IY286" s="20"/>
      <c r="IZ286" s="20"/>
      <c r="JA286" s="20"/>
      <c r="JB286" s="20"/>
      <c r="JC286" s="20"/>
      <c r="JD286" s="20"/>
      <c r="JE286" s="20"/>
      <c r="JF286" s="20"/>
      <c r="JG286" s="20"/>
      <c r="JH286" s="20"/>
      <c r="JI286" s="20"/>
    </row>
    <row r="287" spans="1:269">
      <c r="A287" s="61"/>
      <c r="B287" s="20"/>
      <c r="C287" s="20"/>
      <c r="D287" s="27"/>
      <c r="E287" s="27"/>
      <c r="F287" s="27"/>
      <c r="G287" s="18"/>
      <c r="H287" s="27"/>
      <c r="I287" s="27"/>
      <c r="J287" s="18"/>
      <c r="K287" s="27"/>
      <c r="L287" s="27"/>
      <c r="M287" s="18"/>
      <c r="N287" s="27"/>
      <c r="O287" s="27"/>
      <c r="P287" s="18"/>
      <c r="Q287" s="27"/>
      <c r="R287" s="18"/>
      <c r="S287" s="18"/>
      <c r="T287" s="18"/>
      <c r="U287" s="18"/>
      <c r="V287" s="18"/>
      <c r="W287" s="105"/>
      <c r="X287" s="105"/>
      <c r="Y287" s="18"/>
      <c r="Z287" s="105"/>
      <c r="AA287" s="105"/>
      <c r="AB287" s="18"/>
      <c r="AC287" s="105"/>
      <c r="AD287" s="105"/>
      <c r="AE287" s="18"/>
      <c r="AF287" s="105"/>
      <c r="AG287" s="105"/>
      <c r="AH287" s="105"/>
      <c r="AI287" s="105"/>
      <c r="AJ287" s="105"/>
      <c r="AK287" s="105"/>
      <c r="AL287" s="105"/>
      <c r="AM287" s="18"/>
      <c r="AN287" s="105"/>
      <c r="AO287" s="105"/>
      <c r="AP287" s="105"/>
      <c r="AQ287" s="18"/>
      <c r="AR287" s="105"/>
      <c r="AS287" s="105"/>
      <c r="AT287" s="105"/>
      <c r="AU287" s="18"/>
      <c r="AV287" s="105"/>
      <c r="AW287" s="105"/>
      <c r="AX287" s="18"/>
      <c r="AY287" s="105"/>
      <c r="AZ287" s="105"/>
      <c r="BA287" s="105"/>
      <c r="BB287" s="105"/>
      <c r="BC287" s="18"/>
      <c r="BD287" s="89"/>
      <c r="BE287" s="89"/>
      <c r="BF287" s="89"/>
      <c r="BG287" s="89"/>
      <c r="BH287" s="89"/>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c r="DU287" s="20"/>
      <c r="DV287" s="20"/>
      <c r="DW287" s="20"/>
      <c r="DX287" s="20"/>
      <c r="DY287" s="20"/>
      <c r="DZ287" s="20"/>
      <c r="EA287" s="20"/>
      <c r="EB287" s="20"/>
      <c r="EC287" s="20"/>
      <c r="ED287" s="20"/>
      <c r="EE287" s="20"/>
      <c r="EF287" s="20"/>
      <c r="EG287" s="20"/>
      <c r="EH287" s="20"/>
      <c r="EI287" s="20"/>
      <c r="EJ287" s="20"/>
      <c r="EK287" s="20"/>
      <c r="EL287" s="20"/>
      <c r="EM287" s="20"/>
      <c r="EN287" s="20"/>
      <c r="EO287" s="20"/>
      <c r="EP287" s="20"/>
      <c r="EQ287" s="20"/>
      <c r="ER287" s="20"/>
      <c r="ES287" s="20"/>
      <c r="ET287" s="20"/>
      <c r="EU287" s="20"/>
      <c r="EV287" s="20"/>
      <c r="EW287" s="20"/>
      <c r="EX287" s="20"/>
      <c r="EY287" s="20"/>
      <c r="EZ287" s="20"/>
      <c r="FA287" s="20"/>
      <c r="FB287" s="20"/>
      <c r="FC287" s="20"/>
      <c r="FD287" s="20"/>
      <c r="FE287" s="20"/>
      <c r="FF287" s="20"/>
      <c r="FG287" s="20"/>
      <c r="FH287" s="20"/>
      <c r="FI287" s="20"/>
      <c r="FJ287" s="20"/>
      <c r="FK287" s="20"/>
      <c r="FL287" s="20"/>
      <c r="FM287" s="20"/>
      <c r="FN287" s="20"/>
      <c r="FO287" s="20"/>
      <c r="FP287" s="20"/>
      <c r="FQ287" s="20"/>
      <c r="FR287" s="20"/>
      <c r="FS287" s="20"/>
      <c r="FT287" s="20"/>
      <c r="FU287" s="20"/>
      <c r="FV287" s="20"/>
      <c r="FW287" s="20"/>
      <c r="FX287" s="20"/>
      <c r="FY287" s="20"/>
      <c r="FZ287" s="20"/>
      <c r="GA287" s="20"/>
      <c r="GB287" s="20"/>
      <c r="GC287" s="20"/>
      <c r="GD287" s="20"/>
      <c r="GE287" s="20"/>
      <c r="GF287" s="20"/>
      <c r="GG287" s="20"/>
      <c r="GH287" s="20"/>
      <c r="GI287" s="20"/>
      <c r="GJ287" s="20"/>
      <c r="GK287" s="20"/>
      <c r="GL287" s="20"/>
      <c r="GM287" s="20"/>
      <c r="GN287" s="20"/>
      <c r="GO287" s="20"/>
      <c r="GP287" s="20"/>
      <c r="GQ287" s="20"/>
      <c r="GR287" s="20"/>
      <c r="GS287" s="20"/>
      <c r="GT287" s="20"/>
      <c r="GU287" s="20"/>
      <c r="GV287" s="20"/>
      <c r="GW287" s="20"/>
      <c r="GX287" s="20"/>
      <c r="GY287" s="20"/>
      <c r="GZ287" s="20"/>
      <c r="HA287" s="20"/>
      <c r="HB287" s="20"/>
      <c r="HC287" s="20"/>
      <c r="HD287" s="20"/>
      <c r="HE287" s="20"/>
      <c r="HF287" s="20"/>
      <c r="HG287" s="20"/>
      <c r="HH287" s="20"/>
      <c r="HI287" s="20"/>
      <c r="HJ287" s="20"/>
      <c r="HK287" s="20"/>
      <c r="HL287" s="20"/>
      <c r="HM287" s="20"/>
      <c r="HN287" s="20"/>
      <c r="HO287" s="20"/>
      <c r="HP287" s="20"/>
      <c r="HQ287" s="20"/>
      <c r="HR287" s="20"/>
      <c r="HS287" s="20"/>
      <c r="HT287" s="20"/>
      <c r="HU287" s="20"/>
      <c r="HV287" s="20"/>
      <c r="HW287" s="20"/>
      <c r="HX287" s="20"/>
      <c r="HY287" s="20"/>
      <c r="HZ287" s="20"/>
      <c r="IA287" s="20"/>
      <c r="IB287" s="20"/>
      <c r="IC287" s="20"/>
      <c r="ID287" s="20"/>
      <c r="IE287" s="20"/>
      <c r="IF287" s="20"/>
      <c r="IG287" s="20"/>
      <c r="IH287" s="20"/>
      <c r="II287" s="20"/>
      <c r="IJ287" s="20"/>
      <c r="IK287" s="20"/>
      <c r="IL287" s="20"/>
      <c r="IM287" s="20"/>
      <c r="IN287" s="20"/>
      <c r="IO287" s="20"/>
      <c r="IP287" s="20"/>
      <c r="IQ287" s="20"/>
      <c r="IR287" s="20"/>
      <c r="IS287" s="20"/>
      <c r="IT287" s="20"/>
      <c r="IU287" s="20"/>
      <c r="IV287" s="20"/>
      <c r="IW287" s="20"/>
      <c r="IX287" s="20"/>
      <c r="IY287" s="20"/>
      <c r="IZ287" s="20"/>
      <c r="JA287" s="20"/>
      <c r="JB287" s="20"/>
      <c r="JC287" s="20"/>
      <c r="JD287" s="20"/>
      <c r="JE287" s="20"/>
      <c r="JF287" s="20"/>
      <c r="JG287" s="20"/>
      <c r="JH287" s="20"/>
      <c r="JI287" s="20"/>
    </row>
    <row r="288" spans="1:269">
      <c r="A288" s="61" ph="1"/>
      <c r="B288" s="20" ph="1"/>
      <c r="C288" s="20" ph="1"/>
      <c r="D288" s="27" ph="1"/>
      <c r="E288" s="27" ph="1"/>
      <c r="F288" s="27" ph="1"/>
      <c r="G288" s="18" ph="1"/>
      <c r="H288" s="27" ph="1"/>
      <c r="I288" s="27" ph="1"/>
      <c r="J288" s="18" ph="1"/>
      <c r="K288" s="27" ph="1"/>
      <c r="L288" s="27" ph="1"/>
      <c r="M288" s="18" ph="1"/>
      <c r="N288" s="27" ph="1"/>
      <c r="O288" s="27" ph="1"/>
      <c r="P288" s="18" ph="1"/>
      <c r="Q288" s="27" ph="1"/>
      <c r="R288" s="18" ph="1"/>
      <c r="S288" s="18" ph="1"/>
      <c r="T288" s="18" ph="1"/>
      <c r="U288" s="18" ph="1"/>
      <c r="V288" s="18" ph="1"/>
      <c r="W288" s="105" ph="1"/>
      <c r="X288" s="105" ph="1"/>
      <c r="Y288" s="18" ph="1"/>
      <c r="Z288" s="105" ph="1"/>
      <c r="AA288" s="105" ph="1"/>
      <c r="AB288" s="18" ph="1"/>
      <c r="AC288" s="105" ph="1"/>
      <c r="AD288" s="105" ph="1"/>
      <c r="AE288" s="18" ph="1"/>
      <c r="AF288" s="105" ph="1"/>
      <c r="AG288" s="105" ph="1"/>
      <c r="AH288" s="105" ph="1"/>
      <c r="AI288" s="105" ph="1"/>
      <c r="AJ288" s="105" ph="1"/>
      <c r="AK288" s="105" ph="1"/>
      <c r="AL288" s="105" ph="1"/>
      <c r="AM288" s="18" ph="1"/>
      <c r="AN288" s="105" ph="1"/>
      <c r="AO288" s="105" ph="1"/>
      <c r="AP288" s="105" ph="1"/>
      <c r="AQ288" s="18" ph="1"/>
      <c r="AR288" s="105" ph="1"/>
      <c r="AS288" s="105" ph="1"/>
      <c r="AT288" s="105" ph="1"/>
      <c r="AU288" s="18" ph="1"/>
      <c r="AV288" s="105" ph="1"/>
      <c r="AW288" s="105" ph="1"/>
      <c r="AX288" s="18" ph="1"/>
      <c r="AY288" s="105" ph="1"/>
      <c r="AZ288" s="105" ph="1"/>
      <c r="BA288" s="105" ph="1"/>
      <c r="BB288" s="105" ph="1"/>
      <c r="BC288" s="18" ph="1"/>
      <c r="BD288" s="89"/>
      <c r="BE288" s="89"/>
      <c r="BF288" s="89"/>
      <c r="BG288" s="89"/>
      <c r="BH288" s="89"/>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c r="DU288" s="20"/>
      <c r="DV288" s="20"/>
      <c r="DW288" s="20"/>
      <c r="DX288" s="20"/>
      <c r="DY288" s="20"/>
      <c r="DZ288" s="20"/>
      <c r="EA288" s="20"/>
      <c r="EB288" s="20"/>
      <c r="EC288" s="20"/>
      <c r="ED288" s="20"/>
      <c r="EE288" s="20"/>
      <c r="EF288" s="20"/>
      <c r="EG288" s="20"/>
      <c r="EH288" s="20"/>
      <c r="EI288" s="20"/>
      <c r="EJ288" s="20"/>
      <c r="EK288" s="20"/>
      <c r="EL288" s="20"/>
      <c r="EM288" s="20"/>
      <c r="EN288" s="20"/>
      <c r="EO288" s="20"/>
      <c r="EP288" s="20"/>
      <c r="EQ288" s="20"/>
      <c r="ER288" s="20"/>
      <c r="ES288" s="20"/>
      <c r="ET288" s="20"/>
      <c r="EU288" s="20"/>
      <c r="EV288" s="20"/>
      <c r="EW288" s="20"/>
      <c r="EX288" s="20"/>
      <c r="EY288" s="20"/>
      <c r="EZ288" s="20"/>
      <c r="FA288" s="20"/>
      <c r="FB288" s="20"/>
      <c r="FC288" s="20"/>
      <c r="FD288" s="20"/>
      <c r="FE288" s="20"/>
      <c r="FF288" s="20"/>
      <c r="FG288" s="20"/>
      <c r="FH288" s="20"/>
      <c r="FI288" s="20"/>
      <c r="FJ288" s="20"/>
      <c r="FK288" s="20"/>
      <c r="FL288" s="20"/>
      <c r="FM288" s="20"/>
      <c r="FN288" s="20"/>
      <c r="FO288" s="20"/>
      <c r="FP288" s="20"/>
      <c r="FQ288" s="20"/>
      <c r="FR288" s="20"/>
      <c r="FS288" s="20"/>
      <c r="FT288" s="20"/>
      <c r="FU288" s="20"/>
      <c r="FV288" s="20"/>
      <c r="FW288" s="20"/>
      <c r="FX288" s="20"/>
      <c r="FY288" s="20"/>
      <c r="FZ288" s="20"/>
      <c r="GA288" s="20"/>
      <c r="GB288" s="20"/>
      <c r="GC288" s="20"/>
      <c r="GD288" s="20"/>
      <c r="GE288" s="20"/>
      <c r="GF288" s="20"/>
      <c r="GG288" s="20"/>
      <c r="GH288" s="20"/>
      <c r="GI288" s="20"/>
      <c r="GJ288" s="20"/>
      <c r="GK288" s="20"/>
      <c r="GL288" s="20"/>
      <c r="GM288" s="20"/>
      <c r="GN288" s="20"/>
      <c r="GO288" s="20"/>
      <c r="GP288" s="20"/>
      <c r="GQ288" s="20"/>
      <c r="GR288" s="20"/>
      <c r="GS288" s="20"/>
      <c r="GT288" s="20"/>
      <c r="GU288" s="20"/>
      <c r="GV288" s="20"/>
      <c r="GW288" s="20"/>
      <c r="GX288" s="20"/>
      <c r="GY288" s="20"/>
      <c r="GZ288" s="20"/>
      <c r="HA288" s="20"/>
      <c r="HB288" s="20"/>
      <c r="HC288" s="20"/>
      <c r="HD288" s="20"/>
      <c r="HE288" s="20"/>
      <c r="HF288" s="20"/>
      <c r="HG288" s="20"/>
      <c r="HH288" s="20"/>
      <c r="HI288" s="20"/>
      <c r="HJ288" s="20"/>
      <c r="HK288" s="20"/>
      <c r="HL288" s="20"/>
      <c r="HM288" s="20"/>
      <c r="HN288" s="20"/>
      <c r="HO288" s="20"/>
      <c r="HP288" s="20"/>
      <c r="HQ288" s="20"/>
      <c r="HR288" s="20"/>
      <c r="HS288" s="20"/>
      <c r="HT288" s="20"/>
      <c r="HU288" s="20"/>
      <c r="HV288" s="20"/>
      <c r="HW288" s="20"/>
      <c r="HX288" s="20"/>
      <c r="HY288" s="20"/>
      <c r="HZ288" s="20"/>
      <c r="IA288" s="20"/>
      <c r="IB288" s="20"/>
      <c r="IC288" s="20"/>
      <c r="ID288" s="20"/>
      <c r="IE288" s="20"/>
      <c r="IF288" s="20"/>
      <c r="IG288" s="20"/>
      <c r="IH288" s="20"/>
      <c r="II288" s="20"/>
      <c r="IJ288" s="20"/>
      <c r="IK288" s="20"/>
      <c r="IL288" s="20"/>
      <c r="IM288" s="20"/>
      <c r="IN288" s="20"/>
      <c r="IO288" s="20"/>
      <c r="IP288" s="20"/>
      <c r="IQ288" s="20"/>
      <c r="IR288" s="20"/>
      <c r="IS288" s="20"/>
      <c r="IT288" s="20"/>
      <c r="IU288" s="20"/>
      <c r="IV288" s="20"/>
      <c r="IW288" s="20"/>
      <c r="IX288" s="20"/>
      <c r="IY288" s="20"/>
      <c r="IZ288" s="20"/>
      <c r="JA288" s="20"/>
      <c r="JB288" s="20"/>
      <c r="JC288" s="20"/>
      <c r="JD288" s="20"/>
      <c r="JE288" s="20"/>
      <c r="JF288" s="20"/>
      <c r="JG288" s="20"/>
      <c r="JH288" s="20"/>
      <c r="JI288" s="20"/>
    </row>
    <row r="289" spans="1:269">
      <c r="A289" s="61" ph="1"/>
      <c r="B289" s="20" ph="1"/>
      <c r="C289" s="20" ph="1"/>
      <c r="D289" s="27" ph="1"/>
      <c r="E289" s="27" ph="1"/>
      <c r="F289" s="27" ph="1"/>
      <c r="G289" s="18" ph="1"/>
      <c r="H289" s="27" ph="1"/>
      <c r="I289" s="27" ph="1"/>
      <c r="J289" s="18" ph="1"/>
      <c r="K289" s="27" ph="1"/>
      <c r="L289" s="27" ph="1"/>
      <c r="M289" s="18" ph="1"/>
      <c r="N289" s="27" ph="1"/>
      <c r="O289" s="27" ph="1"/>
      <c r="P289" s="18" ph="1"/>
      <c r="Q289" s="27" ph="1"/>
      <c r="R289" s="18" ph="1"/>
      <c r="S289" s="18" ph="1"/>
      <c r="T289" s="18" ph="1"/>
      <c r="U289" s="18" ph="1"/>
      <c r="V289" s="18" ph="1"/>
      <c r="W289" s="105" ph="1"/>
      <c r="X289" s="105" ph="1"/>
      <c r="Y289" s="18" ph="1"/>
      <c r="Z289" s="105" ph="1"/>
      <c r="AA289" s="105" ph="1"/>
      <c r="AB289" s="18" ph="1"/>
      <c r="AC289" s="105" ph="1"/>
      <c r="AD289" s="105" ph="1"/>
      <c r="AE289" s="18" ph="1"/>
      <c r="AF289" s="105" ph="1"/>
      <c r="AG289" s="105" ph="1"/>
      <c r="AH289" s="105" ph="1"/>
      <c r="AI289" s="105" ph="1"/>
      <c r="AJ289" s="105" ph="1"/>
      <c r="AK289" s="105" ph="1"/>
      <c r="AL289" s="105" ph="1"/>
      <c r="AM289" s="18" ph="1"/>
      <c r="AN289" s="105" ph="1"/>
      <c r="AO289" s="105" ph="1"/>
      <c r="AP289" s="105" ph="1"/>
      <c r="AQ289" s="18" ph="1"/>
      <c r="AR289" s="105" ph="1"/>
      <c r="AS289" s="105" ph="1"/>
      <c r="AT289" s="105" ph="1"/>
      <c r="AU289" s="18" ph="1"/>
      <c r="AV289" s="105" ph="1"/>
      <c r="AW289" s="105" ph="1"/>
      <c r="AX289" s="18" ph="1"/>
      <c r="AY289" s="105" ph="1"/>
      <c r="AZ289" s="105" ph="1"/>
      <c r="BA289" s="105" ph="1"/>
      <c r="BB289" s="105" ph="1"/>
      <c r="BC289" s="18" ph="1"/>
      <c r="BD289" s="89"/>
      <c r="BE289" s="89"/>
      <c r="BF289" s="89"/>
      <c r="BG289" s="89"/>
      <c r="BH289" s="89"/>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c r="DU289" s="20"/>
      <c r="DV289" s="20"/>
      <c r="DW289" s="20"/>
      <c r="DX289" s="20"/>
      <c r="DY289" s="20"/>
      <c r="DZ289" s="20"/>
      <c r="EA289" s="20"/>
      <c r="EB289" s="20"/>
      <c r="EC289" s="20"/>
      <c r="ED289" s="20"/>
      <c r="EE289" s="20"/>
      <c r="EF289" s="20"/>
      <c r="EG289" s="20"/>
      <c r="EH289" s="20"/>
      <c r="EI289" s="20"/>
      <c r="EJ289" s="20"/>
      <c r="EK289" s="20"/>
      <c r="EL289" s="20"/>
      <c r="EM289" s="20"/>
      <c r="EN289" s="20"/>
      <c r="EO289" s="20"/>
      <c r="EP289" s="20"/>
      <c r="EQ289" s="20"/>
      <c r="ER289" s="20"/>
      <c r="ES289" s="20"/>
      <c r="ET289" s="20"/>
      <c r="EU289" s="20"/>
      <c r="EV289" s="20"/>
      <c r="EW289" s="20"/>
      <c r="EX289" s="20"/>
      <c r="EY289" s="20"/>
      <c r="EZ289" s="20"/>
      <c r="FA289" s="20"/>
      <c r="FB289" s="20"/>
      <c r="FC289" s="20"/>
      <c r="FD289" s="20"/>
      <c r="FE289" s="20"/>
      <c r="FF289" s="20"/>
      <c r="FG289" s="20"/>
      <c r="FH289" s="20"/>
      <c r="FI289" s="20"/>
      <c r="FJ289" s="20"/>
      <c r="FK289" s="20"/>
      <c r="FL289" s="20"/>
      <c r="FM289" s="20"/>
      <c r="FN289" s="20"/>
      <c r="FO289" s="20"/>
      <c r="FP289" s="20"/>
      <c r="FQ289" s="20"/>
      <c r="FR289" s="20"/>
      <c r="FS289" s="20"/>
      <c r="FT289" s="20"/>
      <c r="FU289" s="20"/>
      <c r="FV289" s="20"/>
      <c r="FW289" s="20"/>
      <c r="FX289" s="20"/>
      <c r="FY289" s="20"/>
      <c r="FZ289" s="20"/>
      <c r="GA289" s="20"/>
      <c r="GB289" s="20"/>
      <c r="GC289" s="20"/>
      <c r="GD289" s="20"/>
      <c r="GE289" s="20"/>
      <c r="GF289" s="20"/>
      <c r="GG289" s="20"/>
      <c r="GH289" s="20"/>
      <c r="GI289" s="20"/>
      <c r="GJ289" s="20"/>
      <c r="GK289" s="20"/>
      <c r="GL289" s="20"/>
      <c r="GM289" s="20"/>
      <c r="GN289" s="20"/>
      <c r="GO289" s="20"/>
      <c r="GP289" s="20"/>
      <c r="GQ289" s="20"/>
      <c r="GR289" s="20"/>
      <c r="GS289" s="20"/>
      <c r="GT289" s="20"/>
      <c r="GU289" s="20"/>
      <c r="GV289" s="20"/>
      <c r="GW289" s="20"/>
      <c r="GX289" s="20"/>
      <c r="GY289" s="20"/>
      <c r="GZ289" s="20"/>
      <c r="HA289" s="20"/>
      <c r="HB289" s="20"/>
      <c r="HC289" s="20"/>
      <c r="HD289" s="20"/>
      <c r="HE289" s="20"/>
      <c r="HF289" s="20"/>
      <c r="HG289" s="20"/>
      <c r="HH289" s="20"/>
      <c r="HI289" s="20"/>
      <c r="HJ289" s="20"/>
      <c r="HK289" s="20"/>
      <c r="HL289" s="20"/>
      <c r="HM289" s="20"/>
      <c r="HN289" s="20"/>
      <c r="HO289" s="20"/>
      <c r="HP289" s="20"/>
      <c r="HQ289" s="20"/>
      <c r="HR289" s="20"/>
      <c r="HS289" s="20"/>
      <c r="HT289" s="20"/>
      <c r="HU289" s="20"/>
      <c r="HV289" s="20"/>
      <c r="HW289" s="20"/>
      <c r="HX289" s="20"/>
      <c r="HY289" s="20"/>
      <c r="HZ289" s="20"/>
      <c r="IA289" s="20"/>
      <c r="IB289" s="20"/>
      <c r="IC289" s="20"/>
      <c r="ID289" s="20"/>
      <c r="IE289" s="20"/>
      <c r="IF289" s="20"/>
      <c r="IG289" s="20"/>
      <c r="IH289" s="20"/>
      <c r="II289" s="20"/>
      <c r="IJ289" s="20"/>
      <c r="IK289" s="20"/>
      <c r="IL289" s="20"/>
      <c r="IM289" s="20"/>
      <c r="IN289" s="20"/>
      <c r="IO289" s="20"/>
      <c r="IP289" s="20"/>
      <c r="IQ289" s="20"/>
      <c r="IR289" s="20"/>
      <c r="IS289" s="20"/>
      <c r="IT289" s="20"/>
      <c r="IU289" s="20"/>
      <c r="IV289" s="20"/>
      <c r="IW289" s="20"/>
      <c r="IX289" s="20"/>
      <c r="IY289" s="20"/>
      <c r="IZ289" s="20"/>
      <c r="JA289" s="20"/>
      <c r="JB289" s="20"/>
      <c r="JC289" s="20"/>
      <c r="JD289" s="20"/>
      <c r="JE289" s="20"/>
      <c r="JF289" s="20"/>
      <c r="JG289" s="20"/>
      <c r="JH289" s="20"/>
      <c r="JI289" s="20"/>
    </row>
    <row r="290" spans="1:269">
      <c r="A290" s="61" ph="1"/>
      <c r="B290" s="20" ph="1"/>
      <c r="C290" s="20" ph="1"/>
      <c r="D290" s="27" ph="1"/>
      <c r="E290" s="27" ph="1"/>
      <c r="F290" s="27" ph="1"/>
      <c r="G290" s="18" ph="1"/>
      <c r="H290" s="27" ph="1"/>
      <c r="I290" s="27" ph="1"/>
      <c r="J290" s="18" ph="1"/>
      <c r="K290" s="27" ph="1"/>
      <c r="L290" s="27" ph="1"/>
      <c r="M290" s="18" ph="1"/>
      <c r="N290" s="27" ph="1"/>
      <c r="O290" s="27" ph="1"/>
      <c r="P290" s="18" ph="1"/>
      <c r="Q290" s="27" ph="1"/>
      <c r="R290" s="18" ph="1"/>
      <c r="S290" s="18" ph="1"/>
      <c r="T290" s="18" ph="1"/>
      <c r="U290" s="18" ph="1"/>
      <c r="V290" s="18" ph="1"/>
      <c r="W290" s="105" ph="1"/>
      <c r="X290" s="105" ph="1"/>
      <c r="Y290" s="18" ph="1"/>
      <c r="Z290" s="105" ph="1"/>
      <c r="AA290" s="105" ph="1"/>
      <c r="AB290" s="18" ph="1"/>
      <c r="AC290" s="105" ph="1"/>
      <c r="AD290" s="105" ph="1"/>
      <c r="AE290" s="18" ph="1"/>
      <c r="AF290" s="105" ph="1"/>
      <c r="AG290" s="105" ph="1"/>
      <c r="AH290" s="105" ph="1"/>
      <c r="AI290" s="105" ph="1"/>
      <c r="AJ290" s="105" ph="1"/>
      <c r="AK290" s="105" ph="1"/>
      <c r="AL290" s="105" ph="1"/>
      <c r="AM290" s="18" ph="1"/>
      <c r="AN290" s="105" ph="1"/>
      <c r="AO290" s="105" ph="1"/>
      <c r="AP290" s="105" ph="1"/>
      <c r="AQ290" s="18" ph="1"/>
      <c r="AR290" s="105" ph="1"/>
      <c r="AS290" s="105" ph="1"/>
      <c r="AT290" s="105" ph="1"/>
      <c r="AU290" s="18" ph="1"/>
      <c r="AV290" s="105" ph="1"/>
      <c r="AW290" s="105" ph="1"/>
      <c r="AX290" s="18" ph="1"/>
      <c r="AY290" s="105" ph="1"/>
      <c r="AZ290" s="105" ph="1"/>
      <c r="BA290" s="105" ph="1"/>
      <c r="BB290" s="105" ph="1"/>
      <c r="BC290" s="18" ph="1"/>
      <c r="BD290" s="89"/>
      <c r="BE290" s="89"/>
      <c r="BF290" s="89"/>
      <c r="BG290" s="89"/>
      <c r="BH290" s="89"/>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c r="DU290" s="20"/>
      <c r="DV290" s="20"/>
      <c r="DW290" s="20"/>
      <c r="DX290" s="20"/>
      <c r="DY290" s="20"/>
      <c r="DZ290" s="20"/>
      <c r="EA290" s="20"/>
      <c r="EB290" s="20"/>
      <c r="EC290" s="20"/>
      <c r="ED290" s="20"/>
      <c r="EE290" s="20"/>
      <c r="EF290" s="20"/>
      <c r="EG290" s="20"/>
      <c r="EH290" s="20"/>
      <c r="EI290" s="20"/>
      <c r="EJ290" s="20"/>
      <c r="EK290" s="20"/>
      <c r="EL290" s="20"/>
      <c r="EM290" s="20"/>
      <c r="EN290" s="20"/>
      <c r="EO290" s="20"/>
      <c r="EP290" s="20"/>
      <c r="EQ290" s="20"/>
      <c r="ER290" s="20"/>
      <c r="ES290" s="20"/>
      <c r="ET290" s="20"/>
      <c r="EU290" s="20"/>
      <c r="EV290" s="20"/>
      <c r="EW290" s="20"/>
      <c r="EX290" s="20"/>
      <c r="EY290" s="20"/>
      <c r="EZ290" s="20"/>
      <c r="FA290" s="20"/>
      <c r="FB290" s="20"/>
      <c r="FC290" s="20"/>
      <c r="FD290" s="20"/>
      <c r="FE290" s="20"/>
      <c r="FF290" s="20"/>
      <c r="FG290" s="20"/>
      <c r="FH290" s="20"/>
      <c r="FI290" s="20"/>
      <c r="FJ290" s="20"/>
      <c r="FK290" s="20"/>
      <c r="FL290" s="20"/>
      <c r="FM290" s="20"/>
      <c r="FN290" s="20"/>
      <c r="FO290" s="20"/>
      <c r="FP290" s="20"/>
      <c r="FQ290" s="20"/>
      <c r="FR290" s="20"/>
      <c r="FS290" s="20"/>
      <c r="FT290" s="20"/>
      <c r="FU290" s="20"/>
      <c r="FV290" s="20"/>
      <c r="FW290" s="20"/>
      <c r="FX290" s="20"/>
      <c r="FY290" s="20"/>
      <c r="FZ290" s="20"/>
      <c r="GA290" s="20"/>
      <c r="GB290" s="20"/>
      <c r="GC290" s="20"/>
      <c r="GD290" s="20"/>
      <c r="GE290" s="20"/>
      <c r="GF290" s="20"/>
      <c r="GG290" s="20"/>
      <c r="GH290" s="20"/>
      <c r="GI290" s="20"/>
      <c r="GJ290" s="20"/>
      <c r="GK290" s="20"/>
      <c r="GL290" s="20"/>
      <c r="GM290" s="20"/>
      <c r="GN290" s="20"/>
      <c r="GO290" s="20"/>
      <c r="GP290" s="20"/>
      <c r="GQ290" s="20"/>
      <c r="GR290" s="20"/>
      <c r="GS290" s="20"/>
      <c r="GT290" s="20"/>
      <c r="GU290" s="20"/>
      <c r="GV290" s="20"/>
      <c r="GW290" s="20"/>
      <c r="GX290" s="20"/>
      <c r="GY290" s="20"/>
      <c r="GZ290" s="20"/>
      <c r="HA290" s="20"/>
      <c r="HB290" s="20"/>
      <c r="HC290" s="20"/>
      <c r="HD290" s="20"/>
      <c r="HE290" s="20"/>
      <c r="HF290" s="20"/>
      <c r="HG290" s="20"/>
      <c r="HH290" s="20"/>
      <c r="HI290" s="20"/>
      <c r="HJ290" s="20"/>
      <c r="HK290" s="20"/>
      <c r="HL290" s="20"/>
      <c r="HM290" s="20"/>
      <c r="HN290" s="20"/>
      <c r="HO290" s="20"/>
      <c r="HP290" s="20"/>
      <c r="HQ290" s="20"/>
      <c r="HR290" s="20"/>
      <c r="HS290" s="20"/>
      <c r="HT290" s="20"/>
      <c r="HU290" s="20"/>
      <c r="HV290" s="20"/>
      <c r="HW290" s="20"/>
      <c r="HX290" s="20"/>
      <c r="HY290" s="20"/>
      <c r="HZ290" s="20"/>
      <c r="IA290" s="20"/>
      <c r="IB290" s="20"/>
      <c r="IC290" s="20"/>
      <c r="ID290" s="20"/>
      <c r="IE290" s="20"/>
      <c r="IF290" s="20"/>
      <c r="IG290" s="20"/>
      <c r="IH290" s="20"/>
      <c r="II290" s="20"/>
      <c r="IJ290" s="20"/>
      <c r="IK290" s="20"/>
      <c r="IL290" s="20"/>
      <c r="IM290" s="20"/>
      <c r="IN290" s="20"/>
      <c r="IO290" s="20"/>
      <c r="IP290" s="20"/>
      <c r="IQ290" s="20"/>
      <c r="IR290" s="20"/>
      <c r="IS290" s="20"/>
      <c r="IT290" s="20"/>
      <c r="IU290" s="20"/>
      <c r="IV290" s="20"/>
      <c r="IW290" s="20"/>
      <c r="IX290" s="20"/>
      <c r="IY290" s="20"/>
      <c r="IZ290" s="20"/>
      <c r="JA290" s="20"/>
      <c r="JB290" s="20"/>
      <c r="JC290" s="20"/>
      <c r="JD290" s="20"/>
      <c r="JE290" s="20"/>
      <c r="JF290" s="20"/>
      <c r="JG290" s="20"/>
      <c r="JH290" s="20"/>
      <c r="JI290" s="20"/>
    </row>
    <row r="291" spans="1:269">
      <c r="A291" s="61" ph="1"/>
      <c r="B291" s="20" ph="1"/>
      <c r="C291" s="20" ph="1"/>
      <c r="D291" s="27" ph="1"/>
      <c r="E291" s="27" ph="1"/>
      <c r="F291" s="27" ph="1"/>
      <c r="G291" s="18" ph="1"/>
      <c r="H291" s="27" ph="1"/>
      <c r="I291" s="27" ph="1"/>
      <c r="J291" s="18" ph="1"/>
      <c r="K291" s="27" ph="1"/>
      <c r="L291" s="27" ph="1"/>
      <c r="M291" s="18" ph="1"/>
      <c r="N291" s="27" ph="1"/>
      <c r="O291" s="27" ph="1"/>
      <c r="P291" s="18" ph="1"/>
      <c r="Q291" s="27" ph="1"/>
      <c r="R291" s="18" ph="1"/>
      <c r="S291" s="18" ph="1"/>
      <c r="T291" s="18" ph="1"/>
      <c r="U291" s="18" ph="1"/>
      <c r="V291" s="18" ph="1"/>
      <c r="W291" s="105" ph="1"/>
      <c r="X291" s="105" ph="1"/>
      <c r="Y291" s="18" ph="1"/>
      <c r="Z291" s="105" ph="1"/>
      <c r="AA291" s="105" ph="1"/>
      <c r="AB291" s="18" ph="1"/>
      <c r="AC291" s="105" ph="1"/>
      <c r="AD291" s="105" ph="1"/>
      <c r="AE291" s="18" ph="1"/>
      <c r="AF291" s="105" ph="1"/>
      <c r="AG291" s="105" ph="1"/>
      <c r="AH291" s="105" ph="1"/>
      <c r="AI291" s="105" ph="1"/>
      <c r="AJ291" s="105" ph="1"/>
      <c r="AK291" s="105" ph="1"/>
      <c r="AL291" s="105" ph="1"/>
      <c r="AM291" s="18" ph="1"/>
      <c r="AN291" s="105" ph="1"/>
      <c r="AO291" s="105" ph="1"/>
      <c r="AP291" s="105" ph="1"/>
      <c r="AQ291" s="18" ph="1"/>
      <c r="AR291" s="105" ph="1"/>
      <c r="AS291" s="105" ph="1"/>
      <c r="AT291" s="105" ph="1"/>
      <c r="AU291" s="18" ph="1"/>
      <c r="AV291" s="105" ph="1"/>
      <c r="AW291" s="105" ph="1"/>
      <c r="AX291" s="18" ph="1"/>
      <c r="AY291" s="105" ph="1"/>
      <c r="AZ291" s="105" ph="1"/>
      <c r="BA291" s="105" ph="1"/>
      <c r="BB291" s="105" ph="1"/>
      <c r="BC291" s="18" ph="1"/>
      <c r="BD291" s="89"/>
      <c r="BE291" s="89"/>
      <c r="BF291" s="89"/>
      <c r="BG291" s="89"/>
      <c r="BH291" s="89"/>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c r="DU291" s="20"/>
      <c r="DV291" s="20"/>
      <c r="DW291" s="20"/>
      <c r="DX291" s="20"/>
      <c r="DY291" s="20"/>
      <c r="DZ291" s="20"/>
      <c r="EA291" s="20"/>
      <c r="EB291" s="20"/>
      <c r="EC291" s="20"/>
      <c r="ED291" s="20"/>
      <c r="EE291" s="20"/>
      <c r="EF291" s="20"/>
      <c r="EG291" s="20"/>
      <c r="EH291" s="20"/>
      <c r="EI291" s="20"/>
      <c r="EJ291" s="20"/>
      <c r="EK291" s="20"/>
      <c r="EL291" s="20"/>
      <c r="EM291" s="20"/>
      <c r="EN291" s="20"/>
      <c r="EO291" s="20"/>
      <c r="EP291" s="20"/>
      <c r="EQ291" s="20"/>
      <c r="ER291" s="20"/>
      <c r="ES291" s="20"/>
      <c r="ET291" s="20"/>
      <c r="EU291" s="20"/>
      <c r="EV291" s="20"/>
      <c r="EW291" s="20"/>
      <c r="EX291" s="20"/>
      <c r="EY291" s="20"/>
      <c r="EZ291" s="20"/>
      <c r="FA291" s="20"/>
      <c r="FB291" s="20"/>
      <c r="FC291" s="20"/>
      <c r="FD291" s="20"/>
      <c r="FE291" s="20"/>
      <c r="FF291" s="20"/>
      <c r="FG291" s="20"/>
      <c r="FH291" s="20"/>
      <c r="FI291" s="20"/>
      <c r="FJ291" s="20"/>
      <c r="FK291" s="20"/>
      <c r="FL291" s="20"/>
      <c r="FM291" s="20"/>
      <c r="FN291" s="20"/>
      <c r="FO291" s="20"/>
      <c r="FP291" s="20"/>
      <c r="FQ291" s="20"/>
      <c r="FR291" s="20"/>
      <c r="FS291" s="20"/>
      <c r="FT291" s="20"/>
      <c r="FU291" s="20"/>
      <c r="FV291" s="20"/>
      <c r="FW291" s="20"/>
      <c r="FX291" s="20"/>
      <c r="FY291" s="20"/>
      <c r="FZ291" s="20"/>
      <c r="GA291" s="20"/>
      <c r="GB291" s="20"/>
      <c r="GC291" s="20"/>
      <c r="GD291" s="20"/>
      <c r="GE291" s="20"/>
      <c r="GF291" s="20"/>
      <c r="GG291" s="20"/>
      <c r="GH291" s="20"/>
      <c r="GI291" s="20"/>
      <c r="GJ291" s="20"/>
      <c r="GK291" s="20"/>
      <c r="GL291" s="20"/>
      <c r="GM291" s="20"/>
      <c r="GN291" s="20"/>
      <c r="GO291" s="20"/>
      <c r="GP291" s="20"/>
      <c r="GQ291" s="20"/>
      <c r="GR291" s="20"/>
      <c r="GS291" s="20"/>
      <c r="GT291" s="20"/>
      <c r="GU291" s="20"/>
      <c r="GV291" s="20"/>
      <c r="GW291" s="20"/>
      <c r="GX291" s="20"/>
      <c r="GY291" s="20"/>
      <c r="GZ291" s="20"/>
      <c r="HA291" s="20"/>
      <c r="HB291" s="20"/>
      <c r="HC291" s="20"/>
      <c r="HD291" s="20"/>
      <c r="HE291" s="20"/>
      <c r="HF291" s="20"/>
      <c r="HG291" s="20"/>
      <c r="HH291" s="20"/>
      <c r="HI291" s="20"/>
      <c r="HJ291" s="20"/>
      <c r="HK291" s="20"/>
      <c r="HL291" s="20"/>
      <c r="HM291" s="20"/>
      <c r="HN291" s="20"/>
      <c r="HO291" s="20"/>
      <c r="HP291" s="20"/>
      <c r="HQ291" s="20"/>
      <c r="HR291" s="20"/>
      <c r="HS291" s="20"/>
      <c r="HT291" s="20"/>
      <c r="HU291" s="20"/>
      <c r="HV291" s="20"/>
      <c r="HW291" s="20"/>
      <c r="HX291" s="20"/>
      <c r="HY291" s="20"/>
      <c r="HZ291" s="20"/>
      <c r="IA291" s="20"/>
      <c r="IB291" s="20"/>
      <c r="IC291" s="20"/>
      <c r="ID291" s="20"/>
      <c r="IE291" s="20"/>
      <c r="IF291" s="20"/>
      <c r="IG291" s="20"/>
      <c r="IH291" s="20"/>
      <c r="II291" s="20"/>
      <c r="IJ291" s="20"/>
      <c r="IK291" s="20"/>
      <c r="IL291" s="20"/>
      <c r="IM291" s="20"/>
      <c r="IN291" s="20"/>
      <c r="IO291" s="20"/>
      <c r="IP291" s="20"/>
      <c r="IQ291" s="20"/>
      <c r="IR291" s="20"/>
      <c r="IS291" s="20"/>
      <c r="IT291" s="20"/>
      <c r="IU291" s="20"/>
      <c r="IV291" s="20"/>
      <c r="IW291" s="20"/>
      <c r="IX291" s="20"/>
      <c r="IY291" s="20"/>
      <c r="IZ291" s="20"/>
      <c r="JA291" s="20"/>
      <c r="JB291" s="20"/>
      <c r="JC291" s="20"/>
      <c r="JD291" s="20"/>
      <c r="JE291" s="20"/>
      <c r="JF291" s="20"/>
      <c r="JG291" s="20"/>
      <c r="JH291" s="20"/>
      <c r="JI291" s="20"/>
    </row>
    <row r="292" spans="1:269">
      <c r="A292" s="61" ph="1"/>
      <c r="B292" s="20" ph="1"/>
      <c r="C292" s="20" ph="1"/>
      <c r="D292" s="27" ph="1"/>
      <c r="E292" s="27" ph="1"/>
      <c r="F292" s="27" ph="1"/>
      <c r="G292" s="18" ph="1"/>
      <c r="H292" s="27" ph="1"/>
      <c r="I292" s="27" ph="1"/>
      <c r="J292" s="18" ph="1"/>
      <c r="K292" s="27" ph="1"/>
      <c r="L292" s="27" ph="1"/>
      <c r="M292" s="18" ph="1"/>
      <c r="N292" s="27" ph="1"/>
      <c r="O292" s="27" ph="1"/>
      <c r="P292" s="18" ph="1"/>
      <c r="Q292" s="27" ph="1"/>
      <c r="R292" s="18" ph="1"/>
      <c r="S292" s="18" ph="1"/>
      <c r="T292" s="18" ph="1"/>
      <c r="U292" s="18" ph="1"/>
      <c r="V292" s="18" ph="1"/>
      <c r="W292" s="105" ph="1"/>
      <c r="X292" s="105" ph="1"/>
      <c r="Y292" s="18" ph="1"/>
      <c r="Z292" s="105" ph="1"/>
      <c r="AA292" s="105" ph="1"/>
      <c r="AB292" s="18" ph="1"/>
      <c r="AC292" s="105" ph="1"/>
      <c r="AD292" s="105" ph="1"/>
      <c r="AE292" s="18" ph="1"/>
      <c r="AF292" s="105" ph="1"/>
      <c r="AG292" s="105" ph="1"/>
      <c r="AH292" s="105" ph="1"/>
      <c r="AI292" s="105" ph="1"/>
      <c r="AJ292" s="105" ph="1"/>
      <c r="AK292" s="105" ph="1"/>
      <c r="AL292" s="105" ph="1"/>
      <c r="AM292" s="18" ph="1"/>
      <c r="AN292" s="105" ph="1"/>
      <c r="AO292" s="105" ph="1"/>
      <c r="AP292" s="105" ph="1"/>
      <c r="AQ292" s="18" ph="1"/>
      <c r="AR292" s="105" ph="1"/>
      <c r="AS292" s="105" ph="1"/>
      <c r="AT292" s="105" ph="1"/>
      <c r="AU292" s="18" ph="1"/>
      <c r="AV292" s="105" ph="1"/>
      <c r="AW292" s="105" ph="1"/>
      <c r="AX292" s="18" ph="1"/>
      <c r="AY292" s="105" ph="1"/>
      <c r="AZ292" s="105" ph="1"/>
      <c r="BA292" s="105" ph="1"/>
      <c r="BB292" s="105" ph="1"/>
      <c r="BC292" s="18" ph="1"/>
      <c r="BD292" s="89"/>
      <c r="BE292" s="89"/>
      <c r="BF292" s="89"/>
      <c r="BG292" s="89"/>
      <c r="BH292" s="89"/>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c r="DU292" s="20"/>
      <c r="DV292" s="20"/>
      <c r="DW292" s="20"/>
      <c r="DX292" s="20"/>
      <c r="DY292" s="20"/>
      <c r="DZ292" s="20"/>
      <c r="EA292" s="20"/>
      <c r="EB292" s="20"/>
      <c r="EC292" s="20"/>
      <c r="ED292" s="20"/>
      <c r="EE292" s="20"/>
      <c r="EF292" s="20"/>
      <c r="EG292" s="20"/>
      <c r="EH292" s="20"/>
      <c r="EI292" s="20"/>
      <c r="EJ292" s="20"/>
      <c r="EK292" s="20"/>
      <c r="EL292" s="20"/>
      <c r="EM292" s="20"/>
      <c r="EN292" s="20"/>
      <c r="EO292" s="20"/>
      <c r="EP292" s="20"/>
      <c r="EQ292" s="20"/>
      <c r="ER292" s="20"/>
      <c r="ES292" s="20"/>
      <c r="ET292" s="20"/>
      <c r="EU292" s="20"/>
      <c r="EV292" s="20"/>
      <c r="EW292" s="20"/>
      <c r="EX292" s="20"/>
      <c r="EY292" s="20"/>
      <c r="EZ292" s="20"/>
      <c r="FA292" s="20"/>
      <c r="FB292" s="20"/>
      <c r="FC292" s="20"/>
      <c r="FD292" s="20"/>
      <c r="FE292" s="20"/>
      <c r="FF292" s="20"/>
      <c r="FG292" s="20"/>
      <c r="FH292" s="20"/>
      <c r="FI292" s="20"/>
      <c r="FJ292" s="20"/>
      <c r="FK292" s="20"/>
      <c r="FL292" s="20"/>
      <c r="FM292" s="20"/>
      <c r="FN292" s="20"/>
      <c r="FO292" s="20"/>
      <c r="FP292" s="20"/>
      <c r="FQ292" s="20"/>
      <c r="FR292" s="20"/>
      <c r="FS292" s="20"/>
      <c r="FT292" s="20"/>
      <c r="FU292" s="20"/>
      <c r="FV292" s="20"/>
      <c r="FW292" s="20"/>
      <c r="FX292" s="20"/>
      <c r="FY292" s="20"/>
      <c r="FZ292" s="20"/>
      <c r="GA292" s="20"/>
      <c r="GB292" s="20"/>
      <c r="GC292" s="20"/>
      <c r="GD292" s="20"/>
      <c r="GE292" s="20"/>
      <c r="GF292" s="20"/>
      <c r="GG292" s="20"/>
      <c r="GH292" s="20"/>
      <c r="GI292" s="20"/>
      <c r="GJ292" s="20"/>
      <c r="GK292" s="20"/>
      <c r="GL292" s="20"/>
      <c r="GM292" s="20"/>
      <c r="GN292" s="20"/>
      <c r="GO292" s="20"/>
      <c r="GP292" s="20"/>
      <c r="GQ292" s="20"/>
      <c r="GR292" s="20"/>
      <c r="GS292" s="20"/>
      <c r="GT292" s="20"/>
      <c r="GU292" s="20"/>
      <c r="GV292" s="20"/>
      <c r="GW292" s="20"/>
      <c r="GX292" s="20"/>
      <c r="GY292" s="20"/>
      <c r="GZ292" s="20"/>
      <c r="HA292" s="20"/>
      <c r="HB292" s="20"/>
      <c r="HC292" s="20"/>
      <c r="HD292" s="20"/>
      <c r="HE292" s="20"/>
      <c r="HF292" s="20"/>
      <c r="HG292" s="20"/>
      <c r="HH292" s="20"/>
      <c r="HI292" s="20"/>
      <c r="HJ292" s="20"/>
      <c r="HK292" s="20"/>
      <c r="HL292" s="20"/>
      <c r="HM292" s="20"/>
      <c r="HN292" s="20"/>
      <c r="HO292" s="20"/>
      <c r="HP292" s="20"/>
      <c r="HQ292" s="20"/>
      <c r="HR292" s="20"/>
      <c r="HS292" s="20"/>
      <c r="HT292" s="20"/>
      <c r="HU292" s="20"/>
      <c r="HV292" s="20"/>
      <c r="HW292" s="20"/>
      <c r="HX292" s="20"/>
      <c r="HY292" s="20"/>
      <c r="HZ292" s="20"/>
      <c r="IA292" s="20"/>
      <c r="IB292" s="20"/>
      <c r="IC292" s="20"/>
      <c r="ID292" s="20"/>
      <c r="IE292" s="20"/>
      <c r="IF292" s="20"/>
      <c r="IG292" s="20"/>
      <c r="IH292" s="20"/>
      <c r="II292" s="20"/>
      <c r="IJ292" s="20"/>
      <c r="IK292" s="20"/>
      <c r="IL292" s="20"/>
      <c r="IM292" s="20"/>
      <c r="IN292" s="20"/>
      <c r="IO292" s="20"/>
      <c r="IP292" s="20"/>
      <c r="IQ292" s="20"/>
      <c r="IR292" s="20"/>
      <c r="IS292" s="20"/>
      <c r="IT292" s="20"/>
      <c r="IU292" s="20"/>
      <c r="IV292" s="20"/>
      <c r="IW292" s="20"/>
      <c r="IX292" s="20"/>
      <c r="IY292" s="20"/>
      <c r="IZ292" s="20"/>
      <c r="JA292" s="20"/>
      <c r="JB292" s="20"/>
      <c r="JC292" s="20"/>
      <c r="JD292" s="20"/>
      <c r="JE292" s="20"/>
      <c r="JF292" s="20"/>
      <c r="JG292" s="20"/>
      <c r="JH292" s="20"/>
      <c r="JI292" s="20"/>
    </row>
    <row r="293" spans="1:269">
      <c r="A293" s="61" ph="1"/>
      <c r="B293" s="20" ph="1"/>
      <c r="C293" s="20" ph="1"/>
      <c r="D293" s="27" ph="1"/>
      <c r="E293" s="27" ph="1"/>
      <c r="F293" s="27" ph="1"/>
      <c r="G293" s="18" ph="1"/>
      <c r="H293" s="27" ph="1"/>
      <c r="I293" s="27" ph="1"/>
      <c r="J293" s="18" ph="1"/>
      <c r="K293" s="27" ph="1"/>
      <c r="L293" s="27" ph="1"/>
      <c r="M293" s="18" ph="1"/>
      <c r="N293" s="27" ph="1"/>
      <c r="O293" s="27" ph="1"/>
      <c r="P293" s="18" ph="1"/>
      <c r="Q293" s="27" ph="1"/>
      <c r="R293" s="18" ph="1"/>
      <c r="S293" s="18" ph="1"/>
      <c r="T293" s="18" ph="1"/>
      <c r="U293" s="18" ph="1"/>
      <c r="V293" s="18" ph="1"/>
      <c r="W293" s="105" ph="1"/>
      <c r="X293" s="105" ph="1"/>
      <c r="Y293" s="18" ph="1"/>
      <c r="Z293" s="105" ph="1"/>
      <c r="AA293" s="105" ph="1"/>
      <c r="AB293" s="18" ph="1"/>
      <c r="AC293" s="105" ph="1"/>
      <c r="AD293" s="105" ph="1"/>
      <c r="AE293" s="18" ph="1"/>
      <c r="AF293" s="105" ph="1"/>
      <c r="AG293" s="105" ph="1"/>
      <c r="AH293" s="105" ph="1"/>
      <c r="AI293" s="105" ph="1"/>
      <c r="AJ293" s="105" ph="1"/>
      <c r="AK293" s="105" ph="1"/>
      <c r="AL293" s="105" ph="1"/>
      <c r="AM293" s="18" ph="1"/>
      <c r="AN293" s="105" ph="1"/>
      <c r="AO293" s="105" ph="1"/>
      <c r="AP293" s="105" ph="1"/>
      <c r="AQ293" s="18" ph="1"/>
      <c r="AR293" s="105" ph="1"/>
      <c r="AS293" s="105" ph="1"/>
      <c r="AT293" s="105" ph="1"/>
      <c r="AU293" s="18" ph="1"/>
      <c r="AV293" s="105" ph="1"/>
      <c r="AW293" s="105" ph="1"/>
      <c r="AX293" s="18" ph="1"/>
      <c r="AY293" s="105" ph="1"/>
      <c r="AZ293" s="105" ph="1"/>
      <c r="BA293" s="105" ph="1"/>
      <c r="BB293" s="105" ph="1"/>
      <c r="BC293" s="18" ph="1"/>
      <c r="BD293" s="89"/>
      <c r="BE293" s="89"/>
      <c r="BF293" s="89"/>
      <c r="BG293" s="89"/>
      <c r="BH293" s="89"/>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c r="DU293" s="20"/>
      <c r="DV293" s="20"/>
      <c r="DW293" s="20"/>
      <c r="DX293" s="20"/>
      <c r="DY293" s="20"/>
      <c r="DZ293" s="20"/>
      <c r="EA293" s="20"/>
      <c r="EB293" s="20"/>
      <c r="EC293" s="20"/>
      <c r="ED293" s="20"/>
      <c r="EE293" s="20"/>
      <c r="EF293" s="20"/>
      <c r="EG293" s="20"/>
      <c r="EH293" s="20"/>
      <c r="EI293" s="20"/>
      <c r="EJ293" s="20"/>
      <c r="EK293" s="20"/>
      <c r="EL293" s="20"/>
      <c r="EM293" s="20"/>
      <c r="EN293" s="20"/>
      <c r="EO293" s="20"/>
      <c r="EP293" s="20"/>
      <c r="EQ293" s="20"/>
      <c r="ER293" s="20"/>
      <c r="ES293" s="20"/>
      <c r="ET293" s="20"/>
      <c r="EU293" s="20"/>
      <c r="EV293" s="20"/>
      <c r="EW293" s="20"/>
      <c r="EX293" s="20"/>
      <c r="EY293" s="20"/>
      <c r="EZ293" s="20"/>
      <c r="FA293" s="20"/>
      <c r="FB293" s="20"/>
      <c r="FC293" s="20"/>
      <c r="FD293" s="20"/>
      <c r="FE293" s="20"/>
      <c r="FF293" s="20"/>
      <c r="FG293" s="20"/>
      <c r="FH293" s="20"/>
      <c r="FI293" s="20"/>
      <c r="FJ293" s="20"/>
      <c r="FK293" s="20"/>
      <c r="FL293" s="20"/>
      <c r="FM293" s="20"/>
      <c r="FN293" s="20"/>
      <c r="FO293" s="20"/>
      <c r="FP293" s="20"/>
      <c r="FQ293" s="20"/>
      <c r="FR293" s="20"/>
      <c r="FS293" s="20"/>
      <c r="FT293" s="20"/>
      <c r="FU293" s="20"/>
      <c r="FV293" s="20"/>
      <c r="FW293" s="20"/>
      <c r="FX293" s="20"/>
      <c r="FY293" s="20"/>
      <c r="FZ293" s="20"/>
      <c r="GA293" s="20"/>
      <c r="GB293" s="20"/>
      <c r="GC293" s="20"/>
      <c r="GD293" s="20"/>
      <c r="GE293" s="20"/>
      <c r="GF293" s="20"/>
      <c r="GG293" s="20"/>
      <c r="GH293" s="20"/>
      <c r="GI293" s="20"/>
      <c r="GJ293" s="20"/>
      <c r="GK293" s="20"/>
      <c r="GL293" s="20"/>
      <c r="GM293" s="20"/>
      <c r="GN293" s="20"/>
      <c r="GO293" s="20"/>
      <c r="GP293" s="20"/>
      <c r="GQ293" s="20"/>
      <c r="GR293" s="20"/>
      <c r="GS293" s="20"/>
      <c r="GT293" s="20"/>
      <c r="GU293" s="20"/>
      <c r="GV293" s="20"/>
      <c r="GW293" s="20"/>
      <c r="GX293" s="20"/>
      <c r="GY293" s="20"/>
      <c r="GZ293" s="20"/>
      <c r="HA293" s="20"/>
      <c r="HB293" s="20"/>
      <c r="HC293" s="20"/>
      <c r="HD293" s="20"/>
      <c r="HE293" s="20"/>
      <c r="HF293" s="20"/>
      <c r="HG293" s="20"/>
      <c r="HH293" s="20"/>
      <c r="HI293" s="20"/>
      <c r="HJ293" s="20"/>
      <c r="HK293" s="20"/>
      <c r="HL293" s="20"/>
      <c r="HM293" s="20"/>
      <c r="HN293" s="20"/>
      <c r="HO293" s="20"/>
      <c r="HP293" s="20"/>
      <c r="HQ293" s="20"/>
      <c r="HR293" s="20"/>
      <c r="HS293" s="20"/>
      <c r="HT293" s="20"/>
      <c r="HU293" s="20"/>
      <c r="HV293" s="20"/>
      <c r="HW293" s="20"/>
      <c r="HX293" s="20"/>
      <c r="HY293" s="20"/>
      <c r="HZ293" s="20"/>
      <c r="IA293" s="20"/>
      <c r="IB293" s="20"/>
      <c r="IC293" s="20"/>
      <c r="ID293" s="20"/>
      <c r="IE293" s="20"/>
      <c r="IF293" s="20"/>
      <c r="IG293" s="20"/>
      <c r="IH293" s="20"/>
      <c r="II293" s="20"/>
      <c r="IJ293" s="20"/>
      <c r="IK293" s="20"/>
      <c r="IL293" s="20"/>
      <c r="IM293" s="20"/>
      <c r="IN293" s="20"/>
      <c r="IO293" s="20"/>
      <c r="IP293" s="20"/>
      <c r="IQ293" s="20"/>
      <c r="IR293" s="20"/>
      <c r="IS293" s="20"/>
      <c r="IT293" s="20"/>
      <c r="IU293" s="20"/>
      <c r="IV293" s="20"/>
      <c r="IW293" s="20"/>
      <c r="IX293" s="20"/>
      <c r="IY293" s="20"/>
      <c r="IZ293" s="20"/>
      <c r="JA293" s="20"/>
      <c r="JB293" s="20"/>
      <c r="JC293" s="20"/>
      <c r="JD293" s="20"/>
      <c r="JE293" s="20"/>
      <c r="JF293" s="20"/>
      <c r="JG293" s="20"/>
      <c r="JH293" s="20"/>
      <c r="JI293" s="20"/>
    </row>
    <row r="294" spans="1:269">
      <c r="A294" s="61" ph="1"/>
      <c r="B294" s="20" ph="1"/>
      <c r="C294" s="20" ph="1"/>
      <c r="D294" s="27" ph="1"/>
      <c r="E294" s="27" ph="1"/>
      <c r="F294" s="27" ph="1"/>
      <c r="G294" s="18" ph="1"/>
      <c r="H294" s="27" ph="1"/>
      <c r="I294" s="27" ph="1"/>
      <c r="J294" s="18" ph="1"/>
      <c r="K294" s="27" ph="1"/>
      <c r="L294" s="27" ph="1"/>
      <c r="M294" s="18" ph="1"/>
      <c r="N294" s="27" ph="1"/>
      <c r="O294" s="27" ph="1"/>
      <c r="P294" s="18" ph="1"/>
      <c r="Q294" s="27" ph="1"/>
      <c r="R294" s="18" ph="1"/>
      <c r="S294" s="18" ph="1"/>
      <c r="T294" s="18" ph="1"/>
      <c r="U294" s="18" ph="1"/>
      <c r="V294" s="18" ph="1"/>
      <c r="W294" s="105" ph="1"/>
      <c r="X294" s="105" ph="1"/>
      <c r="Y294" s="18" ph="1"/>
      <c r="Z294" s="105" ph="1"/>
      <c r="AA294" s="105" ph="1"/>
      <c r="AB294" s="18" ph="1"/>
      <c r="AC294" s="105" ph="1"/>
      <c r="AD294" s="105" ph="1"/>
      <c r="AE294" s="18" ph="1"/>
      <c r="AF294" s="105" ph="1"/>
      <c r="AG294" s="105" ph="1"/>
      <c r="AH294" s="105" ph="1"/>
      <c r="AI294" s="105" ph="1"/>
      <c r="AJ294" s="105" ph="1"/>
      <c r="AK294" s="105" ph="1"/>
      <c r="AL294" s="105" ph="1"/>
      <c r="AM294" s="18" ph="1"/>
      <c r="AN294" s="105" ph="1"/>
      <c r="AO294" s="105" ph="1"/>
      <c r="AP294" s="105" ph="1"/>
      <c r="AQ294" s="18" ph="1"/>
      <c r="AR294" s="105" ph="1"/>
      <c r="AS294" s="105" ph="1"/>
      <c r="AT294" s="105" ph="1"/>
      <c r="AU294" s="18" ph="1"/>
      <c r="AV294" s="105" ph="1"/>
      <c r="AW294" s="105" ph="1"/>
      <c r="AX294" s="18" ph="1"/>
      <c r="AY294" s="105" ph="1"/>
      <c r="AZ294" s="105" ph="1"/>
      <c r="BA294" s="105" ph="1"/>
      <c r="BB294" s="105" ph="1"/>
      <c r="BC294" s="18" ph="1"/>
      <c r="BD294" s="89"/>
      <c r="BE294" s="89"/>
      <c r="BF294" s="89"/>
      <c r="BG294" s="89"/>
      <c r="BH294" s="89"/>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c r="DU294" s="20"/>
      <c r="DV294" s="20"/>
      <c r="DW294" s="20"/>
      <c r="DX294" s="20"/>
      <c r="DY294" s="20"/>
      <c r="DZ294" s="20"/>
      <c r="EA294" s="20"/>
      <c r="EB294" s="20"/>
      <c r="EC294" s="20"/>
      <c r="ED294" s="20"/>
      <c r="EE294" s="20"/>
      <c r="EF294" s="20"/>
      <c r="EG294" s="20"/>
      <c r="EH294" s="20"/>
      <c r="EI294" s="20"/>
      <c r="EJ294" s="20"/>
      <c r="EK294" s="20"/>
      <c r="EL294" s="20"/>
      <c r="EM294" s="20"/>
      <c r="EN294" s="20"/>
      <c r="EO294" s="20"/>
      <c r="EP294" s="20"/>
      <c r="EQ294" s="20"/>
      <c r="ER294" s="20"/>
      <c r="ES294" s="20"/>
      <c r="ET294" s="20"/>
      <c r="EU294" s="20"/>
      <c r="EV294" s="20"/>
      <c r="EW294" s="20"/>
      <c r="EX294" s="20"/>
      <c r="EY294" s="20"/>
      <c r="EZ294" s="20"/>
      <c r="FA294" s="20"/>
      <c r="FB294" s="20"/>
      <c r="FC294" s="20"/>
      <c r="FD294" s="20"/>
      <c r="FE294" s="20"/>
      <c r="FF294" s="20"/>
      <c r="FG294" s="20"/>
      <c r="FH294" s="20"/>
      <c r="FI294" s="20"/>
      <c r="FJ294" s="20"/>
      <c r="FK294" s="20"/>
      <c r="FL294" s="20"/>
      <c r="FM294" s="20"/>
      <c r="FN294" s="20"/>
      <c r="FO294" s="20"/>
      <c r="FP294" s="20"/>
      <c r="FQ294" s="20"/>
      <c r="FR294" s="20"/>
      <c r="FS294" s="20"/>
      <c r="FT294" s="20"/>
      <c r="FU294" s="20"/>
      <c r="FV294" s="20"/>
      <c r="FW294" s="20"/>
      <c r="FX294" s="20"/>
      <c r="FY294" s="20"/>
      <c r="FZ294" s="20"/>
      <c r="GA294" s="20"/>
      <c r="GB294" s="20"/>
      <c r="GC294" s="20"/>
      <c r="GD294" s="20"/>
      <c r="GE294" s="20"/>
      <c r="GF294" s="20"/>
      <c r="GG294" s="20"/>
      <c r="GH294" s="20"/>
      <c r="GI294" s="20"/>
      <c r="GJ294" s="20"/>
      <c r="GK294" s="20"/>
      <c r="GL294" s="20"/>
      <c r="GM294" s="20"/>
      <c r="GN294" s="20"/>
      <c r="GO294" s="20"/>
      <c r="GP294" s="20"/>
      <c r="GQ294" s="20"/>
      <c r="GR294" s="20"/>
      <c r="GS294" s="20"/>
      <c r="GT294" s="20"/>
      <c r="GU294" s="20"/>
      <c r="GV294" s="20"/>
      <c r="GW294" s="20"/>
      <c r="GX294" s="20"/>
      <c r="GY294" s="20"/>
      <c r="GZ294" s="20"/>
      <c r="HA294" s="20"/>
      <c r="HB294" s="20"/>
      <c r="HC294" s="20"/>
      <c r="HD294" s="20"/>
      <c r="HE294" s="20"/>
      <c r="HF294" s="20"/>
      <c r="HG294" s="20"/>
      <c r="HH294" s="20"/>
      <c r="HI294" s="20"/>
      <c r="HJ294" s="20"/>
      <c r="HK294" s="20"/>
      <c r="HL294" s="20"/>
      <c r="HM294" s="20"/>
      <c r="HN294" s="20"/>
      <c r="HO294" s="20"/>
      <c r="HP294" s="20"/>
      <c r="HQ294" s="20"/>
      <c r="HR294" s="20"/>
      <c r="HS294" s="20"/>
      <c r="HT294" s="20"/>
      <c r="HU294" s="20"/>
      <c r="HV294" s="20"/>
      <c r="HW294" s="20"/>
      <c r="HX294" s="20"/>
      <c r="HY294" s="20"/>
      <c r="HZ294" s="20"/>
      <c r="IA294" s="20"/>
      <c r="IB294" s="20"/>
      <c r="IC294" s="20"/>
      <c r="ID294" s="20"/>
      <c r="IE294" s="20"/>
      <c r="IF294" s="20"/>
      <c r="IG294" s="20"/>
      <c r="IH294" s="20"/>
      <c r="II294" s="20"/>
      <c r="IJ294" s="20"/>
      <c r="IK294" s="20"/>
      <c r="IL294" s="20"/>
      <c r="IM294" s="20"/>
      <c r="IN294" s="20"/>
      <c r="IO294" s="20"/>
      <c r="IP294" s="20"/>
      <c r="IQ294" s="20"/>
      <c r="IR294" s="20"/>
      <c r="IS294" s="20"/>
      <c r="IT294" s="20"/>
      <c r="IU294" s="20"/>
      <c r="IV294" s="20"/>
      <c r="IW294" s="20"/>
      <c r="IX294" s="20"/>
      <c r="IY294" s="20"/>
      <c r="IZ294" s="20"/>
      <c r="JA294" s="20"/>
      <c r="JB294" s="20"/>
      <c r="JC294" s="20"/>
      <c r="JD294" s="20"/>
      <c r="JE294" s="20"/>
      <c r="JF294" s="20"/>
      <c r="JG294" s="20"/>
      <c r="JH294" s="20"/>
      <c r="JI294" s="20"/>
    </row>
    <row r="295" spans="1:269">
      <c r="A295" s="61" ph="1"/>
      <c r="B295" s="20" ph="1"/>
      <c r="C295" s="20" ph="1"/>
      <c r="D295" s="27" ph="1"/>
      <c r="E295" s="27" ph="1"/>
      <c r="F295" s="27" ph="1"/>
      <c r="G295" s="18" ph="1"/>
      <c r="H295" s="27" ph="1"/>
      <c r="I295" s="27" ph="1"/>
      <c r="J295" s="18" ph="1"/>
      <c r="K295" s="27" ph="1"/>
      <c r="L295" s="27" ph="1"/>
      <c r="M295" s="18" ph="1"/>
      <c r="N295" s="27" ph="1"/>
      <c r="O295" s="27" ph="1"/>
      <c r="P295" s="18" ph="1"/>
      <c r="Q295" s="27" ph="1"/>
      <c r="R295" s="18" ph="1"/>
      <c r="S295" s="18" ph="1"/>
      <c r="T295" s="18" ph="1"/>
      <c r="U295" s="18" ph="1"/>
      <c r="V295" s="18" ph="1"/>
      <c r="W295" s="105" ph="1"/>
      <c r="X295" s="105" ph="1"/>
      <c r="Y295" s="18" ph="1"/>
      <c r="Z295" s="105" ph="1"/>
      <c r="AA295" s="105" ph="1"/>
      <c r="AB295" s="18" ph="1"/>
      <c r="AC295" s="105" ph="1"/>
      <c r="AD295" s="105" ph="1"/>
      <c r="AE295" s="18" ph="1"/>
      <c r="AF295" s="105" ph="1"/>
      <c r="AG295" s="105" ph="1"/>
      <c r="AH295" s="105" ph="1"/>
      <c r="AI295" s="105" ph="1"/>
      <c r="AJ295" s="105" ph="1"/>
      <c r="AK295" s="105" ph="1"/>
      <c r="AL295" s="105" ph="1"/>
      <c r="AM295" s="18" ph="1"/>
      <c r="AN295" s="105" ph="1"/>
      <c r="AO295" s="105" ph="1"/>
      <c r="AP295" s="105" ph="1"/>
      <c r="AQ295" s="18" ph="1"/>
      <c r="AR295" s="105" ph="1"/>
      <c r="AS295" s="105" ph="1"/>
      <c r="AT295" s="105" ph="1"/>
      <c r="AU295" s="18" ph="1"/>
      <c r="AV295" s="105" ph="1"/>
      <c r="AW295" s="105" ph="1"/>
      <c r="AX295" s="18" ph="1"/>
      <c r="AY295" s="105" ph="1"/>
      <c r="AZ295" s="105" ph="1"/>
      <c r="BA295" s="105" ph="1"/>
      <c r="BB295" s="105" ph="1"/>
      <c r="BC295" s="18" ph="1"/>
      <c r="BD295" s="89"/>
      <c r="BE295" s="89"/>
      <c r="BF295" s="89"/>
      <c r="BG295" s="89"/>
      <c r="BH295" s="89"/>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c r="DU295" s="20"/>
      <c r="DV295" s="20"/>
      <c r="DW295" s="20"/>
      <c r="DX295" s="20"/>
      <c r="DY295" s="20"/>
      <c r="DZ295" s="20"/>
      <c r="EA295" s="20"/>
      <c r="EB295" s="20"/>
      <c r="EC295" s="20"/>
      <c r="ED295" s="20"/>
      <c r="EE295" s="20"/>
      <c r="EF295" s="20"/>
      <c r="EG295" s="20"/>
      <c r="EH295" s="20"/>
      <c r="EI295" s="20"/>
      <c r="EJ295" s="20"/>
      <c r="EK295" s="20"/>
      <c r="EL295" s="20"/>
      <c r="EM295" s="20"/>
      <c r="EN295" s="20"/>
      <c r="EO295" s="20"/>
      <c r="EP295" s="20"/>
      <c r="EQ295" s="20"/>
      <c r="ER295" s="20"/>
      <c r="ES295" s="20"/>
      <c r="ET295" s="20"/>
      <c r="EU295" s="20"/>
      <c r="EV295" s="20"/>
      <c r="EW295" s="20"/>
      <c r="EX295" s="20"/>
      <c r="EY295" s="20"/>
      <c r="EZ295" s="20"/>
      <c r="FA295" s="20"/>
      <c r="FB295" s="20"/>
      <c r="FC295" s="20"/>
      <c r="FD295" s="20"/>
      <c r="FE295" s="20"/>
      <c r="FF295" s="20"/>
      <c r="FG295" s="20"/>
      <c r="FH295" s="20"/>
      <c r="FI295" s="20"/>
      <c r="FJ295" s="20"/>
      <c r="FK295" s="20"/>
      <c r="FL295" s="20"/>
      <c r="FM295" s="20"/>
      <c r="FN295" s="20"/>
      <c r="FO295" s="20"/>
      <c r="FP295" s="20"/>
      <c r="FQ295" s="20"/>
      <c r="FR295" s="20"/>
      <c r="FS295" s="20"/>
      <c r="FT295" s="20"/>
      <c r="FU295" s="20"/>
      <c r="FV295" s="20"/>
      <c r="FW295" s="20"/>
      <c r="FX295" s="20"/>
      <c r="FY295" s="20"/>
      <c r="FZ295" s="20"/>
      <c r="GA295" s="20"/>
      <c r="GB295" s="20"/>
      <c r="GC295" s="20"/>
      <c r="GD295" s="20"/>
      <c r="GE295" s="20"/>
      <c r="GF295" s="20"/>
      <c r="GG295" s="20"/>
      <c r="GH295" s="20"/>
      <c r="GI295" s="20"/>
      <c r="GJ295" s="20"/>
      <c r="GK295" s="20"/>
      <c r="GL295" s="20"/>
      <c r="GM295" s="20"/>
      <c r="GN295" s="20"/>
      <c r="GO295" s="20"/>
      <c r="GP295" s="20"/>
      <c r="GQ295" s="20"/>
      <c r="GR295" s="20"/>
      <c r="GS295" s="20"/>
      <c r="GT295" s="20"/>
      <c r="GU295" s="20"/>
      <c r="GV295" s="20"/>
      <c r="GW295" s="20"/>
      <c r="GX295" s="20"/>
      <c r="GY295" s="20"/>
      <c r="GZ295" s="20"/>
      <c r="HA295" s="20"/>
      <c r="HB295" s="20"/>
      <c r="HC295" s="20"/>
      <c r="HD295" s="20"/>
      <c r="HE295" s="20"/>
      <c r="HF295" s="20"/>
      <c r="HG295" s="20"/>
      <c r="HH295" s="20"/>
      <c r="HI295" s="20"/>
      <c r="HJ295" s="20"/>
      <c r="HK295" s="20"/>
      <c r="HL295" s="20"/>
      <c r="HM295" s="20"/>
      <c r="HN295" s="20"/>
      <c r="HO295" s="20"/>
      <c r="HP295" s="20"/>
      <c r="HQ295" s="20"/>
      <c r="HR295" s="20"/>
      <c r="HS295" s="20"/>
      <c r="HT295" s="20"/>
      <c r="HU295" s="20"/>
      <c r="HV295" s="20"/>
      <c r="HW295" s="20"/>
      <c r="HX295" s="20"/>
      <c r="HY295" s="20"/>
      <c r="HZ295" s="20"/>
      <c r="IA295" s="20"/>
      <c r="IB295" s="20"/>
      <c r="IC295" s="20"/>
      <c r="ID295" s="20"/>
      <c r="IE295" s="20"/>
      <c r="IF295" s="20"/>
      <c r="IG295" s="20"/>
      <c r="IH295" s="20"/>
      <c r="II295" s="20"/>
      <c r="IJ295" s="20"/>
      <c r="IK295" s="20"/>
      <c r="IL295" s="20"/>
      <c r="IM295" s="20"/>
      <c r="IN295" s="20"/>
      <c r="IO295" s="20"/>
      <c r="IP295" s="20"/>
      <c r="IQ295" s="20"/>
      <c r="IR295" s="20"/>
      <c r="IS295" s="20"/>
      <c r="IT295" s="20"/>
      <c r="IU295" s="20"/>
      <c r="IV295" s="20"/>
      <c r="IW295" s="20"/>
      <c r="IX295" s="20"/>
      <c r="IY295" s="20"/>
      <c r="IZ295" s="20"/>
      <c r="JA295" s="20"/>
      <c r="JB295" s="20"/>
      <c r="JC295" s="20"/>
      <c r="JD295" s="20"/>
      <c r="JE295" s="20"/>
      <c r="JF295" s="20"/>
      <c r="JG295" s="20"/>
      <c r="JH295" s="20"/>
      <c r="JI295" s="20"/>
    </row>
    <row r="296" spans="1:269">
      <c r="A296" s="61" ph="1"/>
      <c r="B296" s="20" ph="1"/>
      <c r="C296" s="20" ph="1"/>
      <c r="D296" s="27" ph="1"/>
      <c r="E296" s="27" ph="1"/>
      <c r="F296" s="27" ph="1"/>
      <c r="G296" s="18" ph="1"/>
      <c r="H296" s="27" ph="1"/>
      <c r="I296" s="27" ph="1"/>
      <c r="J296" s="18" ph="1"/>
      <c r="K296" s="27" ph="1"/>
      <c r="L296" s="27" ph="1"/>
      <c r="M296" s="18" ph="1"/>
      <c r="N296" s="27" ph="1"/>
      <c r="O296" s="27" ph="1"/>
      <c r="P296" s="18" ph="1"/>
      <c r="Q296" s="27" ph="1"/>
      <c r="R296" s="18" ph="1"/>
      <c r="S296" s="18" ph="1"/>
      <c r="T296" s="18" ph="1"/>
      <c r="U296" s="18" ph="1"/>
      <c r="V296" s="18" ph="1"/>
      <c r="W296" s="105" ph="1"/>
      <c r="X296" s="105" ph="1"/>
      <c r="Y296" s="18" ph="1"/>
      <c r="Z296" s="105" ph="1"/>
      <c r="AA296" s="105" ph="1"/>
      <c r="AB296" s="18" ph="1"/>
      <c r="AC296" s="105" ph="1"/>
      <c r="AD296" s="105" ph="1"/>
      <c r="AE296" s="18" ph="1"/>
      <c r="AF296" s="105" ph="1"/>
      <c r="AG296" s="105" ph="1"/>
      <c r="AH296" s="105" ph="1"/>
      <c r="AI296" s="105" ph="1"/>
      <c r="AJ296" s="105" ph="1"/>
      <c r="AK296" s="105" ph="1"/>
      <c r="AL296" s="105" ph="1"/>
      <c r="AM296" s="18" ph="1"/>
      <c r="AN296" s="105" ph="1"/>
      <c r="AO296" s="105" ph="1"/>
      <c r="AP296" s="105" ph="1"/>
      <c r="AQ296" s="18" ph="1"/>
      <c r="AR296" s="105" ph="1"/>
      <c r="AS296" s="105" ph="1"/>
      <c r="AT296" s="105" ph="1"/>
      <c r="AU296" s="18" ph="1"/>
      <c r="AV296" s="105" ph="1"/>
      <c r="AW296" s="105" ph="1"/>
      <c r="AX296" s="18" ph="1"/>
      <c r="AY296" s="105" ph="1"/>
      <c r="AZ296" s="105" ph="1"/>
      <c r="BA296" s="105" ph="1"/>
      <c r="BB296" s="105" ph="1"/>
      <c r="BC296" s="18" ph="1"/>
      <c r="BD296" s="89"/>
      <c r="BE296" s="89"/>
      <c r="BF296" s="89"/>
      <c r="BG296" s="89"/>
      <c r="BH296" s="89"/>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c r="DU296" s="20"/>
      <c r="DV296" s="20"/>
      <c r="DW296" s="20"/>
      <c r="DX296" s="20"/>
      <c r="DY296" s="20"/>
      <c r="DZ296" s="20"/>
      <c r="EA296" s="20"/>
      <c r="EB296" s="20"/>
      <c r="EC296" s="20"/>
      <c r="ED296" s="20"/>
      <c r="EE296" s="20"/>
      <c r="EF296" s="20"/>
      <c r="EG296" s="20"/>
      <c r="EH296" s="20"/>
      <c r="EI296" s="20"/>
      <c r="EJ296" s="20"/>
      <c r="EK296" s="20"/>
      <c r="EL296" s="20"/>
      <c r="EM296" s="20"/>
      <c r="EN296" s="20"/>
      <c r="EO296" s="20"/>
      <c r="EP296" s="20"/>
      <c r="EQ296" s="20"/>
      <c r="ER296" s="20"/>
      <c r="ES296" s="20"/>
      <c r="ET296" s="20"/>
      <c r="EU296" s="20"/>
      <c r="EV296" s="20"/>
      <c r="EW296" s="20"/>
      <c r="EX296" s="20"/>
      <c r="EY296" s="20"/>
      <c r="EZ296" s="20"/>
      <c r="FA296" s="20"/>
      <c r="FB296" s="20"/>
      <c r="FC296" s="20"/>
      <c r="FD296" s="20"/>
      <c r="FE296" s="20"/>
      <c r="FF296" s="20"/>
      <c r="FG296" s="20"/>
      <c r="FH296" s="20"/>
      <c r="FI296" s="20"/>
      <c r="FJ296" s="20"/>
      <c r="FK296" s="20"/>
      <c r="FL296" s="20"/>
      <c r="FM296" s="20"/>
      <c r="FN296" s="20"/>
      <c r="FO296" s="20"/>
      <c r="FP296" s="20"/>
      <c r="FQ296" s="20"/>
      <c r="FR296" s="20"/>
      <c r="FS296" s="20"/>
      <c r="FT296" s="20"/>
      <c r="FU296" s="20"/>
      <c r="FV296" s="20"/>
      <c r="FW296" s="20"/>
      <c r="FX296" s="20"/>
      <c r="FY296" s="20"/>
      <c r="FZ296" s="20"/>
      <c r="GA296" s="20"/>
      <c r="GB296" s="20"/>
      <c r="GC296" s="20"/>
      <c r="GD296" s="20"/>
      <c r="GE296" s="20"/>
      <c r="GF296" s="20"/>
      <c r="GG296" s="20"/>
      <c r="GH296" s="20"/>
      <c r="GI296" s="20"/>
      <c r="GJ296" s="20"/>
      <c r="GK296" s="20"/>
      <c r="GL296" s="20"/>
      <c r="GM296" s="20"/>
      <c r="GN296" s="20"/>
      <c r="GO296" s="20"/>
      <c r="GP296" s="20"/>
      <c r="GQ296" s="20"/>
      <c r="GR296" s="20"/>
      <c r="GS296" s="20"/>
      <c r="GT296" s="20"/>
      <c r="GU296" s="20"/>
      <c r="GV296" s="20"/>
      <c r="GW296" s="20"/>
      <c r="GX296" s="20"/>
      <c r="GY296" s="20"/>
      <c r="GZ296" s="20"/>
      <c r="HA296" s="20"/>
      <c r="HB296" s="20"/>
      <c r="HC296" s="20"/>
      <c r="HD296" s="20"/>
      <c r="HE296" s="20"/>
      <c r="HF296" s="20"/>
      <c r="HG296" s="20"/>
      <c r="HH296" s="20"/>
      <c r="HI296" s="20"/>
      <c r="HJ296" s="20"/>
      <c r="HK296" s="20"/>
      <c r="HL296" s="20"/>
      <c r="HM296" s="20"/>
      <c r="HN296" s="20"/>
      <c r="HO296" s="20"/>
      <c r="HP296" s="20"/>
      <c r="HQ296" s="20"/>
      <c r="HR296" s="20"/>
      <c r="HS296" s="20"/>
      <c r="HT296" s="20"/>
      <c r="HU296" s="20"/>
      <c r="HV296" s="20"/>
      <c r="HW296" s="20"/>
      <c r="HX296" s="20"/>
      <c r="HY296" s="20"/>
      <c r="HZ296" s="20"/>
      <c r="IA296" s="20"/>
      <c r="IB296" s="20"/>
      <c r="IC296" s="20"/>
      <c r="ID296" s="20"/>
      <c r="IE296" s="20"/>
      <c r="IF296" s="20"/>
      <c r="IG296" s="20"/>
      <c r="IH296" s="20"/>
      <c r="II296" s="20"/>
      <c r="IJ296" s="20"/>
      <c r="IK296" s="20"/>
      <c r="IL296" s="20"/>
      <c r="IM296" s="20"/>
      <c r="IN296" s="20"/>
      <c r="IO296" s="20"/>
      <c r="IP296" s="20"/>
      <c r="IQ296" s="20"/>
      <c r="IR296" s="20"/>
      <c r="IS296" s="20"/>
      <c r="IT296" s="20"/>
      <c r="IU296" s="20"/>
      <c r="IV296" s="20"/>
      <c r="IW296" s="20"/>
      <c r="IX296" s="20"/>
      <c r="IY296" s="20"/>
      <c r="IZ296" s="20"/>
      <c r="JA296" s="20"/>
      <c r="JB296" s="20"/>
      <c r="JC296" s="20"/>
      <c r="JD296" s="20"/>
      <c r="JE296" s="20"/>
      <c r="JF296" s="20"/>
      <c r="JG296" s="20"/>
      <c r="JH296" s="20"/>
      <c r="JI296" s="20"/>
    </row>
    <row r="297" spans="1:269">
      <c r="A297" s="61" ph="1"/>
      <c r="B297" s="20" ph="1"/>
      <c r="C297" s="20" ph="1"/>
      <c r="D297" s="27" ph="1"/>
      <c r="E297" s="27" ph="1"/>
      <c r="F297" s="27" ph="1"/>
      <c r="G297" s="18" ph="1"/>
      <c r="H297" s="27" ph="1"/>
      <c r="I297" s="27" ph="1"/>
      <c r="J297" s="18" ph="1"/>
      <c r="K297" s="27" ph="1"/>
      <c r="L297" s="27" ph="1"/>
      <c r="M297" s="18" ph="1"/>
      <c r="N297" s="27" ph="1"/>
      <c r="O297" s="27" ph="1"/>
      <c r="P297" s="18" ph="1"/>
      <c r="Q297" s="27" ph="1"/>
      <c r="R297" s="18" ph="1"/>
      <c r="S297" s="18" ph="1"/>
      <c r="T297" s="18" ph="1"/>
      <c r="U297" s="18" ph="1"/>
      <c r="V297" s="18" ph="1"/>
      <c r="W297" s="105" ph="1"/>
      <c r="X297" s="105" ph="1"/>
      <c r="Y297" s="18" ph="1"/>
      <c r="Z297" s="105" ph="1"/>
      <c r="AA297" s="105" ph="1"/>
      <c r="AB297" s="18" ph="1"/>
      <c r="AC297" s="105" ph="1"/>
      <c r="AD297" s="105" ph="1"/>
      <c r="AE297" s="18" ph="1"/>
      <c r="AF297" s="105" ph="1"/>
      <c r="AG297" s="105" ph="1"/>
      <c r="AH297" s="105" ph="1"/>
      <c r="AI297" s="105" ph="1"/>
      <c r="AJ297" s="105" ph="1"/>
      <c r="AK297" s="105" ph="1"/>
      <c r="AL297" s="105" ph="1"/>
      <c r="AM297" s="18" ph="1"/>
      <c r="AN297" s="105" ph="1"/>
      <c r="AO297" s="105" ph="1"/>
      <c r="AP297" s="105" ph="1"/>
      <c r="AQ297" s="18" ph="1"/>
      <c r="AR297" s="105" ph="1"/>
      <c r="AS297" s="105" ph="1"/>
      <c r="AT297" s="105" ph="1"/>
      <c r="AU297" s="18" ph="1"/>
      <c r="AV297" s="105" ph="1"/>
      <c r="AW297" s="105" ph="1"/>
      <c r="AX297" s="18" ph="1"/>
      <c r="AY297" s="105" ph="1"/>
      <c r="AZ297" s="105" ph="1"/>
      <c r="BA297" s="105" ph="1"/>
      <c r="BB297" s="105" ph="1"/>
      <c r="BC297" s="18" ph="1"/>
      <c r="BD297" s="89"/>
      <c r="BE297" s="89"/>
      <c r="BF297" s="89"/>
      <c r="BG297" s="89"/>
      <c r="BH297" s="89"/>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c r="DU297" s="20"/>
      <c r="DV297" s="20"/>
      <c r="DW297" s="20"/>
      <c r="DX297" s="20"/>
      <c r="DY297" s="20"/>
      <c r="DZ297" s="20"/>
      <c r="EA297" s="20"/>
      <c r="EB297" s="20"/>
      <c r="EC297" s="20"/>
      <c r="ED297" s="20"/>
      <c r="EE297" s="20"/>
      <c r="EF297" s="20"/>
      <c r="EG297" s="20"/>
      <c r="EH297" s="20"/>
      <c r="EI297" s="20"/>
      <c r="EJ297" s="20"/>
      <c r="EK297" s="20"/>
      <c r="EL297" s="20"/>
      <c r="EM297" s="20"/>
      <c r="EN297" s="20"/>
      <c r="EO297" s="20"/>
      <c r="EP297" s="20"/>
      <c r="EQ297" s="20"/>
      <c r="ER297" s="20"/>
      <c r="ES297" s="20"/>
      <c r="ET297" s="20"/>
      <c r="EU297" s="20"/>
      <c r="EV297" s="20"/>
      <c r="EW297" s="20"/>
      <c r="EX297" s="20"/>
      <c r="EY297" s="20"/>
      <c r="EZ297" s="20"/>
      <c r="FA297" s="20"/>
      <c r="FB297" s="20"/>
      <c r="FC297" s="20"/>
      <c r="FD297" s="20"/>
      <c r="FE297" s="20"/>
      <c r="FF297" s="20"/>
      <c r="FG297" s="20"/>
      <c r="FH297" s="20"/>
      <c r="FI297" s="20"/>
      <c r="FJ297" s="20"/>
      <c r="FK297" s="20"/>
      <c r="FL297" s="20"/>
      <c r="FM297" s="20"/>
      <c r="FN297" s="20"/>
      <c r="FO297" s="20"/>
      <c r="FP297" s="20"/>
      <c r="FQ297" s="20"/>
      <c r="FR297" s="20"/>
      <c r="FS297" s="20"/>
      <c r="FT297" s="20"/>
      <c r="FU297" s="20"/>
      <c r="FV297" s="20"/>
      <c r="FW297" s="20"/>
      <c r="FX297" s="20"/>
      <c r="FY297" s="20"/>
      <c r="FZ297" s="20"/>
      <c r="GA297" s="20"/>
      <c r="GB297" s="20"/>
      <c r="GC297" s="20"/>
      <c r="GD297" s="20"/>
      <c r="GE297" s="20"/>
      <c r="GF297" s="20"/>
      <c r="GG297" s="20"/>
      <c r="GH297" s="20"/>
      <c r="GI297" s="20"/>
      <c r="GJ297" s="20"/>
      <c r="GK297" s="20"/>
      <c r="GL297" s="20"/>
      <c r="GM297" s="20"/>
      <c r="GN297" s="20"/>
      <c r="GO297" s="20"/>
      <c r="GP297" s="20"/>
      <c r="GQ297" s="20"/>
      <c r="GR297" s="20"/>
      <c r="GS297" s="20"/>
      <c r="GT297" s="20"/>
      <c r="GU297" s="20"/>
      <c r="GV297" s="20"/>
      <c r="GW297" s="20"/>
      <c r="GX297" s="20"/>
      <c r="GY297" s="20"/>
      <c r="GZ297" s="20"/>
      <c r="HA297" s="20"/>
      <c r="HB297" s="20"/>
      <c r="HC297" s="20"/>
      <c r="HD297" s="20"/>
      <c r="HE297" s="20"/>
      <c r="HF297" s="20"/>
      <c r="HG297" s="20"/>
      <c r="HH297" s="20"/>
      <c r="HI297" s="20"/>
      <c r="HJ297" s="20"/>
      <c r="HK297" s="20"/>
      <c r="HL297" s="20"/>
      <c r="HM297" s="20"/>
      <c r="HN297" s="20"/>
      <c r="HO297" s="20"/>
      <c r="HP297" s="20"/>
      <c r="HQ297" s="20"/>
      <c r="HR297" s="20"/>
      <c r="HS297" s="20"/>
      <c r="HT297" s="20"/>
      <c r="HU297" s="20"/>
      <c r="HV297" s="20"/>
      <c r="HW297" s="20"/>
      <c r="HX297" s="20"/>
      <c r="HY297" s="20"/>
      <c r="HZ297" s="20"/>
      <c r="IA297" s="20"/>
      <c r="IB297" s="20"/>
      <c r="IC297" s="20"/>
      <c r="ID297" s="20"/>
      <c r="IE297" s="20"/>
      <c r="IF297" s="20"/>
      <c r="IG297" s="20"/>
      <c r="IH297" s="20"/>
      <c r="II297" s="20"/>
      <c r="IJ297" s="20"/>
      <c r="IK297" s="20"/>
      <c r="IL297" s="20"/>
      <c r="IM297" s="20"/>
      <c r="IN297" s="20"/>
      <c r="IO297" s="20"/>
      <c r="IP297" s="20"/>
      <c r="IQ297" s="20"/>
      <c r="IR297" s="20"/>
      <c r="IS297" s="20"/>
      <c r="IT297" s="20"/>
      <c r="IU297" s="20"/>
      <c r="IV297" s="20"/>
      <c r="IW297" s="20"/>
      <c r="IX297" s="20"/>
      <c r="IY297" s="20"/>
      <c r="IZ297" s="20"/>
      <c r="JA297" s="20"/>
      <c r="JB297" s="20"/>
      <c r="JC297" s="20"/>
      <c r="JD297" s="20"/>
      <c r="JE297" s="20"/>
      <c r="JF297" s="20"/>
      <c r="JG297" s="20"/>
      <c r="JH297" s="20"/>
      <c r="JI297" s="20"/>
    </row>
    <row r="298" spans="1:269">
      <c r="A298" s="61"/>
      <c r="B298" s="20"/>
      <c r="C298" s="20"/>
      <c r="D298" s="27"/>
      <c r="E298" s="27"/>
      <c r="F298" s="27"/>
      <c r="G298" s="18"/>
      <c r="H298" s="27"/>
      <c r="I298" s="27"/>
      <c r="J298" s="18"/>
      <c r="K298" s="27"/>
      <c r="L298" s="27"/>
      <c r="M298" s="18"/>
      <c r="N298" s="27"/>
      <c r="O298" s="27"/>
      <c r="P298" s="18"/>
      <c r="Q298" s="27"/>
      <c r="R298" s="18"/>
      <c r="S298" s="18"/>
      <c r="T298" s="18"/>
      <c r="U298" s="18"/>
      <c r="V298" s="18"/>
      <c r="W298" s="105"/>
      <c r="X298" s="105"/>
      <c r="Y298" s="18"/>
      <c r="Z298" s="105"/>
      <c r="AA298" s="105"/>
      <c r="AB298" s="18"/>
      <c r="AC298" s="105"/>
      <c r="AD298" s="105"/>
      <c r="AE298" s="18"/>
      <c r="AF298" s="105"/>
      <c r="AG298" s="105"/>
      <c r="AH298" s="105"/>
      <c r="AI298" s="105"/>
      <c r="AJ298" s="105"/>
      <c r="AK298" s="105"/>
      <c r="AL298" s="105"/>
      <c r="AM298" s="18"/>
      <c r="AN298" s="105"/>
      <c r="AO298" s="105"/>
      <c r="AP298" s="105"/>
      <c r="AQ298" s="18"/>
      <c r="AR298" s="105"/>
      <c r="AS298" s="105"/>
      <c r="AT298" s="105"/>
      <c r="AU298" s="18"/>
      <c r="AV298" s="105"/>
      <c r="AW298" s="105"/>
      <c r="AX298" s="18"/>
      <c r="AY298" s="105"/>
      <c r="AZ298" s="105"/>
      <c r="BA298" s="105"/>
      <c r="BB298" s="105"/>
      <c r="BC298" s="18"/>
      <c r="BD298" s="89"/>
      <c r="BE298" s="89"/>
      <c r="BF298" s="89"/>
      <c r="BG298" s="89"/>
      <c r="BH298" s="89"/>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c r="DU298" s="20"/>
      <c r="DV298" s="20"/>
      <c r="DW298" s="20"/>
      <c r="DX298" s="20"/>
      <c r="DY298" s="20"/>
      <c r="DZ298" s="20"/>
      <c r="EA298" s="20"/>
      <c r="EB298" s="20"/>
      <c r="EC298" s="20"/>
      <c r="ED298" s="20"/>
      <c r="EE298" s="20"/>
      <c r="EF298" s="20"/>
      <c r="EG298" s="20"/>
      <c r="EH298" s="20"/>
      <c r="EI298" s="20"/>
      <c r="EJ298" s="20"/>
      <c r="EK298" s="20"/>
      <c r="EL298" s="20"/>
      <c r="EM298" s="20"/>
      <c r="EN298" s="20"/>
      <c r="EO298" s="20"/>
      <c r="EP298" s="20"/>
      <c r="EQ298" s="20"/>
      <c r="ER298" s="20"/>
      <c r="ES298" s="20"/>
      <c r="ET298" s="20"/>
      <c r="EU298" s="20"/>
      <c r="EV298" s="20"/>
      <c r="EW298" s="20"/>
      <c r="EX298" s="20"/>
      <c r="EY298" s="20"/>
      <c r="EZ298" s="20"/>
      <c r="FA298" s="20"/>
      <c r="FB298" s="20"/>
      <c r="FC298" s="20"/>
      <c r="FD298" s="20"/>
      <c r="FE298" s="20"/>
      <c r="FF298" s="20"/>
      <c r="FG298" s="20"/>
      <c r="FH298" s="20"/>
      <c r="FI298" s="20"/>
      <c r="FJ298" s="20"/>
      <c r="FK298" s="20"/>
      <c r="FL298" s="20"/>
      <c r="FM298" s="20"/>
      <c r="FN298" s="20"/>
      <c r="FO298" s="20"/>
      <c r="FP298" s="20"/>
      <c r="FQ298" s="20"/>
      <c r="FR298" s="20"/>
      <c r="FS298" s="20"/>
      <c r="FT298" s="20"/>
      <c r="FU298" s="20"/>
      <c r="FV298" s="20"/>
      <c r="FW298" s="20"/>
      <c r="FX298" s="20"/>
      <c r="FY298" s="20"/>
      <c r="FZ298" s="20"/>
      <c r="GA298" s="20"/>
      <c r="GB298" s="20"/>
      <c r="GC298" s="20"/>
      <c r="GD298" s="20"/>
      <c r="GE298" s="20"/>
      <c r="GF298" s="20"/>
      <c r="GG298" s="20"/>
      <c r="GH298" s="20"/>
      <c r="GI298" s="20"/>
      <c r="GJ298" s="20"/>
      <c r="GK298" s="20"/>
      <c r="GL298" s="20"/>
      <c r="GM298" s="20"/>
      <c r="GN298" s="20"/>
      <c r="GO298" s="20"/>
      <c r="GP298" s="20"/>
      <c r="GQ298" s="20"/>
      <c r="GR298" s="20"/>
      <c r="GS298" s="20"/>
      <c r="GT298" s="20"/>
      <c r="GU298" s="20"/>
      <c r="GV298" s="20"/>
      <c r="GW298" s="20"/>
      <c r="GX298" s="20"/>
      <c r="GY298" s="20"/>
      <c r="GZ298" s="20"/>
      <c r="HA298" s="20"/>
      <c r="HB298" s="20"/>
      <c r="HC298" s="20"/>
      <c r="HD298" s="20"/>
      <c r="HE298" s="20"/>
      <c r="HF298" s="20"/>
      <c r="HG298" s="20"/>
      <c r="HH298" s="20"/>
      <c r="HI298" s="20"/>
      <c r="HJ298" s="20"/>
      <c r="HK298" s="20"/>
      <c r="HL298" s="20"/>
      <c r="HM298" s="20"/>
      <c r="HN298" s="20"/>
      <c r="HO298" s="20"/>
      <c r="HP298" s="20"/>
      <c r="HQ298" s="20"/>
      <c r="HR298" s="20"/>
      <c r="HS298" s="20"/>
      <c r="HT298" s="20"/>
      <c r="HU298" s="20"/>
      <c r="HV298" s="20"/>
      <c r="HW298" s="20"/>
      <c r="HX298" s="20"/>
      <c r="HY298" s="20"/>
      <c r="HZ298" s="20"/>
      <c r="IA298" s="20"/>
      <c r="IB298" s="20"/>
      <c r="IC298" s="20"/>
      <c r="ID298" s="20"/>
      <c r="IE298" s="20"/>
      <c r="IF298" s="20"/>
      <c r="IG298" s="20"/>
      <c r="IH298" s="20"/>
      <c r="II298" s="20"/>
      <c r="IJ298" s="20"/>
      <c r="IK298" s="20"/>
      <c r="IL298" s="20"/>
      <c r="IM298" s="20"/>
      <c r="IN298" s="20"/>
      <c r="IO298" s="20"/>
      <c r="IP298" s="20"/>
      <c r="IQ298" s="20"/>
      <c r="IR298" s="20"/>
      <c r="IS298" s="20"/>
      <c r="IT298" s="20"/>
      <c r="IU298" s="20"/>
      <c r="IV298" s="20"/>
      <c r="IW298" s="20"/>
      <c r="IX298" s="20"/>
      <c r="IY298" s="20"/>
      <c r="IZ298" s="20"/>
      <c r="JA298" s="20"/>
      <c r="JB298" s="20"/>
      <c r="JC298" s="20"/>
      <c r="JD298" s="20"/>
      <c r="JE298" s="20"/>
      <c r="JF298" s="20"/>
      <c r="JG298" s="20"/>
      <c r="JH298" s="20"/>
      <c r="JI298" s="20"/>
    </row>
    <row r="299" spans="1:269">
      <c r="A299" s="61" ph="1"/>
      <c r="B299" s="20" ph="1"/>
      <c r="C299" s="20" ph="1"/>
      <c r="D299" s="27" ph="1"/>
      <c r="E299" s="27" ph="1"/>
      <c r="F299" s="27" ph="1"/>
      <c r="G299" s="18" ph="1"/>
      <c r="H299" s="27" ph="1"/>
      <c r="I299" s="27" ph="1"/>
      <c r="J299" s="18" ph="1"/>
      <c r="K299" s="27" ph="1"/>
      <c r="L299" s="27" ph="1"/>
      <c r="M299" s="18" ph="1"/>
      <c r="N299" s="27" ph="1"/>
      <c r="O299" s="27" ph="1"/>
      <c r="P299" s="18" ph="1"/>
      <c r="Q299" s="27" ph="1"/>
      <c r="R299" s="18" ph="1"/>
      <c r="S299" s="18" ph="1"/>
      <c r="T299" s="18" ph="1"/>
      <c r="U299" s="18" ph="1"/>
      <c r="V299" s="18" ph="1"/>
      <c r="W299" s="105" ph="1"/>
      <c r="X299" s="105" ph="1"/>
      <c r="Y299" s="18" ph="1"/>
      <c r="Z299" s="105" ph="1"/>
      <c r="AA299" s="105" ph="1"/>
      <c r="AB299" s="18" ph="1"/>
      <c r="AC299" s="105" ph="1"/>
      <c r="AD299" s="105" ph="1"/>
      <c r="AE299" s="18" ph="1"/>
      <c r="AF299" s="105" ph="1"/>
      <c r="AG299" s="105" ph="1"/>
      <c r="AH299" s="105" ph="1"/>
      <c r="AI299" s="105" ph="1"/>
      <c r="AJ299" s="105" ph="1"/>
      <c r="AK299" s="105" ph="1"/>
      <c r="AL299" s="105" ph="1"/>
      <c r="AM299" s="18" ph="1"/>
      <c r="AN299" s="105" ph="1"/>
      <c r="AO299" s="105" ph="1"/>
      <c r="AP299" s="105" ph="1"/>
      <c r="AQ299" s="18" ph="1"/>
      <c r="AR299" s="105" ph="1"/>
      <c r="AS299" s="105" ph="1"/>
      <c r="AT299" s="105" ph="1"/>
      <c r="AU299" s="18" ph="1"/>
      <c r="AV299" s="105" ph="1"/>
      <c r="AW299" s="105" ph="1"/>
      <c r="AX299" s="18" ph="1"/>
      <c r="AY299" s="105" ph="1"/>
      <c r="AZ299" s="105" ph="1"/>
      <c r="BA299" s="105" ph="1"/>
      <c r="BB299" s="105" ph="1"/>
      <c r="BC299" s="18" ph="1"/>
      <c r="BD299" s="89"/>
      <c r="BE299" s="89"/>
      <c r="BF299" s="89"/>
      <c r="BG299" s="89"/>
      <c r="BH299" s="89"/>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c r="DU299" s="20"/>
      <c r="DV299" s="20"/>
      <c r="DW299" s="20"/>
      <c r="DX299" s="20"/>
      <c r="DY299" s="20"/>
      <c r="DZ299" s="20"/>
      <c r="EA299" s="20"/>
      <c r="EB299" s="20"/>
      <c r="EC299" s="20"/>
      <c r="ED299" s="20"/>
      <c r="EE299" s="20"/>
      <c r="EF299" s="20"/>
      <c r="EG299" s="20"/>
      <c r="EH299" s="20"/>
      <c r="EI299" s="20"/>
      <c r="EJ299" s="20"/>
      <c r="EK299" s="20"/>
      <c r="EL299" s="20"/>
      <c r="EM299" s="20"/>
      <c r="EN299" s="20"/>
      <c r="EO299" s="20"/>
      <c r="EP299" s="20"/>
      <c r="EQ299" s="20"/>
      <c r="ER299" s="20"/>
      <c r="ES299" s="20"/>
      <c r="ET299" s="20"/>
      <c r="EU299" s="20"/>
      <c r="EV299" s="20"/>
      <c r="EW299" s="20"/>
      <c r="EX299" s="20"/>
      <c r="EY299" s="20"/>
      <c r="EZ299" s="20"/>
      <c r="FA299" s="20"/>
      <c r="FB299" s="20"/>
      <c r="FC299" s="20"/>
      <c r="FD299" s="20"/>
      <c r="FE299" s="20"/>
      <c r="FF299" s="20"/>
      <c r="FG299" s="20"/>
      <c r="FH299" s="20"/>
      <c r="FI299" s="20"/>
      <c r="FJ299" s="20"/>
      <c r="FK299" s="20"/>
      <c r="FL299" s="20"/>
      <c r="FM299" s="20"/>
      <c r="FN299" s="20"/>
      <c r="FO299" s="20"/>
      <c r="FP299" s="20"/>
      <c r="FQ299" s="20"/>
      <c r="FR299" s="20"/>
      <c r="FS299" s="20"/>
      <c r="FT299" s="20"/>
      <c r="FU299" s="20"/>
      <c r="FV299" s="20"/>
      <c r="FW299" s="20"/>
      <c r="FX299" s="20"/>
      <c r="FY299" s="20"/>
      <c r="FZ299" s="20"/>
      <c r="GA299" s="20"/>
      <c r="GB299" s="20"/>
      <c r="GC299" s="20"/>
      <c r="GD299" s="20"/>
      <c r="GE299" s="20"/>
      <c r="GF299" s="20"/>
      <c r="GG299" s="20"/>
      <c r="GH299" s="20"/>
      <c r="GI299" s="20"/>
      <c r="GJ299" s="20"/>
      <c r="GK299" s="20"/>
      <c r="GL299" s="20"/>
      <c r="GM299" s="20"/>
      <c r="GN299" s="20"/>
      <c r="GO299" s="20"/>
      <c r="GP299" s="20"/>
      <c r="GQ299" s="20"/>
      <c r="GR299" s="20"/>
      <c r="GS299" s="20"/>
      <c r="GT299" s="20"/>
      <c r="GU299" s="20"/>
      <c r="GV299" s="20"/>
      <c r="GW299" s="20"/>
      <c r="GX299" s="20"/>
      <c r="GY299" s="20"/>
      <c r="GZ299" s="20"/>
      <c r="HA299" s="20"/>
      <c r="HB299" s="20"/>
      <c r="HC299" s="20"/>
      <c r="HD299" s="20"/>
      <c r="HE299" s="20"/>
      <c r="HF299" s="20"/>
      <c r="HG299" s="20"/>
      <c r="HH299" s="20"/>
      <c r="HI299" s="20"/>
      <c r="HJ299" s="20"/>
      <c r="HK299" s="20"/>
      <c r="HL299" s="20"/>
      <c r="HM299" s="20"/>
      <c r="HN299" s="20"/>
      <c r="HO299" s="20"/>
      <c r="HP299" s="20"/>
      <c r="HQ299" s="20"/>
      <c r="HR299" s="20"/>
      <c r="HS299" s="20"/>
      <c r="HT299" s="20"/>
      <c r="HU299" s="20"/>
      <c r="HV299" s="20"/>
      <c r="HW299" s="20"/>
      <c r="HX299" s="20"/>
      <c r="HY299" s="20"/>
      <c r="HZ299" s="20"/>
      <c r="IA299" s="20"/>
      <c r="IB299" s="20"/>
      <c r="IC299" s="20"/>
      <c r="ID299" s="20"/>
      <c r="IE299" s="20"/>
      <c r="IF299" s="20"/>
      <c r="IG299" s="20"/>
      <c r="IH299" s="20"/>
      <c r="II299" s="20"/>
      <c r="IJ299" s="20"/>
      <c r="IK299" s="20"/>
      <c r="IL299" s="20"/>
      <c r="IM299" s="20"/>
      <c r="IN299" s="20"/>
      <c r="IO299" s="20"/>
      <c r="IP299" s="20"/>
      <c r="IQ299" s="20"/>
      <c r="IR299" s="20"/>
      <c r="IS299" s="20"/>
      <c r="IT299" s="20"/>
      <c r="IU299" s="20"/>
      <c r="IV299" s="20"/>
      <c r="IW299" s="20"/>
      <c r="IX299" s="20"/>
      <c r="IY299" s="20"/>
      <c r="IZ299" s="20"/>
      <c r="JA299" s="20"/>
      <c r="JB299" s="20"/>
      <c r="JC299" s="20"/>
      <c r="JD299" s="20"/>
      <c r="JE299" s="20"/>
      <c r="JF299" s="20"/>
      <c r="JG299" s="20"/>
      <c r="JH299" s="20"/>
      <c r="JI299" s="20"/>
    </row>
    <row r="300" spans="1:269">
      <c r="A300" s="61" ph="1"/>
      <c r="B300" s="20" ph="1"/>
      <c r="C300" s="20" ph="1"/>
      <c r="D300" s="27" ph="1"/>
      <c r="E300" s="27" ph="1"/>
      <c r="F300" s="27" ph="1"/>
      <c r="G300" s="18" ph="1"/>
      <c r="H300" s="27" ph="1"/>
      <c r="I300" s="27" ph="1"/>
      <c r="J300" s="18" ph="1"/>
      <c r="K300" s="27" ph="1"/>
      <c r="L300" s="27" ph="1"/>
      <c r="M300" s="18" ph="1"/>
      <c r="N300" s="27" ph="1"/>
      <c r="O300" s="27" ph="1"/>
      <c r="P300" s="18" ph="1"/>
      <c r="Q300" s="27" ph="1"/>
      <c r="R300" s="18" ph="1"/>
      <c r="S300" s="18" ph="1"/>
      <c r="T300" s="18" ph="1"/>
      <c r="U300" s="18" ph="1"/>
      <c r="V300" s="18" ph="1"/>
      <c r="W300" s="105" ph="1"/>
      <c r="X300" s="105" ph="1"/>
      <c r="Y300" s="18" ph="1"/>
      <c r="Z300" s="105" ph="1"/>
      <c r="AA300" s="105" ph="1"/>
      <c r="AB300" s="18" ph="1"/>
      <c r="AC300" s="105" ph="1"/>
      <c r="AD300" s="105" ph="1"/>
      <c r="AE300" s="18" ph="1"/>
      <c r="AF300" s="105" ph="1"/>
      <c r="AG300" s="105" ph="1"/>
      <c r="AH300" s="105" ph="1"/>
      <c r="AI300" s="105" ph="1"/>
      <c r="AJ300" s="105" ph="1"/>
      <c r="AK300" s="105" ph="1"/>
      <c r="AL300" s="105" ph="1"/>
      <c r="AM300" s="18" ph="1"/>
      <c r="AN300" s="105" ph="1"/>
      <c r="AO300" s="105" ph="1"/>
      <c r="AP300" s="105" ph="1"/>
      <c r="AQ300" s="18" ph="1"/>
      <c r="AR300" s="105" ph="1"/>
      <c r="AS300" s="105" ph="1"/>
      <c r="AT300" s="105" ph="1"/>
      <c r="AU300" s="18" ph="1"/>
      <c r="AV300" s="105" ph="1"/>
      <c r="AW300" s="105" ph="1"/>
      <c r="AX300" s="18" ph="1"/>
      <c r="AY300" s="105" ph="1"/>
      <c r="AZ300" s="105" ph="1"/>
      <c r="BA300" s="105" ph="1"/>
      <c r="BB300" s="105" ph="1"/>
      <c r="BC300" s="18" ph="1"/>
      <c r="BD300" s="89"/>
      <c r="BE300" s="89"/>
      <c r="BF300" s="89"/>
      <c r="BG300" s="89"/>
      <c r="BH300" s="89"/>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c r="DU300" s="20"/>
      <c r="DV300" s="20"/>
      <c r="DW300" s="20"/>
      <c r="DX300" s="20"/>
      <c r="DY300" s="20"/>
      <c r="DZ300" s="20"/>
      <c r="EA300" s="20"/>
      <c r="EB300" s="20"/>
      <c r="EC300" s="20"/>
      <c r="ED300" s="20"/>
      <c r="EE300" s="20"/>
      <c r="EF300" s="20"/>
      <c r="EG300" s="20"/>
      <c r="EH300" s="20"/>
      <c r="EI300" s="20"/>
      <c r="EJ300" s="20"/>
      <c r="EK300" s="20"/>
      <c r="EL300" s="20"/>
      <c r="EM300" s="20"/>
      <c r="EN300" s="20"/>
      <c r="EO300" s="20"/>
      <c r="EP300" s="20"/>
      <c r="EQ300" s="20"/>
      <c r="ER300" s="20"/>
      <c r="ES300" s="20"/>
      <c r="ET300" s="20"/>
      <c r="EU300" s="20"/>
      <c r="EV300" s="20"/>
      <c r="EW300" s="20"/>
      <c r="EX300" s="20"/>
      <c r="EY300" s="20"/>
      <c r="EZ300" s="20"/>
      <c r="FA300" s="20"/>
      <c r="FB300" s="20"/>
      <c r="FC300" s="20"/>
      <c r="FD300" s="20"/>
      <c r="FE300" s="20"/>
      <c r="FF300" s="20"/>
      <c r="FG300" s="20"/>
      <c r="FH300" s="20"/>
      <c r="FI300" s="20"/>
      <c r="FJ300" s="20"/>
      <c r="FK300" s="20"/>
      <c r="FL300" s="20"/>
      <c r="FM300" s="20"/>
      <c r="FN300" s="20"/>
      <c r="FO300" s="20"/>
      <c r="FP300" s="20"/>
      <c r="FQ300" s="20"/>
      <c r="FR300" s="20"/>
      <c r="FS300" s="20"/>
      <c r="FT300" s="20"/>
      <c r="FU300" s="20"/>
      <c r="FV300" s="20"/>
      <c r="FW300" s="20"/>
      <c r="FX300" s="20"/>
      <c r="FY300" s="20"/>
      <c r="FZ300" s="20"/>
      <c r="GA300" s="20"/>
      <c r="GB300" s="20"/>
      <c r="GC300" s="20"/>
      <c r="GD300" s="20"/>
      <c r="GE300" s="20"/>
      <c r="GF300" s="20"/>
      <c r="GG300" s="20"/>
      <c r="GH300" s="20"/>
      <c r="GI300" s="20"/>
      <c r="GJ300" s="20"/>
      <c r="GK300" s="20"/>
      <c r="GL300" s="20"/>
      <c r="GM300" s="20"/>
      <c r="GN300" s="20"/>
      <c r="GO300" s="20"/>
      <c r="GP300" s="20"/>
      <c r="GQ300" s="20"/>
      <c r="GR300" s="20"/>
      <c r="GS300" s="20"/>
      <c r="GT300" s="20"/>
      <c r="GU300" s="20"/>
      <c r="GV300" s="20"/>
      <c r="GW300" s="20"/>
      <c r="GX300" s="20"/>
      <c r="GY300" s="20"/>
      <c r="GZ300" s="20"/>
      <c r="HA300" s="20"/>
      <c r="HB300" s="20"/>
      <c r="HC300" s="20"/>
      <c r="HD300" s="20"/>
      <c r="HE300" s="20"/>
      <c r="HF300" s="20"/>
      <c r="HG300" s="20"/>
      <c r="HH300" s="20"/>
      <c r="HI300" s="20"/>
      <c r="HJ300" s="20"/>
      <c r="HK300" s="20"/>
      <c r="HL300" s="20"/>
      <c r="HM300" s="20"/>
      <c r="HN300" s="20"/>
      <c r="HO300" s="20"/>
      <c r="HP300" s="20"/>
      <c r="HQ300" s="20"/>
      <c r="HR300" s="20"/>
      <c r="HS300" s="20"/>
      <c r="HT300" s="20"/>
      <c r="HU300" s="20"/>
      <c r="HV300" s="20"/>
      <c r="HW300" s="20"/>
      <c r="HX300" s="20"/>
      <c r="HY300" s="20"/>
      <c r="HZ300" s="20"/>
      <c r="IA300" s="20"/>
      <c r="IB300" s="20"/>
      <c r="IC300" s="20"/>
      <c r="ID300" s="20"/>
      <c r="IE300" s="20"/>
      <c r="IF300" s="20"/>
      <c r="IG300" s="20"/>
      <c r="IH300" s="20"/>
      <c r="II300" s="20"/>
      <c r="IJ300" s="20"/>
      <c r="IK300" s="20"/>
      <c r="IL300" s="20"/>
      <c r="IM300" s="20"/>
      <c r="IN300" s="20"/>
      <c r="IO300" s="20"/>
      <c r="IP300" s="20"/>
      <c r="IQ300" s="20"/>
      <c r="IR300" s="20"/>
      <c r="IS300" s="20"/>
      <c r="IT300" s="20"/>
      <c r="IU300" s="20"/>
      <c r="IV300" s="20"/>
      <c r="IW300" s="20"/>
      <c r="IX300" s="20"/>
      <c r="IY300" s="20"/>
      <c r="IZ300" s="20"/>
      <c r="JA300" s="20"/>
      <c r="JB300" s="20"/>
      <c r="JC300" s="20"/>
      <c r="JD300" s="20"/>
      <c r="JE300" s="20"/>
      <c r="JF300" s="20"/>
      <c r="JG300" s="20"/>
      <c r="JH300" s="20"/>
      <c r="JI300" s="20"/>
    </row>
    <row r="301" spans="1:269">
      <c r="A301" s="61" ph="1"/>
      <c r="B301" s="20" ph="1"/>
      <c r="C301" s="20" ph="1"/>
      <c r="D301" s="27" ph="1"/>
      <c r="E301" s="27" ph="1"/>
      <c r="F301" s="27" ph="1"/>
      <c r="G301" s="18" ph="1"/>
      <c r="H301" s="27" ph="1"/>
      <c r="I301" s="27" ph="1"/>
      <c r="J301" s="18" ph="1"/>
      <c r="K301" s="27" ph="1"/>
      <c r="L301" s="27" ph="1"/>
      <c r="M301" s="18" ph="1"/>
      <c r="N301" s="27" ph="1"/>
      <c r="O301" s="27" ph="1"/>
      <c r="P301" s="18" ph="1"/>
      <c r="Q301" s="27" ph="1"/>
      <c r="R301" s="18" ph="1"/>
      <c r="S301" s="18" ph="1"/>
      <c r="T301" s="18" ph="1"/>
      <c r="U301" s="18" ph="1"/>
      <c r="V301" s="18" ph="1"/>
      <c r="W301" s="105" ph="1"/>
      <c r="X301" s="105" ph="1"/>
      <c r="Y301" s="18" ph="1"/>
      <c r="Z301" s="105" ph="1"/>
      <c r="AA301" s="105" ph="1"/>
      <c r="AB301" s="18" ph="1"/>
      <c r="AC301" s="105" ph="1"/>
      <c r="AD301" s="105" ph="1"/>
      <c r="AE301" s="18" ph="1"/>
      <c r="AF301" s="105" ph="1"/>
      <c r="AG301" s="105" ph="1"/>
      <c r="AH301" s="105" ph="1"/>
      <c r="AI301" s="105" ph="1"/>
      <c r="AJ301" s="105" ph="1"/>
      <c r="AK301" s="105" ph="1"/>
      <c r="AL301" s="105" ph="1"/>
      <c r="AM301" s="18" ph="1"/>
      <c r="AN301" s="105" ph="1"/>
      <c r="AO301" s="105" ph="1"/>
      <c r="AP301" s="105" ph="1"/>
      <c r="AQ301" s="18" ph="1"/>
      <c r="AR301" s="105" ph="1"/>
      <c r="AS301" s="105" ph="1"/>
      <c r="AT301" s="105" ph="1"/>
      <c r="AU301" s="18" ph="1"/>
      <c r="AV301" s="105" ph="1"/>
      <c r="AW301" s="105" ph="1"/>
      <c r="AX301" s="18" ph="1"/>
      <c r="AY301" s="105" ph="1"/>
      <c r="AZ301" s="105" ph="1"/>
      <c r="BA301" s="105" ph="1"/>
      <c r="BB301" s="105" ph="1"/>
      <c r="BC301" s="18" ph="1"/>
      <c r="BD301" s="89"/>
      <c r="BE301" s="89"/>
      <c r="BF301" s="89"/>
      <c r="BG301" s="89"/>
      <c r="BH301" s="89"/>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c r="DU301" s="20"/>
      <c r="DV301" s="20"/>
      <c r="DW301" s="20"/>
      <c r="DX301" s="20"/>
      <c r="DY301" s="20"/>
      <c r="DZ301" s="20"/>
      <c r="EA301" s="20"/>
      <c r="EB301" s="20"/>
      <c r="EC301" s="20"/>
      <c r="ED301" s="20"/>
      <c r="EE301" s="20"/>
      <c r="EF301" s="20"/>
      <c r="EG301" s="20"/>
      <c r="EH301" s="20"/>
      <c r="EI301" s="20"/>
      <c r="EJ301" s="20"/>
      <c r="EK301" s="20"/>
      <c r="EL301" s="20"/>
      <c r="EM301" s="20"/>
      <c r="EN301" s="20"/>
      <c r="EO301" s="20"/>
      <c r="EP301" s="20"/>
      <c r="EQ301" s="20"/>
      <c r="ER301" s="20"/>
      <c r="ES301" s="20"/>
      <c r="ET301" s="20"/>
      <c r="EU301" s="20"/>
      <c r="EV301" s="20"/>
      <c r="EW301" s="20"/>
      <c r="EX301" s="20"/>
      <c r="EY301" s="20"/>
      <c r="EZ301" s="20"/>
      <c r="FA301" s="20"/>
      <c r="FB301" s="20"/>
      <c r="FC301" s="20"/>
      <c r="FD301" s="20"/>
      <c r="FE301" s="20"/>
      <c r="FF301" s="20"/>
      <c r="FG301" s="20"/>
      <c r="FH301" s="20"/>
      <c r="FI301" s="20"/>
      <c r="FJ301" s="20"/>
      <c r="FK301" s="20"/>
      <c r="FL301" s="20"/>
      <c r="FM301" s="20"/>
      <c r="FN301" s="20"/>
      <c r="FO301" s="20"/>
      <c r="FP301" s="20"/>
      <c r="FQ301" s="20"/>
      <c r="FR301" s="20"/>
      <c r="FS301" s="20"/>
      <c r="FT301" s="20"/>
      <c r="FU301" s="20"/>
      <c r="FV301" s="20"/>
      <c r="FW301" s="20"/>
      <c r="FX301" s="20"/>
      <c r="FY301" s="20"/>
      <c r="FZ301" s="20"/>
      <c r="GA301" s="20"/>
      <c r="GB301" s="20"/>
      <c r="GC301" s="20"/>
      <c r="GD301" s="20"/>
      <c r="GE301" s="20"/>
      <c r="GF301" s="20"/>
      <c r="GG301" s="20"/>
      <c r="GH301" s="20"/>
      <c r="GI301" s="20"/>
      <c r="GJ301" s="20"/>
      <c r="GK301" s="20"/>
      <c r="GL301" s="20"/>
      <c r="GM301" s="20"/>
      <c r="GN301" s="20"/>
      <c r="GO301" s="20"/>
      <c r="GP301" s="20"/>
      <c r="GQ301" s="20"/>
      <c r="GR301" s="20"/>
      <c r="GS301" s="20"/>
      <c r="GT301" s="20"/>
      <c r="GU301" s="20"/>
      <c r="GV301" s="20"/>
      <c r="GW301" s="20"/>
      <c r="GX301" s="20"/>
      <c r="GY301" s="20"/>
      <c r="GZ301" s="20"/>
      <c r="HA301" s="20"/>
      <c r="HB301" s="20"/>
      <c r="HC301" s="20"/>
      <c r="HD301" s="20"/>
      <c r="HE301" s="20"/>
      <c r="HF301" s="20"/>
      <c r="HG301" s="20"/>
      <c r="HH301" s="20"/>
      <c r="HI301" s="20"/>
      <c r="HJ301" s="20"/>
      <c r="HK301" s="20"/>
      <c r="HL301" s="20"/>
      <c r="HM301" s="20"/>
      <c r="HN301" s="20"/>
      <c r="HO301" s="20"/>
      <c r="HP301" s="20"/>
      <c r="HQ301" s="20"/>
      <c r="HR301" s="20"/>
      <c r="HS301" s="20"/>
      <c r="HT301" s="20"/>
      <c r="HU301" s="20"/>
      <c r="HV301" s="20"/>
      <c r="HW301" s="20"/>
      <c r="HX301" s="20"/>
      <c r="HY301" s="20"/>
      <c r="HZ301" s="20"/>
      <c r="IA301" s="20"/>
      <c r="IB301" s="20"/>
      <c r="IC301" s="20"/>
      <c r="ID301" s="20"/>
      <c r="IE301" s="20"/>
      <c r="IF301" s="20"/>
      <c r="IG301" s="20"/>
      <c r="IH301" s="20"/>
      <c r="II301" s="20"/>
      <c r="IJ301" s="20"/>
      <c r="IK301" s="20"/>
      <c r="IL301" s="20"/>
      <c r="IM301" s="20"/>
      <c r="IN301" s="20"/>
      <c r="IO301" s="20"/>
      <c r="IP301" s="20"/>
      <c r="IQ301" s="20"/>
      <c r="IR301" s="20"/>
      <c r="IS301" s="20"/>
      <c r="IT301" s="20"/>
      <c r="IU301" s="20"/>
      <c r="IV301" s="20"/>
      <c r="IW301" s="20"/>
      <c r="IX301" s="20"/>
      <c r="IY301" s="20"/>
      <c r="IZ301" s="20"/>
      <c r="JA301" s="20"/>
      <c r="JB301" s="20"/>
      <c r="JC301" s="20"/>
      <c r="JD301" s="20"/>
      <c r="JE301" s="20"/>
      <c r="JF301" s="20"/>
      <c r="JG301" s="20"/>
      <c r="JH301" s="20"/>
      <c r="JI301" s="20"/>
    </row>
    <row r="302" spans="1:269">
      <c r="A302" s="61"/>
      <c r="B302" s="20"/>
      <c r="C302" s="20"/>
      <c r="D302" s="27"/>
      <c r="E302" s="27"/>
      <c r="F302" s="27"/>
      <c r="G302" s="18"/>
      <c r="H302" s="27"/>
      <c r="I302" s="27"/>
      <c r="J302" s="18"/>
      <c r="K302" s="27"/>
      <c r="L302" s="27"/>
      <c r="M302" s="18"/>
      <c r="N302" s="27"/>
      <c r="O302" s="27"/>
      <c r="P302" s="18"/>
      <c r="Q302" s="27"/>
      <c r="R302" s="18"/>
      <c r="S302" s="18"/>
      <c r="T302" s="18"/>
      <c r="U302" s="18"/>
      <c r="V302" s="18"/>
      <c r="W302" s="105"/>
      <c r="X302" s="105"/>
      <c r="Y302" s="18"/>
      <c r="Z302" s="105"/>
      <c r="AA302" s="105"/>
      <c r="AB302" s="18"/>
      <c r="AC302" s="105"/>
      <c r="AD302" s="105"/>
      <c r="AE302" s="18"/>
      <c r="AF302" s="105"/>
      <c r="AG302" s="105"/>
      <c r="AH302" s="105"/>
      <c r="AI302" s="105"/>
      <c r="AJ302" s="105"/>
      <c r="AK302" s="105"/>
      <c r="AL302" s="105"/>
      <c r="AM302" s="18"/>
      <c r="AN302" s="105"/>
      <c r="AO302" s="105"/>
      <c r="AP302" s="105"/>
      <c r="AQ302" s="18"/>
      <c r="AR302" s="105"/>
      <c r="AS302" s="105"/>
      <c r="AT302" s="105"/>
      <c r="AU302" s="18"/>
      <c r="AV302" s="105"/>
      <c r="AW302" s="105"/>
      <c r="AX302" s="18"/>
      <c r="AY302" s="105"/>
      <c r="AZ302" s="105"/>
      <c r="BA302" s="105"/>
      <c r="BB302" s="105"/>
      <c r="BC302" s="18"/>
      <c r="BD302" s="89"/>
      <c r="BE302" s="89"/>
      <c r="BF302" s="89"/>
      <c r="BG302" s="89"/>
      <c r="BH302" s="89"/>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c r="DU302" s="20"/>
      <c r="DV302" s="20"/>
      <c r="DW302" s="20"/>
      <c r="DX302" s="20"/>
      <c r="DY302" s="20"/>
      <c r="DZ302" s="20"/>
      <c r="EA302" s="20"/>
      <c r="EB302" s="20"/>
      <c r="EC302" s="20"/>
      <c r="ED302" s="20"/>
      <c r="EE302" s="20"/>
      <c r="EF302" s="20"/>
      <c r="EG302" s="20"/>
      <c r="EH302" s="20"/>
      <c r="EI302" s="20"/>
      <c r="EJ302" s="20"/>
      <c r="EK302" s="20"/>
      <c r="EL302" s="20"/>
      <c r="EM302" s="20"/>
      <c r="EN302" s="20"/>
      <c r="EO302" s="20"/>
      <c r="EP302" s="20"/>
      <c r="EQ302" s="20"/>
      <c r="ER302" s="20"/>
      <c r="ES302" s="20"/>
      <c r="ET302" s="20"/>
      <c r="EU302" s="20"/>
      <c r="EV302" s="20"/>
      <c r="EW302" s="20"/>
      <c r="EX302" s="20"/>
      <c r="EY302" s="20"/>
      <c r="EZ302" s="20"/>
      <c r="FA302" s="20"/>
      <c r="FB302" s="20"/>
      <c r="FC302" s="20"/>
      <c r="FD302" s="20"/>
      <c r="FE302" s="20"/>
      <c r="FF302" s="20"/>
      <c r="FG302" s="20"/>
      <c r="FH302" s="20"/>
      <c r="FI302" s="20"/>
      <c r="FJ302" s="20"/>
      <c r="FK302" s="20"/>
      <c r="FL302" s="20"/>
      <c r="FM302" s="20"/>
      <c r="FN302" s="20"/>
      <c r="FO302" s="20"/>
      <c r="FP302" s="20"/>
      <c r="FQ302" s="20"/>
      <c r="FR302" s="20"/>
      <c r="FS302" s="20"/>
      <c r="FT302" s="20"/>
      <c r="FU302" s="20"/>
      <c r="FV302" s="20"/>
      <c r="FW302" s="20"/>
      <c r="FX302" s="20"/>
      <c r="FY302" s="20"/>
      <c r="FZ302" s="20"/>
      <c r="GA302" s="20"/>
      <c r="GB302" s="20"/>
      <c r="GC302" s="20"/>
      <c r="GD302" s="20"/>
      <c r="GE302" s="20"/>
      <c r="GF302" s="20"/>
      <c r="GG302" s="20"/>
      <c r="GH302" s="20"/>
      <c r="GI302" s="20"/>
      <c r="GJ302" s="20"/>
      <c r="GK302" s="20"/>
      <c r="GL302" s="20"/>
      <c r="GM302" s="20"/>
      <c r="GN302" s="20"/>
      <c r="GO302" s="20"/>
      <c r="GP302" s="20"/>
      <c r="GQ302" s="20"/>
      <c r="GR302" s="20"/>
      <c r="GS302" s="20"/>
      <c r="GT302" s="20"/>
      <c r="GU302" s="20"/>
      <c r="GV302" s="20"/>
      <c r="GW302" s="20"/>
      <c r="GX302" s="20"/>
      <c r="GY302" s="20"/>
      <c r="GZ302" s="20"/>
      <c r="HA302" s="20"/>
      <c r="HB302" s="20"/>
      <c r="HC302" s="20"/>
      <c r="HD302" s="20"/>
      <c r="HE302" s="20"/>
      <c r="HF302" s="20"/>
      <c r="HG302" s="20"/>
      <c r="HH302" s="20"/>
      <c r="HI302" s="20"/>
      <c r="HJ302" s="20"/>
      <c r="HK302" s="20"/>
      <c r="HL302" s="20"/>
      <c r="HM302" s="20"/>
      <c r="HN302" s="20"/>
      <c r="HO302" s="20"/>
      <c r="HP302" s="20"/>
      <c r="HQ302" s="20"/>
      <c r="HR302" s="20"/>
      <c r="HS302" s="20"/>
      <c r="HT302" s="20"/>
      <c r="HU302" s="20"/>
      <c r="HV302" s="20"/>
      <c r="HW302" s="20"/>
      <c r="HX302" s="20"/>
      <c r="HY302" s="20"/>
      <c r="HZ302" s="20"/>
      <c r="IA302" s="20"/>
      <c r="IB302" s="20"/>
      <c r="IC302" s="20"/>
      <c r="ID302" s="20"/>
      <c r="IE302" s="20"/>
      <c r="IF302" s="20"/>
      <c r="IG302" s="20"/>
      <c r="IH302" s="20"/>
      <c r="II302" s="20"/>
      <c r="IJ302" s="20"/>
      <c r="IK302" s="20"/>
      <c r="IL302" s="20"/>
      <c r="IM302" s="20"/>
      <c r="IN302" s="20"/>
      <c r="IO302" s="20"/>
      <c r="IP302" s="20"/>
      <c r="IQ302" s="20"/>
      <c r="IR302" s="20"/>
      <c r="IS302" s="20"/>
      <c r="IT302" s="20"/>
      <c r="IU302" s="20"/>
      <c r="IV302" s="20"/>
      <c r="IW302" s="20"/>
      <c r="IX302" s="20"/>
      <c r="IY302" s="20"/>
      <c r="IZ302" s="20"/>
      <c r="JA302" s="20"/>
      <c r="JB302" s="20"/>
      <c r="JC302" s="20"/>
      <c r="JD302" s="20"/>
      <c r="JE302" s="20"/>
      <c r="JF302" s="20"/>
      <c r="JG302" s="20"/>
      <c r="JH302" s="20"/>
      <c r="JI302" s="20"/>
    </row>
    <row r="303" spans="1:269">
      <c r="A303" s="61"/>
      <c r="B303" s="20"/>
      <c r="C303" s="20"/>
      <c r="D303" s="27"/>
      <c r="E303" s="27"/>
      <c r="F303" s="27"/>
      <c r="G303" s="18"/>
      <c r="H303" s="27"/>
      <c r="I303" s="27"/>
      <c r="J303" s="18"/>
      <c r="K303" s="27"/>
      <c r="L303" s="27"/>
      <c r="M303" s="18"/>
      <c r="N303" s="27"/>
      <c r="O303" s="27"/>
      <c r="P303" s="18"/>
      <c r="Q303" s="27"/>
      <c r="R303" s="18"/>
      <c r="S303" s="18"/>
      <c r="T303" s="18"/>
      <c r="U303" s="18"/>
      <c r="V303" s="18"/>
      <c r="W303" s="105"/>
      <c r="X303" s="105"/>
      <c r="Y303" s="18"/>
      <c r="Z303" s="105"/>
      <c r="AA303" s="105"/>
      <c r="AB303" s="18"/>
      <c r="AC303" s="105"/>
      <c r="AD303" s="105"/>
      <c r="AE303" s="18"/>
      <c r="AF303" s="105"/>
      <c r="AG303" s="105"/>
      <c r="AH303" s="105"/>
      <c r="AI303" s="105"/>
      <c r="AJ303" s="105"/>
      <c r="AK303" s="105"/>
      <c r="AL303" s="105"/>
      <c r="AM303" s="18"/>
      <c r="AN303" s="105"/>
      <c r="AO303" s="105"/>
      <c r="AP303" s="105"/>
      <c r="AQ303" s="18"/>
      <c r="AR303" s="105"/>
      <c r="AS303" s="105"/>
      <c r="AT303" s="105"/>
      <c r="AU303" s="18"/>
      <c r="AV303" s="105"/>
      <c r="AW303" s="105"/>
      <c r="AX303" s="18"/>
      <c r="AY303" s="105"/>
      <c r="AZ303" s="105"/>
      <c r="BA303" s="105"/>
      <c r="BB303" s="105"/>
      <c r="BC303" s="18"/>
      <c r="BD303" s="89"/>
      <c r="BE303" s="89"/>
      <c r="BF303" s="89"/>
      <c r="BG303" s="89"/>
      <c r="BH303" s="89"/>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c r="DU303" s="20"/>
      <c r="DV303" s="20"/>
      <c r="DW303" s="20"/>
      <c r="DX303" s="20"/>
      <c r="DY303" s="20"/>
      <c r="DZ303" s="20"/>
      <c r="EA303" s="20"/>
      <c r="EB303" s="20"/>
      <c r="EC303" s="20"/>
      <c r="ED303" s="20"/>
      <c r="EE303" s="20"/>
      <c r="EF303" s="20"/>
      <c r="EG303" s="20"/>
      <c r="EH303" s="20"/>
      <c r="EI303" s="20"/>
      <c r="EJ303" s="20"/>
      <c r="EK303" s="20"/>
      <c r="EL303" s="20"/>
      <c r="EM303" s="20"/>
      <c r="EN303" s="20"/>
      <c r="EO303" s="20"/>
      <c r="EP303" s="20"/>
      <c r="EQ303" s="20"/>
      <c r="ER303" s="20"/>
      <c r="ES303" s="20"/>
      <c r="ET303" s="20"/>
      <c r="EU303" s="20"/>
      <c r="EV303" s="20"/>
      <c r="EW303" s="20"/>
      <c r="EX303" s="20"/>
      <c r="EY303" s="20"/>
      <c r="EZ303" s="20"/>
      <c r="FA303" s="20"/>
      <c r="FB303" s="20"/>
      <c r="FC303" s="20"/>
      <c r="FD303" s="20"/>
      <c r="FE303" s="20"/>
      <c r="FF303" s="20"/>
      <c r="FG303" s="20"/>
      <c r="FH303" s="20"/>
      <c r="FI303" s="20"/>
      <c r="FJ303" s="20"/>
      <c r="FK303" s="20"/>
      <c r="FL303" s="20"/>
      <c r="FM303" s="20"/>
      <c r="FN303" s="20"/>
      <c r="FO303" s="20"/>
      <c r="FP303" s="20"/>
      <c r="FQ303" s="20"/>
      <c r="FR303" s="20"/>
      <c r="FS303" s="20"/>
      <c r="FT303" s="20"/>
      <c r="FU303" s="20"/>
      <c r="FV303" s="20"/>
      <c r="FW303" s="20"/>
      <c r="FX303" s="20"/>
      <c r="FY303" s="20"/>
      <c r="FZ303" s="20"/>
      <c r="GA303" s="20"/>
      <c r="GB303" s="20"/>
      <c r="GC303" s="20"/>
      <c r="GD303" s="20"/>
      <c r="GE303" s="20"/>
      <c r="GF303" s="20"/>
      <c r="GG303" s="20"/>
      <c r="GH303" s="20"/>
      <c r="GI303" s="20"/>
      <c r="GJ303" s="20"/>
      <c r="GK303" s="20"/>
      <c r="GL303" s="20"/>
      <c r="GM303" s="20"/>
      <c r="GN303" s="20"/>
      <c r="GO303" s="20"/>
      <c r="GP303" s="20"/>
      <c r="GQ303" s="20"/>
      <c r="GR303" s="20"/>
      <c r="GS303" s="20"/>
      <c r="GT303" s="20"/>
      <c r="GU303" s="20"/>
      <c r="GV303" s="20"/>
      <c r="GW303" s="20"/>
      <c r="GX303" s="20"/>
      <c r="GY303" s="20"/>
      <c r="GZ303" s="20"/>
      <c r="HA303" s="20"/>
      <c r="HB303" s="20"/>
      <c r="HC303" s="20"/>
      <c r="HD303" s="20"/>
      <c r="HE303" s="20"/>
      <c r="HF303" s="20"/>
      <c r="HG303" s="20"/>
      <c r="HH303" s="20"/>
      <c r="HI303" s="20"/>
      <c r="HJ303" s="20"/>
      <c r="HK303" s="20"/>
      <c r="HL303" s="20"/>
      <c r="HM303" s="20"/>
      <c r="HN303" s="20"/>
      <c r="HO303" s="20"/>
      <c r="HP303" s="20"/>
      <c r="HQ303" s="20"/>
      <c r="HR303" s="20"/>
      <c r="HS303" s="20"/>
      <c r="HT303" s="20"/>
      <c r="HU303" s="20"/>
      <c r="HV303" s="20"/>
      <c r="HW303" s="20"/>
      <c r="HX303" s="20"/>
      <c r="HY303" s="20"/>
      <c r="HZ303" s="20"/>
      <c r="IA303" s="20"/>
      <c r="IB303" s="20"/>
      <c r="IC303" s="20"/>
      <c r="ID303" s="20"/>
      <c r="IE303" s="20"/>
      <c r="IF303" s="20"/>
      <c r="IG303" s="20"/>
      <c r="IH303" s="20"/>
      <c r="II303" s="20"/>
      <c r="IJ303" s="20"/>
      <c r="IK303" s="20"/>
      <c r="IL303" s="20"/>
      <c r="IM303" s="20"/>
      <c r="IN303" s="20"/>
      <c r="IO303" s="20"/>
      <c r="IP303" s="20"/>
      <c r="IQ303" s="20"/>
      <c r="IR303" s="20"/>
      <c r="IS303" s="20"/>
      <c r="IT303" s="20"/>
      <c r="IU303" s="20"/>
      <c r="IV303" s="20"/>
      <c r="IW303" s="20"/>
      <c r="IX303" s="20"/>
      <c r="IY303" s="20"/>
      <c r="IZ303" s="20"/>
      <c r="JA303" s="20"/>
      <c r="JB303" s="20"/>
      <c r="JC303" s="20"/>
      <c r="JD303" s="20"/>
      <c r="JE303" s="20"/>
      <c r="JF303" s="20"/>
      <c r="JG303" s="20"/>
      <c r="JH303" s="20"/>
      <c r="JI303" s="20"/>
    </row>
    <row r="304" spans="1:269">
      <c r="A304" s="61"/>
      <c r="B304" s="20"/>
      <c r="C304" s="20"/>
      <c r="D304" s="27"/>
      <c r="E304" s="27"/>
      <c r="F304" s="27"/>
      <c r="G304" s="18"/>
      <c r="H304" s="27"/>
      <c r="I304" s="27"/>
      <c r="J304" s="18"/>
      <c r="K304" s="27"/>
      <c r="L304" s="27"/>
      <c r="M304" s="18"/>
      <c r="N304" s="27"/>
      <c r="O304" s="27"/>
      <c r="P304" s="18"/>
      <c r="Q304" s="27"/>
      <c r="R304" s="18"/>
      <c r="S304" s="18"/>
      <c r="T304" s="18"/>
      <c r="U304" s="18"/>
      <c r="V304" s="18"/>
      <c r="W304" s="105"/>
      <c r="X304" s="105"/>
      <c r="Y304" s="18"/>
      <c r="Z304" s="105"/>
      <c r="AA304" s="105"/>
      <c r="AB304" s="18"/>
      <c r="AC304" s="105"/>
      <c r="AD304" s="105"/>
      <c r="AE304" s="18"/>
      <c r="AF304" s="105"/>
      <c r="AG304" s="105"/>
      <c r="AH304" s="105"/>
      <c r="AI304" s="105"/>
      <c r="AJ304" s="105"/>
      <c r="AK304" s="105"/>
      <c r="AL304" s="105"/>
      <c r="AM304" s="18"/>
      <c r="AN304" s="105"/>
      <c r="AO304" s="105"/>
      <c r="AP304" s="105"/>
      <c r="AQ304" s="18"/>
      <c r="AR304" s="105"/>
      <c r="AS304" s="105"/>
      <c r="AT304" s="105"/>
      <c r="AU304" s="18"/>
      <c r="AV304" s="105"/>
      <c r="AW304" s="105"/>
      <c r="AX304" s="18"/>
      <c r="AY304" s="105"/>
      <c r="AZ304" s="105"/>
      <c r="BA304" s="105"/>
      <c r="BB304" s="105"/>
      <c r="BC304" s="18"/>
      <c r="BD304" s="89"/>
      <c r="BE304" s="89"/>
      <c r="BF304" s="89"/>
      <c r="BG304" s="89"/>
      <c r="BH304" s="89"/>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c r="DU304" s="20"/>
      <c r="DV304" s="20"/>
      <c r="DW304" s="20"/>
      <c r="DX304" s="20"/>
      <c r="DY304" s="20"/>
      <c r="DZ304" s="20"/>
      <c r="EA304" s="20"/>
      <c r="EB304" s="20"/>
      <c r="EC304" s="20"/>
      <c r="ED304" s="20"/>
      <c r="EE304" s="20"/>
      <c r="EF304" s="20"/>
      <c r="EG304" s="20"/>
      <c r="EH304" s="20"/>
      <c r="EI304" s="20"/>
      <c r="EJ304" s="20"/>
      <c r="EK304" s="20"/>
      <c r="EL304" s="20"/>
      <c r="EM304" s="20"/>
      <c r="EN304" s="20"/>
      <c r="EO304" s="20"/>
      <c r="EP304" s="20"/>
      <c r="EQ304" s="20"/>
      <c r="ER304" s="20"/>
      <c r="ES304" s="20"/>
      <c r="ET304" s="20"/>
      <c r="EU304" s="20"/>
      <c r="EV304" s="20"/>
      <c r="EW304" s="20"/>
      <c r="EX304" s="20"/>
      <c r="EY304" s="20"/>
      <c r="EZ304" s="20"/>
      <c r="FA304" s="20"/>
      <c r="FB304" s="20"/>
      <c r="FC304" s="20"/>
      <c r="FD304" s="20"/>
      <c r="FE304" s="20"/>
      <c r="FF304" s="20"/>
      <c r="FG304" s="20"/>
      <c r="FH304" s="20"/>
      <c r="FI304" s="20"/>
      <c r="FJ304" s="20"/>
      <c r="FK304" s="20"/>
      <c r="FL304" s="20"/>
      <c r="FM304" s="20"/>
      <c r="FN304" s="20"/>
      <c r="FO304" s="20"/>
      <c r="FP304" s="20"/>
      <c r="FQ304" s="20"/>
      <c r="FR304" s="20"/>
      <c r="FS304" s="20"/>
      <c r="FT304" s="20"/>
      <c r="FU304" s="20"/>
      <c r="FV304" s="20"/>
      <c r="FW304" s="20"/>
      <c r="FX304" s="20"/>
      <c r="FY304" s="20"/>
      <c r="FZ304" s="20"/>
      <c r="GA304" s="20"/>
      <c r="GB304" s="20"/>
      <c r="GC304" s="20"/>
      <c r="GD304" s="20"/>
      <c r="GE304" s="20"/>
      <c r="GF304" s="20"/>
      <c r="GG304" s="20"/>
      <c r="GH304" s="20"/>
      <c r="GI304" s="20"/>
      <c r="GJ304" s="20"/>
      <c r="GK304" s="20"/>
      <c r="GL304" s="20"/>
      <c r="GM304" s="20"/>
      <c r="GN304" s="20"/>
      <c r="GO304" s="20"/>
      <c r="GP304" s="20"/>
      <c r="GQ304" s="20"/>
      <c r="GR304" s="20"/>
      <c r="GS304" s="20"/>
      <c r="GT304" s="20"/>
      <c r="GU304" s="20"/>
      <c r="GV304" s="20"/>
      <c r="GW304" s="20"/>
      <c r="GX304" s="20"/>
      <c r="GY304" s="20"/>
      <c r="GZ304" s="20"/>
      <c r="HA304" s="20"/>
      <c r="HB304" s="20"/>
      <c r="HC304" s="20"/>
      <c r="HD304" s="20"/>
      <c r="HE304" s="20"/>
      <c r="HF304" s="20"/>
      <c r="HG304" s="20"/>
      <c r="HH304" s="20"/>
      <c r="HI304" s="20"/>
      <c r="HJ304" s="20"/>
      <c r="HK304" s="20"/>
      <c r="HL304" s="20"/>
      <c r="HM304" s="20"/>
      <c r="HN304" s="20"/>
      <c r="HO304" s="20"/>
      <c r="HP304" s="20"/>
      <c r="HQ304" s="20"/>
      <c r="HR304" s="20"/>
      <c r="HS304" s="20"/>
      <c r="HT304" s="20"/>
      <c r="HU304" s="20"/>
      <c r="HV304" s="20"/>
      <c r="HW304" s="20"/>
      <c r="HX304" s="20"/>
      <c r="HY304" s="20"/>
      <c r="HZ304" s="20"/>
      <c r="IA304" s="20"/>
      <c r="IB304" s="20"/>
      <c r="IC304" s="20"/>
      <c r="ID304" s="20"/>
      <c r="IE304" s="20"/>
      <c r="IF304" s="20"/>
      <c r="IG304" s="20"/>
      <c r="IH304" s="20"/>
      <c r="II304" s="20"/>
      <c r="IJ304" s="20"/>
      <c r="IK304" s="20"/>
      <c r="IL304" s="20"/>
      <c r="IM304" s="20"/>
      <c r="IN304" s="20"/>
      <c r="IO304" s="20"/>
      <c r="IP304" s="20"/>
      <c r="IQ304" s="20"/>
      <c r="IR304" s="20"/>
      <c r="IS304" s="20"/>
      <c r="IT304" s="20"/>
      <c r="IU304" s="20"/>
      <c r="IV304" s="20"/>
      <c r="IW304" s="20"/>
      <c r="IX304" s="20"/>
      <c r="IY304" s="20"/>
      <c r="IZ304" s="20"/>
      <c r="JA304" s="20"/>
      <c r="JB304" s="20"/>
      <c r="JC304" s="20"/>
      <c r="JD304" s="20"/>
      <c r="JE304" s="20"/>
      <c r="JF304" s="20"/>
      <c r="JG304" s="20"/>
      <c r="JH304" s="20"/>
      <c r="JI304" s="20"/>
    </row>
    <row r="305" spans="1:269">
      <c r="A305" s="61"/>
      <c r="B305" s="20"/>
      <c r="C305" s="20"/>
      <c r="D305" s="27"/>
      <c r="E305" s="27"/>
      <c r="F305" s="27"/>
      <c r="G305" s="18"/>
      <c r="H305" s="27"/>
      <c r="I305" s="27"/>
      <c r="J305" s="18"/>
      <c r="K305" s="27"/>
      <c r="L305" s="27"/>
      <c r="M305" s="18"/>
      <c r="N305" s="27"/>
      <c r="O305" s="27"/>
      <c r="P305" s="18"/>
      <c r="Q305" s="27"/>
      <c r="R305" s="18"/>
      <c r="S305" s="18"/>
      <c r="T305" s="18"/>
      <c r="U305" s="18"/>
      <c r="V305" s="18"/>
      <c r="W305" s="105"/>
      <c r="X305" s="105"/>
      <c r="Y305" s="18"/>
      <c r="Z305" s="105"/>
      <c r="AA305" s="105"/>
      <c r="AB305" s="18"/>
      <c r="AC305" s="105"/>
      <c r="AD305" s="105"/>
      <c r="AE305" s="18"/>
      <c r="AF305" s="105"/>
      <c r="AG305" s="105"/>
      <c r="AH305" s="105"/>
      <c r="AI305" s="105"/>
      <c r="AJ305" s="105"/>
      <c r="AK305" s="105"/>
      <c r="AL305" s="105"/>
      <c r="AM305" s="18"/>
      <c r="AN305" s="105"/>
      <c r="AO305" s="105"/>
      <c r="AP305" s="105"/>
      <c r="AQ305" s="18"/>
      <c r="AR305" s="105"/>
      <c r="AS305" s="105"/>
      <c r="AT305" s="105"/>
      <c r="AU305" s="18"/>
      <c r="AV305" s="105"/>
      <c r="AW305" s="105"/>
      <c r="AX305" s="18"/>
      <c r="AY305" s="105"/>
      <c r="AZ305" s="105"/>
      <c r="BA305" s="105"/>
      <c r="BB305" s="105"/>
      <c r="BC305" s="18"/>
      <c r="BD305" s="89"/>
      <c r="BE305" s="89"/>
      <c r="BF305" s="89"/>
      <c r="BG305" s="89"/>
      <c r="BH305" s="89"/>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c r="DU305" s="20"/>
      <c r="DV305" s="20"/>
      <c r="DW305" s="20"/>
      <c r="DX305" s="20"/>
      <c r="DY305" s="20"/>
      <c r="DZ305" s="20"/>
      <c r="EA305" s="20"/>
      <c r="EB305" s="20"/>
      <c r="EC305" s="20"/>
      <c r="ED305" s="20"/>
      <c r="EE305" s="20"/>
      <c r="EF305" s="20"/>
      <c r="EG305" s="20"/>
      <c r="EH305" s="20"/>
      <c r="EI305" s="20"/>
      <c r="EJ305" s="20"/>
      <c r="EK305" s="20"/>
      <c r="EL305" s="20"/>
      <c r="EM305" s="20"/>
      <c r="EN305" s="20"/>
      <c r="EO305" s="20"/>
      <c r="EP305" s="20"/>
      <c r="EQ305" s="20"/>
      <c r="ER305" s="20"/>
      <c r="ES305" s="20"/>
      <c r="ET305" s="20"/>
      <c r="EU305" s="20"/>
      <c r="EV305" s="20"/>
      <c r="EW305" s="20"/>
      <c r="EX305" s="20"/>
      <c r="EY305" s="20"/>
      <c r="EZ305" s="20"/>
      <c r="FA305" s="20"/>
      <c r="FB305" s="20"/>
      <c r="FC305" s="20"/>
      <c r="FD305" s="20"/>
      <c r="FE305" s="20"/>
      <c r="FF305" s="20"/>
      <c r="FG305" s="20"/>
      <c r="FH305" s="20"/>
      <c r="FI305" s="20"/>
      <c r="FJ305" s="20"/>
      <c r="FK305" s="20"/>
      <c r="FL305" s="20"/>
      <c r="FM305" s="20"/>
      <c r="FN305" s="20"/>
      <c r="FO305" s="20"/>
      <c r="FP305" s="20"/>
      <c r="FQ305" s="20"/>
      <c r="FR305" s="20"/>
      <c r="FS305" s="20"/>
      <c r="FT305" s="20"/>
      <c r="FU305" s="20"/>
      <c r="FV305" s="20"/>
      <c r="FW305" s="20"/>
      <c r="FX305" s="20"/>
      <c r="FY305" s="20"/>
      <c r="FZ305" s="20"/>
      <c r="GA305" s="20"/>
      <c r="GB305" s="20"/>
      <c r="GC305" s="20"/>
      <c r="GD305" s="20"/>
      <c r="GE305" s="20"/>
      <c r="GF305" s="20"/>
      <c r="GG305" s="20"/>
      <c r="GH305" s="20"/>
      <c r="GI305" s="20"/>
      <c r="GJ305" s="20"/>
      <c r="GK305" s="20"/>
      <c r="GL305" s="20"/>
      <c r="GM305" s="20"/>
      <c r="GN305" s="20"/>
      <c r="GO305" s="20"/>
      <c r="GP305" s="20"/>
      <c r="GQ305" s="20"/>
      <c r="GR305" s="20"/>
      <c r="GS305" s="20"/>
      <c r="GT305" s="20"/>
      <c r="GU305" s="20"/>
      <c r="GV305" s="20"/>
      <c r="GW305" s="20"/>
      <c r="GX305" s="20"/>
      <c r="GY305" s="20"/>
      <c r="GZ305" s="20"/>
      <c r="HA305" s="20"/>
      <c r="HB305" s="20"/>
      <c r="HC305" s="20"/>
      <c r="HD305" s="20"/>
      <c r="HE305" s="20"/>
      <c r="HF305" s="20"/>
      <c r="HG305" s="20"/>
      <c r="HH305" s="20"/>
      <c r="HI305" s="20"/>
      <c r="HJ305" s="20"/>
      <c r="HK305" s="20"/>
      <c r="HL305" s="20"/>
      <c r="HM305" s="20"/>
      <c r="HN305" s="20"/>
      <c r="HO305" s="20"/>
      <c r="HP305" s="20"/>
      <c r="HQ305" s="20"/>
      <c r="HR305" s="20"/>
      <c r="HS305" s="20"/>
      <c r="HT305" s="20"/>
      <c r="HU305" s="20"/>
      <c r="HV305" s="20"/>
      <c r="HW305" s="20"/>
      <c r="HX305" s="20"/>
      <c r="HY305" s="20"/>
      <c r="HZ305" s="20"/>
      <c r="IA305" s="20"/>
      <c r="IB305" s="20"/>
      <c r="IC305" s="20"/>
      <c r="ID305" s="20"/>
      <c r="IE305" s="20"/>
      <c r="IF305" s="20"/>
      <c r="IG305" s="20"/>
      <c r="IH305" s="20"/>
      <c r="II305" s="20"/>
      <c r="IJ305" s="20"/>
      <c r="IK305" s="20"/>
      <c r="IL305" s="20"/>
      <c r="IM305" s="20"/>
      <c r="IN305" s="20"/>
      <c r="IO305" s="20"/>
      <c r="IP305" s="20"/>
      <c r="IQ305" s="20"/>
      <c r="IR305" s="20"/>
      <c r="IS305" s="20"/>
      <c r="IT305" s="20"/>
      <c r="IU305" s="20"/>
      <c r="IV305" s="20"/>
      <c r="IW305" s="20"/>
      <c r="IX305" s="20"/>
      <c r="IY305" s="20"/>
      <c r="IZ305" s="20"/>
      <c r="JA305" s="20"/>
      <c r="JB305" s="20"/>
      <c r="JC305" s="20"/>
      <c r="JD305" s="20"/>
      <c r="JE305" s="20"/>
      <c r="JF305" s="20"/>
      <c r="JG305" s="20"/>
      <c r="JH305" s="20"/>
      <c r="JI305" s="20"/>
    </row>
    <row r="306" spans="1:269">
      <c r="A306" s="61"/>
      <c r="B306" s="20"/>
      <c r="C306" s="20"/>
      <c r="D306" s="27"/>
      <c r="E306" s="27"/>
      <c r="F306" s="27"/>
      <c r="G306" s="18"/>
      <c r="H306" s="27"/>
      <c r="I306" s="27"/>
      <c r="J306" s="18"/>
      <c r="K306" s="27"/>
      <c r="L306" s="27"/>
      <c r="M306" s="18"/>
      <c r="N306" s="27"/>
      <c r="O306" s="27"/>
      <c r="P306" s="18"/>
      <c r="Q306" s="27"/>
      <c r="R306" s="18"/>
      <c r="S306" s="18"/>
      <c r="T306" s="18"/>
      <c r="U306" s="18"/>
      <c r="V306" s="18"/>
      <c r="W306" s="105"/>
      <c r="X306" s="105"/>
      <c r="Y306" s="18"/>
      <c r="Z306" s="105"/>
      <c r="AA306" s="105"/>
      <c r="AB306" s="18"/>
      <c r="AC306" s="105"/>
      <c r="AD306" s="105"/>
      <c r="AE306" s="18"/>
      <c r="AF306" s="105"/>
      <c r="AG306" s="105"/>
      <c r="AH306" s="105"/>
      <c r="AI306" s="105"/>
      <c r="AJ306" s="105"/>
      <c r="AK306" s="105"/>
      <c r="AL306" s="105"/>
      <c r="AM306" s="18"/>
      <c r="AN306" s="105"/>
      <c r="AO306" s="105"/>
      <c r="AP306" s="105"/>
      <c r="AQ306" s="18"/>
      <c r="AR306" s="105"/>
      <c r="AS306" s="105"/>
      <c r="AT306" s="105"/>
      <c r="AU306" s="18"/>
      <c r="AV306" s="105"/>
      <c r="AW306" s="105"/>
      <c r="AX306" s="18"/>
      <c r="AY306" s="105"/>
      <c r="AZ306" s="105"/>
      <c r="BA306" s="105"/>
      <c r="BB306" s="105"/>
      <c r="BC306" s="18"/>
      <c r="BD306" s="89"/>
      <c r="BE306" s="89"/>
      <c r="BF306" s="89"/>
      <c r="BG306" s="89"/>
      <c r="BH306" s="89"/>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c r="DU306" s="20"/>
      <c r="DV306" s="20"/>
      <c r="DW306" s="20"/>
      <c r="DX306" s="20"/>
      <c r="DY306" s="20"/>
      <c r="DZ306" s="20"/>
      <c r="EA306" s="20"/>
      <c r="EB306" s="20"/>
      <c r="EC306" s="20"/>
      <c r="ED306" s="20"/>
      <c r="EE306" s="20"/>
      <c r="EF306" s="20"/>
      <c r="EG306" s="20"/>
      <c r="EH306" s="20"/>
      <c r="EI306" s="20"/>
      <c r="EJ306" s="20"/>
      <c r="EK306" s="20"/>
      <c r="EL306" s="20"/>
      <c r="EM306" s="20"/>
      <c r="EN306" s="20"/>
      <c r="EO306" s="20"/>
      <c r="EP306" s="20"/>
      <c r="EQ306" s="20"/>
      <c r="ER306" s="20"/>
      <c r="ES306" s="20"/>
      <c r="ET306" s="20"/>
      <c r="EU306" s="20"/>
      <c r="EV306" s="20"/>
      <c r="EW306" s="20"/>
      <c r="EX306" s="20"/>
      <c r="EY306" s="20"/>
      <c r="EZ306" s="20"/>
      <c r="FA306" s="20"/>
      <c r="FB306" s="20"/>
      <c r="FC306" s="20"/>
      <c r="FD306" s="20"/>
      <c r="FE306" s="20"/>
      <c r="FF306" s="20"/>
      <c r="FG306" s="20"/>
      <c r="FH306" s="20"/>
      <c r="FI306" s="20"/>
      <c r="FJ306" s="20"/>
      <c r="FK306" s="20"/>
      <c r="FL306" s="20"/>
      <c r="FM306" s="20"/>
      <c r="FN306" s="20"/>
      <c r="FO306" s="20"/>
      <c r="FP306" s="20"/>
      <c r="FQ306" s="20"/>
      <c r="FR306" s="20"/>
      <c r="FS306" s="20"/>
      <c r="FT306" s="20"/>
      <c r="FU306" s="20"/>
      <c r="FV306" s="20"/>
      <c r="FW306" s="20"/>
      <c r="FX306" s="20"/>
      <c r="FY306" s="20"/>
      <c r="FZ306" s="20"/>
      <c r="GA306" s="20"/>
      <c r="GB306" s="20"/>
      <c r="GC306" s="20"/>
      <c r="GD306" s="20"/>
      <c r="GE306" s="20"/>
      <c r="GF306" s="20"/>
      <c r="GG306" s="20"/>
      <c r="GH306" s="20"/>
      <c r="GI306" s="20"/>
      <c r="GJ306" s="20"/>
      <c r="GK306" s="20"/>
      <c r="GL306" s="20"/>
      <c r="GM306" s="20"/>
      <c r="GN306" s="20"/>
      <c r="GO306" s="20"/>
      <c r="GP306" s="20"/>
      <c r="GQ306" s="20"/>
      <c r="GR306" s="20"/>
      <c r="GS306" s="20"/>
      <c r="GT306" s="20"/>
      <c r="GU306" s="20"/>
      <c r="GV306" s="20"/>
      <c r="GW306" s="20"/>
      <c r="GX306" s="20"/>
      <c r="GY306" s="20"/>
      <c r="GZ306" s="20"/>
      <c r="HA306" s="20"/>
      <c r="HB306" s="20"/>
      <c r="HC306" s="20"/>
      <c r="HD306" s="20"/>
      <c r="HE306" s="20"/>
      <c r="HF306" s="20"/>
      <c r="HG306" s="20"/>
      <c r="HH306" s="20"/>
      <c r="HI306" s="20"/>
      <c r="HJ306" s="20"/>
      <c r="HK306" s="20"/>
      <c r="HL306" s="20"/>
      <c r="HM306" s="20"/>
      <c r="HN306" s="20"/>
      <c r="HO306" s="20"/>
      <c r="HP306" s="20"/>
      <c r="HQ306" s="20"/>
      <c r="HR306" s="20"/>
      <c r="HS306" s="20"/>
      <c r="HT306" s="20"/>
      <c r="HU306" s="20"/>
      <c r="HV306" s="20"/>
      <c r="HW306" s="20"/>
      <c r="HX306" s="20"/>
      <c r="HY306" s="20"/>
      <c r="HZ306" s="20"/>
      <c r="IA306" s="20"/>
      <c r="IB306" s="20"/>
      <c r="IC306" s="20"/>
      <c r="ID306" s="20"/>
      <c r="IE306" s="20"/>
      <c r="IF306" s="20"/>
      <c r="IG306" s="20"/>
      <c r="IH306" s="20"/>
      <c r="II306" s="20"/>
      <c r="IJ306" s="20"/>
      <c r="IK306" s="20"/>
      <c r="IL306" s="20"/>
      <c r="IM306" s="20"/>
      <c r="IN306" s="20"/>
      <c r="IO306" s="20"/>
      <c r="IP306" s="20"/>
      <c r="IQ306" s="20"/>
      <c r="IR306" s="20"/>
      <c r="IS306" s="20"/>
      <c r="IT306" s="20"/>
      <c r="IU306" s="20"/>
      <c r="IV306" s="20"/>
      <c r="IW306" s="20"/>
      <c r="IX306" s="20"/>
      <c r="IY306" s="20"/>
      <c r="IZ306" s="20"/>
      <c r="JA306" s="20"/>
      <c r="JB306" s="20"/>
      <c r="JC306" s="20"/>
      <c r="JD306" s="20"/>
      <c r="JE306" s="20"/>
      <c r="JF306" s="20"/>
      <c r="JG306" s="20"/>
      <c r="JH306" s="20"/>
      <c r="JI306" s="20"/>
    </row>
    <row r="307" spans="1:269">
      <c r="A307" s="61"/>
      <c r="B307" s="20"/>
      <c r="C307" s="20"/>
      <c r="D307" s="27"/>
      <c r="E307" s="27"/>
      <c r="F307" s="27"/>
      <c r="G307" s="18"/>
      <c r="H307" s="27"/>
      <c r="I307" s="27"/>
      <c r="J307" s="18"/>
      <c r="K307" s="27"/>
      <c r="L307" s="27"/>
      <c r="M307" s="18"/>
      <c r="N307" s="27"/>
      <c r="O307" s="27"/>
      <c r="P307" s="18"/>
      <c r="Q307" s="27"/>
      <c r="R307" s="18"/>
      <c r="S307" s="18"/>
      <c r="T307" s="18"/>
      <c r="U307" s="18"/>
      <c r="V307" s="18"/>
      <c r="W307" s="105"/>
      <c r="X307" s="105"/>
      <c r="Y307" s="18"/>
      <c r="Z307" s="105"/>
      <c r="AA307" s="105"/>
      <c r="AB307" s="18"/>
      <c r="AC307" s="105"/>
      <c r="AD307" s="105"/>
      <c r="AE307" s="18"/>
      <c r="AF307" s="105"/>
      <c r="AG307" s="105"/>
      <c r="AH307" s="105"/>
      <c r="AI307" s="105"/>
      <c r="AJ307" s="105"/>
      <c r="AK307" s="105"/>
      <c r="AL307" s="105"/>
      <c r="AM307" s="18"/>
      <c r="AN307" s="105"/>
      <c r="AO307" s="105"/>
      <c r="AP307" s="105"/>
      <c r="AQ307" s="18"/>
      <c r="AR307" s="105"/>
      <c r="AS307" s="105"/>
      <c r="AT307" s="105"/>
      <c r="AU307" s="18"/>
      <c r="AV307" s="105"/>
      <c r="AW307" s="105"/>
      <c r="AX307" s="18"/>
      <c r="AY307" s="105"/>
      <c r="AZ307" s="105"/>
      <c r="BA307" s="105"/>
      <c r="BB307" s="105"/>
      <c r="BC307" s="18"/>
      <c r="BD307" s="89"/>
      <c r="BE307" s="89"/>
      <c r="BF307" s="89"/>
      <c r="BG307" s="89"/>
      <c r="BH307" s="89"/>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c r="DU307" s="20"/>
      <c r="DV307" s="20"/>
      <c r="DW307" s="20"/>
      <c r="DX307" s="20"/>
      <c r="DY307" s="20"/>
      <c r="DZ307" s="20"/>
      <c r="EA307" s="20"/>
      <c r="EB307" s="20"/>
      <c r="EC307" s="20"/>
      <c r="ED307" s="20"/>
      <c r="EE307" s="20"/>
      <c r="EF307" s="20"/>
      <c r="EG307" s="20"/>
      <c r="EH307" s="20"/>
      <c r="EI307" s="20"/>
      <c r="EJ307" s="20"/>
      <c r="EK307" s="20"/>
      <c r="EL307" s="20"/>
      <c r="EM307" s="20"/>
      <c r="EN307" s="20"/>
      <c r="EO307" s="20"/>
      <c r="EP307" s="20"/>
      <c r="EQ307" s="20"/>
      <c r="ER307" s="20"/>
      <c r="ES307" s="20"/>
      <c r="ET307" s="20"/>
      <c r="EU307" s="20"/>
      <c r="EV307" s="20"/>
      <c r="EW307" s="20"/>
      <c r="EX307" s="20"/>
      <c r="EY307" s="20"/>
      <c r="EZ307" s="20"/>
      <c r="FA307" s="20"/>
      <c r="FB307" s="20"/>
      <c r="FC307" s="20"/>
      <c r="FD307" s="20"/>
      <c r="FE307" s="20"/>
      <c r="FF307" s="20"/>
      <c r="FG307" s="20"/>
      <c r="FH307" s="20"/>
      <c r="FI307" s="20"/>
      <c r="FJ307" s="20"/>
      <c r="FK307" s="20"/>
      <c r="FL307" s="20"/>
      <c r="FM307" s="20"/>
      <c r="FN307" s="20"/>
      <c r="FO307" s="20"/>
      <c r="FP307" s="20"/>
      <c r="FQ307" s="20"/>
      <c r="FR307" s="20"/>
      <c r="FS307" s="20"/>
      <c r="FT307" s="20"/>
      <c r="FU307" s="20"/>
      <c r="FV307" s="20"/>
      <c r="FW307" s="20"/>
      <c r="FX307" s="20"/>
      <c r="FY307" s="20"/>
      <c r="FZ307" s="20"/>
      <c r="GA307" s="20"/>
      <c r="GB307" s="20"/>
      <c r="GC307" s="20"/>
      <c r="GD307" s="20"/>
      <c r="GE307" s="20"/>
      <c r="GF307" s="20"/>
      <c r="GG307" s="20"/>
      <c r="GH307" s="20"/>
      <c r="GI307" s="20"/>
      <c r="GJ307" s="20"/>
      <c r="GK307" s="20"/>
      <c r="GL307" s="20"/>
      <c r="GM307" s="20"/>
      <c r="GN307" s="20"/>
      <c r="GO307" s="20"/>
      <c r="GP307" s="20"/>
      <c r="GQ307" s="20"/>
      <c r="GR307" s="20"/>
      <c r="GS307" s="20"/>
      <c r="GT307" s="20"/>
      <c r="GU307" s="20"/>
      <c r="GV307" s="20"/>
      <c r="GW307" s="20"/>
      <c r="GX307" s="20"/>
      <c r="GY307" s="20"/>
      <c r="GZ307" s="20"/>
      <c r="HA307" s="20"/>
      <c r="HB307" s="20"/>
      <c r="HC307" s="20"/>
      <c r="HD307" s="20"/>
      <c r="HE307" s="20"/>
      <c r="HF307" s="20"/>
      <c r="HG307" s="20"/>
      <c r="HH307" s="20"/>
      <c r="HI307" s="20"/>
      <c r="HJ307" s="20"/>
      <c r="HK307" s="20"/>
      <c r="HL307" s="20"/>
      <c r="HM307" s="20"/>
      <c r="HN307" s="20"/>
      <c r="HO307" s="20"/>
      <c r="HP307" s="20"/>
      <c r="HQ307" s="20"/>
      <c r="HR307" s="20"/>
      <c r="HS307" s="20"/>
      <c r="HT307" s="20"/>
      <c r="HU307" s="20"/>
      <c r="HV307" s="20"/>
      <c r="HW307" s="20"/>
      <c r="HX307" s="20"/>
      <c r="HY307" s="20"/>
      <c r="HZ307" s="20"/>
      <c r="IA307" s="20"/>
      <c r="IB307" s="20"/>
      <c r="IC307" s="20"/>
      <c r="ID307" s="20"/>
      <c r="IE307" s="20"/>
      <c r="IF307" s="20"/>
      <c r="IG307" s="20"/>
      <c r="IH307" s="20"/>
      <c r="II307" s="20"/>
      <c r="IJ307" s="20"/>
      <c r="IK307" s="20"/>
      <c r="IL307" s="20"/>
      <c r="IM307" s="20"/>
      <c r="IN307" s="20"/>
      <c r="IO307" s="20"/>
      <c r="IP307" s="20"/>
      <c r="IQ307" s="20"/>
      <c r="IR307" s="20"/>
      <c r="IS307" s="20"/>
      <c r="IT307" s="20"/>
      <c r="IU307" s="20"/>
      <c r="IV307" s="20"/>
      <c r="IW307" s="20"/>
      <c r="IX307" s="20"/>
      <c r="IY307" s="20"/>
      <c r="IZ307" s="20"/>
      <c r="JA307" s="20"/>
      <c r="JB307" s="20"/>
      <c r="JC307" s="20"/>
      <c r="JD307" s="20"/>
      <c r="JE307" s="20"/>
      <c r="JF307" s="20"/>
      <c r="JG307" s="20"/>
      <c r="JH307" s="20"/>
      <c r="JI307" s="20"/>
    </row>
    <row r="463" spans="1:55">
      <c r="A463" s="28" ph="1"/>
      <c r="B463" s="28" ph="1"/>
      <c r="C463" s="28" ph="1"/>
      <c r="D463" s="28" ph="1"/>
      <c r="E463" s="28" ph="1"/>
      <c r="F463" s="28" ph="1"/>
      <c r="G463" s="28" ph="1"/>
      <c r="H463" s="28" ph="1"/>
      <c r="I463" s="28" ph="1"/>
      <c r="J463" s="28" ph="1"/>
      <c r="K463" s="28" ph="1"/>
      <c r="L463" s="28" ph="1"/>
      <c r="M463" s="28" ph="1"/>
      <c r="N463" s="28" ph="1"/>
      <c r="O463" s="28" ph="1"/>
      <c r="P463" s="28" ph="1"/>
      <c r="Q463" s="28" ph="1"/>
      <c r="R463" s="28" ph="1"/>
      <c r="S463" s="28" ph="1"/>
      <c r="T463" s="28" ph="1"/>
      <c r="U463" s="28" ph="1"/>
      <c r="V463" s="28" ph="1"/>
      <c r="W463" s="88" ph="1"/>
      <c r="X463" s="88" ph="1"/>
      <c r="Y463" s="28" ph="1"/>
      <c r="Z463" s="88" ph="1"/>
      <c r="AA463" s="88" ph="1"/>
      <c r="AB463" s="28" ph="1"/>
      <c r="AC463" s="88" ph="1"/>
      <c r="AD463" s="88" ph="1"/>
      <c r="AE463" s="28" ph="1"/>
      <c r="AF463" s="88" ph="1"/>
      <c r="AG463" s="88" ph="1"/>
      <c r="AH463" s="88" ph="1"/>
      <c r="AI463" s="88" ph="1"/>
      <c r="AJ463" s="88" ph="1"/>
      <c r="AK463" s="88" ph="1"/>
      <c r="AL463" s="88" ph="1"/>
      <c r="AM463" s="28" ph="1"/>
      <c r="AN463" s="88" ph="1"/>
      <c r="AO463" s="88" ph="1"/>
      <c r="AP463" s="88" ph="1"/>
      <c r="AQ463" s="28" ph="1"/>
      <c r="AR463" s="88" ph="1"/>
      <c r="AS463" s="88" ph="1"/>
      <c r="AT463" s="88" ph="1"/>
      <c r="AU463" s="28" ph="1"/>
      <c r="AV463" s="88" ph="1"/>
      <c r="AW463" s="88" ph="1"/>
      <c r="AX463" s="28" ph="1"/>
      <c r="AY463" s="88" ph="1"/>
      <c r="AZ463" s="88" ph="1"/>
      <c r="BA463" s="88" ph="1"/>
      <c r="BB463" s="88" ph="1"/>
      <c r="BC463" s="28" ph="1"/>
    </row>
    <row r="464" spans="1:55">
      <c r="A464" s="28" ph="1"/>
      <c r="B464" s="28" ph="1"/>
      <c r="C464" s="28" ph="1"/>
      <c r="D464" s="28" ph="1"/>
      <c r="E464" s="28" ph="1"/>
      <c r="F464" s="28" ph="1"/>
      <c r="G464" s="28" ph="1"/>
      <c r="H464" s="28" ph="1"/>
      <c r="I464" s="28" ph="1"/>
      <c r="J464" s="28" ph="1"/>
      <c r="K464" s="28" ph="1"/>
      <c r="L464" s="28" ph="1"/>
      <c r="M464" s="28" ph="1"/>
      <c r="N464" s="28" ph="1"/>
      <c r="O464" s="28" ph="1"/>
      <c r="P464" s="28" ph="1"/>
      <c r="Q464" s="28" ph="1"/>
      <c r="R464" s="28" ph="1"/>
      <c r="S464" s="28" ph="1"/>
      <c r="T464" s="28" ph="1"/>
      <c r="U464" s="28" ph="1"/>
      <c r="V464" s="28" ph="1"/>
      <c r="W464" s="88" ph="1"/>
      <c r="X464" s="88" ph="1"/>
      <c r="Y464" s="28" ph="1"/>
      <c r="Z464" s="88" ph="1"/>
      <c r="AA464" s="88" ph="1"/>
      <c r="AB464" s="28" ph="1"/>
      <c r="AC464" s="88" ph="1"/>
      <c r="AD464" s="88" ph="1"/>
      <c r="AE464" s="28" ph="1"/>
      <c r="AF464" s="88" ph="1"/>
      <c r="AG464" s="88" ph="1"/>
      <c r="AH464" s="88" ph="1"/>
      <c r="AI464" s="88" ph="1"/>
      <c r="AJ464" s="88" ph="1"/>
      <c r="AK464" s="88" ph="1"/>
      <c r="AL464" s="88" ph="1"/>
      <c r="AM464" s="28" ph="1"/>
      <c r="AN464" s="88" ph="1"/>
      <c r="AO464" s="88" ph="1"/>
      <c r="AP464" s="88" ph="1"/>
      <c r="AQ464" s="28" ph="1"/>
      <c r="AR464" s="88" ph="1"/>
      <c r="AS464" s="88" ph="1"/>
      <c r="AT464" s="88" ph="1"/>
      <c r="AU464" s="28" ph="1"/>
      <c r="AV464" s="88" ph="1"/>
      <c r="AW464" s="88" ph="1"/>
      <c r="AX464" s="28" ph="1"/>
      <c r="AY464" s="88" ph="1"/>
      <c r="AZ464" s="88" ph="1"/>
      <c r="BA464" s="88" ph="1"/>
      <c r="BB464" s="88" ph="1"/>
      <c r="BC464" s="28" ph="1"/>
    </row>
    <row r="465" spans="1:55">
      <c r="A465" s="28" ph="1"/>
      <c r="B465" s="28" ph="1"/>
      <c r="C465" s="28" ph="1"/>
      <c r="D465" s="28" ph="1"/>
      <c r="E465" s="28" ph="1"/>
      <c r="F465" s="28" ph="1"/>
      <c r="G465" s="28" ph="1"/>
      <c r="H465" s="28" ph="1"/>
      <c r="I465" s="28" ph="1"/>
      <c r="J465" s="28" ph="1"/>
      <c r="K465" s="28" ph="1"/>
      <c r="L465" s="28" ph="1"/>
      <c r="M465" s="28" ph="1"/>
      <c r="N465" s="28" ph="1"/>
      <c r="O465" s="28" ph="1"/>
      <c r="P465" s="28" ph="1"/>
      <c r="Q465" s="28" ph="1"/>
      <c r="R465" s="28" ph="1"/>
      <c r="S465" s="28" ph="1"/>
      <c r="T465" s="28" ph="1"/>
      <c r="U465" s="28" ph="1"/>
      <c r="V465" s="28" ph="1"/>
      <c r="W465" s="88" ph="1"/>
      <c r="X465" s="88" ph="1"/>
      <c r="Y465" s="28" ph="1"/>
      <c r="Z465" s="88" ph="1"/>
      <c r="AA465" s="88" ph="1"/>
      <c r="AB465" s="28" ph="1"/>
      <c r="AC465" s="88" ph="1"/>
      <c r="AD465" s="88" ph="1"/>
      <c r="AE465" s="28" ph="1"/>
      <c r="AF465" s="88" ph="1"/>
      <c r="AG465" s="88" ph="1"/>
      <c r="AH465" s="88" ph="1"/>
      <c r="AI465" s="88" ph="1"/>
      <c r="AJ465" s="88" ph="1"/>
      <c r="AK465" s="88" ph="1"/>
      <c r="AL465" s="88" ph="1"/>
      <c r="AM465" s="28" ph="1"/>
      <c r="AN465" s="88" ph="1"/>
      <c r="AO465" s="88" ph="1"/>
      <c r="AP465" s="88" ph="1"/>
      <c r="AQ465" s="28" ph="1"/>
      <c r="AR465" s="88" ph="1"/>
      <c r="AS465" s="88" ph="1"/>
      <c r="AT465" s="88" ph="1"/>
      <c r="AU465" s="28" ph="1"/>
      <c r="AV465" s="88" ph="1"/>
      <c r="AW465" s="88" ph="1"/>
      <c r="AX465" s="28" ph="1"/>
      <c r="AY465" s="88" ph="1"/>
      <c r="AZ465" s="88" ph="1"/>
      <c r="BA465" s="88" ph="1"/>
      <c r="BB465" s="88" ph="1"/>
      <c r="BC465" s="28" ph="1"/>
    </row>
    <row r="466" spans="1:55">
      <c r="A466" s="28" ph="1"/>
      <c r="B466" s="28" ph="1"/>
      <c r="C466" s="28" ph="1"/>
      <c r="D466" s="28" ph="1"/>
      <c r="E466" s="28" ph="1"/>
      <c r="F466" s="28" ph="1"/>
      <c r="G466" s="28" ph="1"/>
      <c r="H466" s="28" ph="1"/>
      <c r="I466" s="28" ph="1"/>
      <c r="J466" s="28" ph="1"/>
      <c r="K466" s="28" ph="1"/>
      <c r="L466" s="28" ph="1"/>
      <c r="M466" s="28" ph="1"/>
      <c r="N466" s="28" ph="1"/>
      <c r="O466" s="28" ph="1"/>
      <c r="P466" s="28" ph="1"/>
      <c r="Q466" s="28" ph="1"/>
      <c r="R466" s="28" ph="1"/>
      <c r="S466" s="28" ph="1"/>
      <c r="T466" s="28" ph="1"/>
      <c r="U466" s="28" ph="1"/>
      <c r="V466" s="28" ph="1"/>
      <c r="W466" s="88" ph="1"/>
      <c r="X466" s="88" ph="1"/>
      <c r="Y466" s="28" ph="1"/>
      <c r="Z466" s="88" ph="1"/>
      <c r="AA466" s="88" ph="1"/>
      <c r="AB466" s="28" ph="1"/>
      <c r="AC466" s="88" ph="1"/>
      <c r="AD466" s="88" ph="1"/>
      <c r="AE466" s="28" ph="1"/>
      <c r="AF466" s="88" ph="1"/>
      <c r="AG466" s="88" ph="1"/>
      <c r="AH466" s="88" ph="1"/>
      <c r="AI466" s="88" ph="1"/>
      <c r="AJ466" s="88" ph="1"/>
      <c r="AK466" s="88" ph="1"/>
      <c r="AL466" s="88" ph="1"/>
      <c r="AM466" s="28" ph="1"/>
      <c r="AN466" s="88" ph="1"/>
      <c r="AO466" s="88" ph="1"/>
      <c r="AP466" s="88" ph="1"/>
      <c r="AQ466" s="28" ph="1"/>
      <c r="AR466" s="88" ph="1"/>
      <c r="AS466" s="88" ph="1"/>
      <c r="AT466" s="88" ph="1"/>
      <c r="AU466" s="28" ph="1"/>
      <c r="AV466" s="88" ph="1"/>
      <c r="AW466" s="88" ph="1"/>
      <c r="AX466" s="28" ph="1"/>
      <c r="AY466" s="88" ph="1"/>
      <c r="AZ466" s="88" ph="1"/>
      <c r="BA466" s="88" ph="1"/>
      <c r="BB466" s="88" ph="1"/>
      <c r="BC466" s="28" ph="1"/>
    </row>
    <row r="467" spans="1:55">
      <c r="A467" s="28" ph="1"/>
      <c r="B467" s="28" ph="1"/>
      <c r="C467" s="28" ph="1"/>
      <c r="D467" s="28" ph="1"/>
      <c r="E467" s="28" ph="1"/>
      <c r="F467" s="28" ph="1"/>
      <c r="G467" s="28" ph="1"/>
      <c r="H467" s="28" ph="1"/>
      <c r="I467" s="28" ph="1"/>
      <c r="J467" s="28" ph="1"/>
      <c r="K467" s="28" ph="1"/>
      <c r="L467" s="28" ph="1"/>
      <c r="M467" s="28" ph="1"/>
      <c r="N467" s="28" ph="1"/>
      <c r="O467" s="28" ph="1"/>
      <c r="P467" s="28" ph="1"/>
      <c r="Q467" s="28" ph="1"/>
      <c r="R467" s="28" ph="1"/>
      <c r="S467" s="28" ph="1"/>
      <c r="T467" s="28" ph="1"/>
      <c r="U467" s="28" ph="1"/>
      <c r="V467" s="28" ph="1"/>
      <c r="W467" s="88" ph="1"/>
      <c r="X467" s="88" ph="1"/>
      <c r="Y467" s="28" ph="1"/>
      <c r="Z467" s="88" ph="1"/>
      <c r="AA467" s="88" ph="1"/>
      <c r="AB467" s="28" ph="1"/>
      <c r="AC467" s="88" ph="1"/>
      <c r="AD467" s="88" ph="1"/>
      <c r="AE467" s="28" ph="1"/>
      <c r="AF467" s="88" ph="1"/>
      <c r="AG467" s="88" ph="1"/>
      <c r="AH467" s="88" ph="1"/>
      <c r="AI467" s="88" ph="1"/>
      <c r="AJ467" s="88" ph="1"/>
      <c r="AK467" s="88" ph="1"/>
      <c r="AL467" s="88" ph="1"/>
      <c r="AM467" s="28" ph="1"/>
      <c r="AN467" s="88" ph="1"/>
      <c r="AO467" s="88" ph="1"/>
      <c r="AP467" s="88" ph="1"/>
      <c r="AQ467" s="28" ph="1"/>
      <c r="AR467" s="88" ph="1"/>
      <c r="AS467" s="88" ph="1"/>
      <c r="AT467" s="88" ph="1"/>
      <c r="AU467" s="28" ph="1"/>
      <c r="AV467" s="88" ph="1"/>
      <c r="AW467" s="88" ph="1"/>
      <c r="AX467" s="28" ph="1"/>
      <c r="AY467" s="88" ph="1"/>
      <c r="AZ467" s="88" ph="1"/>
      <c r="BA467" s="88" ph="1"/>
      <c r="BB467" s="88" ph="1"/>
      <c r="BC467" s="28" ph="1"/>
    </row>
    <row r="468" spans="1:55">
      <c r="A468" s="28" ph="1"/>
      <c r="B468" s="28" ph="1"/>
      <c r="C468" s="28" ph="1"/>
      <c r="D468" s="28" ph="1"/>
      <c r="E468" s="28" ph="1"/>
      <c r="F468" s="28" ph="1"/>
      <c r="G468" s="28" ph="1"/>
      <c r="H468" s="28" ph="1"/>
      <c r="I468" s="28" ph="1"/>
      <c r="J468" s="28" ph="1"/>
      <c r="K468" s="28" ph="1"/>
      <c r="L468" s="28" ph="1"/>
      <c r="M468" s="28" ph="1"/>
      <c r="N468" s="28" ph="1"/>
      <c r="O468" s="28" ph="1"/>
      <c r="P468" s="28" ph="1"/>
      <c r="Q468" s="28" ph="1"/>
      <c r="R468" s="28" ph="1"/>
      <c r="S468" s="28" ph="1"/>
      <c r="T468" s="28" ph="1"/>
      <c r="U468" s="28" ph="1"/>
      <c r="V468" s="28" ph="1"/>
      <c r="W468" s="88" ph="1"/>
      <c r="X468" s="88" ph="1"/>
      <c r="Y468" s="28" ph="1"/>
      <c r="Z468" s="88" ph="1"/>
      <c r="AA468" s="88" ph="1"/>
      <c r="AB468" s="28" ph="1"/>
      <c r="AC468" s="88" ph="1"/>
      <c r="AD468" s="88" ph="1"/>
      <c r="AE468" s="28" ph="1"/>
      <c r="AF468" s="88" ph="1"/>
      <c r="AG468" s="88" ph="1"/>
      <c r="AH468" s="88" ph="1"/>
      <c r="AI468" s="88" ph="1"/>
      <c r="AJ468" s="88" ph="1"/>
      <c r="AK468" s="88" ph="1"/>
      <c r="AL468" s="88" ph="1"/>
      <c r="AM468" s="28" ph="1"/>
      <c r="AN468" s="88" ph="1"/>
      <c r="AO468" s="88" ph="1"/>
      <c r="AP468" s="88" ph="1"/>
      <c r="AQ468" s="28" ph="1"/>
      <c r="AR468" s="88" ph="1"/>
      <c r="AS468" s="88" ph="1"/>
      <c r="AT468" s="88" ph="1"/>
      <c r="AU468" s="28" ph="1"/>
      <c r="AV468" s="88" ph="1"/>
      <c r="AW468" s="88" ph="1"/>
      <c r="AX468" s="28" ph="1"/>
      <c r="AY468" s="88" ph="1"/>
      <c r="AZ468" s="88" ph="1"/>
      <c r="BA468" s="88" ph="1"/>
      <c r="BB468" s="88" ph="1"/>
      <c r="BC468" s="28" ph="1"/>
    </row>
    <row r="469" spans="1:55">
      <c r="A469" s="28" ph="1"/>
      <c r="B469" s="28" ph="1"/>
      <c r="C469" s="28" ph="1"/>
      <c r="D469" s="28" ph="1"/>
      <c r="E469" s="28" ph="1"/>
      <c r="F469" s="28" ph="1"/>
      <c r="G469" s="28" ph="1"/>
      <c r="H469" s="28" ph="1"/>
      <c r="I469" s="28" ph="1"/>
      <c r="J469" s="28" ph="1"/>
      <c r="K469" s="28" ph="1"/>
      <c r="L469" s="28" ph="1"/>
      <c r="M469" s="28" ph="1"/>
      <c r="N469" s="28" ph="1"/>
      <c r="O469" s="28" ph="1"/>
      <c r="P469" s="28" ph="1"/>
      <c r="Q469" s="28" ph="1"/>
      <c r="R469" s="28" ph="1"/>
      <c r="S469" s="28" ph="1"/>
      <c r="T469" s="28" ph="1"/>
      <c r="U469" s="28" ph="1"/>
      <c r="V469" s="28" ph="1"/>
      <c r="W469" s="88" ph="1"/>
      <c r="X469" s="88" ph="1"/>
      <c r="Y469" s="28" ph="1"/>
      <c r="Z469" s="88" ph="1"/>
      <c r="AA469" s="88" ph="1"/>
      <c r="AB469" s="28" ph="1"/>
      <c r="AC469" s="88" ph="1"/>
      <c r="AD469" s="88" ph="1"/>
      <c r="AE469" s="28" ph="1"/>
      <c r="AF469" s="88" ph="1"/>
      <c r="AG469" s="88" ph="1"/>
      <c r="AH469" s="88" ph="1"/>
      <c r="AI469" s="88" ph="1"/>
      <c r="AJ469" s="88" ph="1"/>
      <c r="AK469" s="88" ph="1"/>
      <c r="AL469" s="88" ph="1"/>
      <c r="AM469" s="28" ph="1"/>
      <c r="AN469" s="88" ph="1"/>
      <c r="AO469" s="88" ph="1"/>
      <c r="AP469" s="88" ph="1"/>
      <c r="AQ469" s="28" ph="1"/>
      <c r="AR469" s="88" ph="1"/>
      <c r="AS469" s="88" ph="1"/>
      <c r="AT469" s="88" ph="1"/>
      <c r="AU469" s="28" ph="1"/>
      <c r="AV469" s="88" ph="1"/>
      <c r="AW469" s="88" ph="1"/>
      <c r="AX469" s="28" ph="1"/>
      <c r="AY469" s="88" ph="1"/>
      <c r="AZ469" s="88" ph="1"/>
      <c r="BA469" s="88" ph="1"/>
      <c r="BB469" s="88" ph="1"/>
      <c r="BC469" s="28" ph="1"/>
    </row>
    <row r="470" spans="1:55">
      <c r="A470" s="28" ph="1"/>
      <c r="B470" s="28" ph="1"/>
      <c r="C470" s="28" ph="1"/>
      <c r="D470" s="28" ph="1"/>
      <c r="E470" s="28" ph="1"/>
      <c r="F470" s="28" ph="1"/>
      <c r="G470" s="28" ph="1"/>
      <c r="H470" s="28" ph="1"/>
      <c r="I470" s="28" ph="1"/>
      <c r="J470" s="28" ph="1"/>
      <c r="K470" s="28" ph="1"/>
      <c r="L470" s="28" ph="1"/>
      <c r="M470" s="28" ph="1"/>
      <c r="N470" s="28" ph="1"/>
      <c r="O470" s="28" ph="1"/>
      <c r="P470" s="28" ph="1"/>
      <c r="Q470" s="28" ph="1"/>
      <c r="R470" s="28" ph="1"/>
      <c r="S470" s="28" ph="1"/>
      <c r="T470" s="28" ph="1"/>
      <c r="U470" s="28" ph="1"/>
      <c r="V470" s="28" ph="1"/>
      <c r="W470" s="88" ph="1"/>
      <c r="X470" s="88" ph="1"/>
      <c r="Y470" s="28" ph="1"/>
      <c r="Z470" s="88" ph="1"/>
      <c r="AA470" s="88" ph="1"/>
      <c r="AB470" s="28" ph="1"/>
      <c r="AC470" s="88" ph="1"/>
      <c r="AD470" s="88" ph="1"/>
      <c r="AE470" s="28" ph="1"/>
      <c r="AF470" s="88" ph="1"/>
      <c r="AG470" s="88" ph="1"/>
      <c r="AH470" s="88" ph="1"/>
      <c r="AI470" s="88" ph="1"/>
      <c r="AJ470" s="88" ph="1"/>
      <c r="AK470" s="88" ph="1"/>
      <c r="AL470" s="88" ph="1"/>
      <c r="AM470" s="28" ph="1"/>
      <c r="AN470" s="88" ph="1"/>
      <c r="AO470" s="88" ph="1"/>
      <c r="AP470" s="88" ph="1"/>
      <c r="AQ470" s="28" ph="1"/>
      <c r="AR470" s="88" ph="1"/>
      <c r="AS470" s="88" ph="1"/>
      <c r="AT470" s="88" ph="1"/>
      <c r="AU470" s="28" ph="1"/>
      <c r="AV470" s="88" ph="1"/>
      <c r="AW470" s="88" ph="1"/>
      <c r="AX470" s="28" ph="1"/>
      <c r="AY470" s="88" ph="1"/>
      <c r="AZ470" s="88" ph="1"/>
      <c r="BA470" s="88" ph="1"/>
      <c r="BB470" s="88" ph="1"/>
      <c r="BC470" s="28" ph="1"/>
    </row>
    <row r="472" spans="1:55">
      <c r="A472" s="28" ph="1"/>
      <c r="B472" s="28" ph="1"/>
      <c r="C472" s="28" ph="1"/>
      <c r="D472" s="28" ph="1"/>
      <c r="E472" s="28" ph="1"/>
      <c r="F472" s="28" ph="1"/>
      <c r="G472" s="28" ph="1"/>
      <c r="H472" s="28" ph="1"/>
      <c r="I472" s="28" ph="1"/>
      <c r="J472" s="28" ph="1"/>
      <c r="K472" s="28" ph="1"/>
      <c r="L472" s="28" ph="1"/>
      <c r="M472" s="28" ph="1"/>
      <c r="N472" s="28" ph="1"/>
      <c r="O472" s="28" ph="1"/>
      <c r="P472" s="28" ph="1"/>
      <c r="Q472" s="28" ph="1"/>
      <c r="R472" s="28" ph="1"/>
      <c r="S472" s="28" ph="1"/>
      <c r="T472" s="28" ph="1"/>
      <c r="U472" s="28" ph="1"/>
      <c r="V472" s="28" ph="1"/>
      <c r="W472" s="88" ph="1"/>
      <c r="X472" s="88" ph="1"/>
      <c r="Y472" s="28" ph="1"/>
      <c r="Z472" s="88" ph="1"/>
      <c r="AA472" s="88" ph="1"/>
      <c r="AB472" s="28" ph="1"/>
      <c r="AC472" s="88" ph="1"/>
      <c r="AD472" s="88" ph="1"/>
      <c r="AE472" s="28" ph="1"/>
      <c r="AF472" s="88" ph="1"/>
      <c r="AG472" s="88" ph="1"/>
      <c r="AH472" s="88" ph="1"/>
      <c r="AI472" s="88" ph="1"/>
      <c r="AJ472" s="88" ph="1"/>
      <c r="AK472" s="88" ph="1"/>
      <c r="AL472" s="88" ph="1"/>
      <c r="AM472" s="28" ph="1"/>
      <c r="AN472" s="88" ph="1"/>
      <c r="AO472" s="88" ph="1"/>
      <c r="AP472" s="88" ph="1"/>
      <c r="AQ472" s="28" ph="1"/>
      <c r="AR472" s="88" ph="1"/>
      <c r="AS472" s="88" ph="1"/>
      <c r="AT472" s="88" ph="1"/>
      <c r="AU472" s="28" ph="1"/>
      <c r="AV472" s="88" ph="1"/>
      <c r="AW472" s="88" ph="1"/>
      <c r="AX472" s="28" ph="1"/>
      <c r="AY472" s="88" ph="1"/>
      <c r="AZ472" s="88" ph="1"/>
      <c r="BA472" s="88" ph="1"/>
      <c r="BB472" s="88" ph="1"/>
      <c r="BC472" s="28" ph="1"/>
    </row>
    <row r="473" spans="1:55">
      <c r="A473" s="28" ph="1"/>
      <c r="B473" s="28" ph="1"/>
      <c r="C473" s="28" ph="1"/>
      <c r="D473" s="28" ph="1"/>
      <c r="E473" s="28" ph="1"/>
      <c r="F473" s="28" ph="1"/>
      <c r="G473" s="28" ph="1"/>
      <c r="H473" s="28" ph="1"/>
      <c r="I473" s="28" ph="1"/>
      <c r="J473" s="28" ph="1"/>
      <c r="K473" s="28" ph="1"/>
      <c r="L473" s="28" ph="1"/>
      <c r="M473" s="28" ph="1"/>
      <c r="N473" s="28" ph="1"/>
      <c r="O473" s="28" ph="1"/>
      <c r="P473" s="28" ph="1"/>
      <c r="Q473" s="28" ph="1"/>
      <c r="R473" s="28" ph="1"/>
      <c r="S473" s="28" ph="1"/>
      <c r="T473" s="28" ph="1"/>
      <c r="U473" s="28" ph="1"/>
      <c r="V473" s="28" ph="1"/>
      <c r="W473" s="88" ph="1"/>
      <c r="X473" s="88" ph="1"/>
      <c r="Y473" s="28" ph="1"/>
      <c r="Z473" s="88" ph="1"/>
      <c r="AA473" s="88" ph="1"/>
      <c r="AB473" s="28" ph="1"/>
      <c r="AC473" s="88" ph="1"/>
      <c r="AD473" s="88" ph="1"/>
      <c r="AE473" s="28" ph="1"/>
      <c r="AF473" s="88" ph="1"/>
      <c r="AG473" s="88" ph="1"/>
      <c r="AH473" s="88" ph="1"/>
      <c r="AI473" s="88" ph="1"/>
      <c r="AJ473" s="88" ph="1"/>
      <c r="AK473" s="88" ph="1"/>
      <c r="AL473" s="88" ph="1"/>
      <c r="AM473" s="28" ph="1"/>
      <c r="AN473" s="88" ph="1"/>
      <c r="AO473" s="88" ph="1"/>
      <c r="AP473" s="88" ph="1"/>
      <c r="AQ473" s="28" ph="1"/>
      <c r="AR473" s="88" ph="1"/>
      <c r="AS473" s="88" ph="1"/>
      <c r="AT473" s="88" ph="1"/>
      <c r="AU473" s="28" ph="1"/>
      <c r="AV473" s="88" ph="1"/>
      <c r="AW473" s="88" ph="1"/>
      <c r="AX473" s="28" ph="1"/>
      <c r="AY473" s="88" ph="1"/>
      <c r="AZ473" s="88" ph="1"/>
      <c r="BA473" s="88" ph="1"/>
      <c r="BB473" s="88" ph="1"/>
      <c r="BC473" s="28" ph="1"/>
    </row>
    <row r="474" spans="1:55">
      <c r="A474" s="28" ph="1"/>
      <c r="B474" s="28" ph="1"/>
      <c r="C474" s="28" ph="1"/>
      <c r="D474" s="28" ph="1"/>
      <c r="E474" s="28" ph="1"/>
      <c r="F474" s="28" ph="1"/>
      <c r="G474" s="28" ph="1"/>
      <c r="H474" s="28" ph="1"/>
      <c r="I474" s="28" ph="1"/>
      <c r="J474" s="28" ph="1"/>
      <c r="K474" s="28" ph="1"/>
      <c r="L474" s="28" ph="1"/>
      <c r="M474" s="28" ph="1"/>
      <c r="N474" s="28" ph="1"/>
      <c r="O474" s="28" ph="1"/>
      <c r="P474" s="28" ph="1"/>
      <c r="Q474" s="28" ph="1"/>
      <c r="R474" s="28" ph="1"/>
      <c r="S474" s="28" ph="1"/>
      <c r="T474" s="28" ph="1"/>
      <c r="U474" s="28" ph="1"/>
      <c r="V474" s="28" ph="1"/>
      <c r="W474" s="88" ph="1"/>
      <c r="X474" s="88" ph="1"/>
      <c r="Y474" s="28" ph="1"/>
      <c r="Z474" s="88" ph="1"/>
      <c r="AA474" s="88" ph="1"/>
      <c r="AB474" s="28" ph="1"/>
      <c r="AC474" s="88" ph="1"/>
      <c r="AD474" s="88" ph="1"/>
      <c r="AE474" s="28" ph="1"/>
      <c r="AF474" s="88" ph="1"/>
      <c r="AG474" s="88" ph="1"/>
      <c r="AH474" s="88" ph="1"/>
      <c r="AI474" s="88" ph="1"/>
      <c r="AJ474" s="88" ph="1"/>
      <c r="AK474" s="88" ph="1"/>
      <c r="AL474" s="88" ph="1"/>
      <c r="AM474" s="28" ph="1"/>
      <c r="AN474" s="88" ph="1"/>
      <c r="AO474" s="88" ph="1"/>
      <c r="AP474" s="88" ph="1"/>
      <c r="AQ474" s="28" ph="1"/>
      <c r="AR474" s="88" ph="1"/>
      <c r="AS474" s="88" ph="1"/>
      <c r="AT474" s="88" ph="1"/>
      <c r="AU474" s="28" ph="1"/>
      <c r="AV474" s="88" ph="1"/>
      <c r="AW474" s="88" ph="1"/>
      <c r="AX474" s="28" ph="1"/>
      <c r="AY474" s="88" ph="1"/>
      <c r="AZ474" s="88" ph="1"/>
      <c r="BA474" s="88" ph="1"/>
      <c r="BB474" s="88" ph="1"/>
      <c r="BC474" s="28" ph="1"/>
    </row>
    <row r="482" spans="1:55">
      <c r="A482" s="28" ph="1"/>
      <c r="B482" s="28" ph="1"/>
      <c r="C482" s="28" ph="1"/>
      <c r="D482" s="28" ph="1"/>
      <c r="E482" s="28" ph="1"/>
      <c r="F482" s="28" ph="1"/>
      <c r="G482" s="28" ph="1"/>
      <c r="H482" s="28" ph="1"/>
      <c r="I482" s="28" ph="1"/>
      <c r="J482" s="28" ph="1"/>
      <c r="K482" s="28" ph="1"/>
      <c r="L482" s="28" ph="1"/>
      <c r="M482" s="28" ph="1"/>
      <c r="N482" s="28" ph="1"/>
      <c r="O482" s="28" ph="1"/>
      <c r="P482" s="28" ph="1"/>
      <c r="Q482" s="28" ph="1"/>
      <c r="R482" s="28" ph="1"/>
      <c r="S482" s="28" ph="1"/>
      <c r="T482" s="28" ph="1"/>
      <c r="U482" s="28" ph="1"/>
      <c r="V482" s="28" ph="1"/>
      <c r="W482" s="88" ph="1"/>
      <c r="X482" s="88" ph="1"/>
      <c r="Y482" s="28" ph="1"/>
      <c r="Z482" s="88" ph="1"/>
      <c r="AA482" s="88" ph="1"/>
      <c r="AB482" s="28" ph="1"/>
      <c r="AC482" s="88" ph="1"/>
      <c r="AD482" s="88" ph="1"/>
      <c r="AE482" s="28" ph="1"/>
      <c r="AF482" s="88" ph="1"/>
      <c r="AG482" s="88" ph="1"/>
      <c r="AH482" s="88" ph="1"/>
      <c r="AI482" s="88" ph="1"/>
      <c r="AJ482" s="88" ph="1"/>
      <c r="AK482" s="88" ph="1"/>
      <c r="AL482" s="88" ph="1"/>
      <c r="AM482" s="28" ph="1"/>
      <c r="AN482" s="88" ph="1"/>
      <c r="AO482" s="88" ph="1"/>
      <c r="AP482" s="88" ph="1"/>
      <c r="AQ482" s="28" ph="1"/>
      <c r="AR482" s="88" ph="1"/>
      <c r="AS482" s="88" ph="1"/>
      <c r="AT482" s="88" ph="1"/>
      <c r="AU482" s="28" ph="1"/>
      <c r="AV482" s="88" ph="1"/>
      <c r="AW482" s="88" ph="1"/>
      <c r="AX482" s="28" ph="1"/>
      <c r="AY482" s="88" ph="1"/>
      <c r="AZ482" s="88" ph="1"/>
      <c r="BA482" s="88" ph="1"/>
      <c r="BB482" s="88" ph="1"/>
      <c r="BC482" s="28" ph="1"/>
    </row>
    <row r="491" spans="1:55">
      <c r="A491" s="28" ph="1"/>
      <c r="B491" s="28" ph="1"/>
      <c r="C491" s="28" ph="1"/>
      <c r="D491" s="28" ph="1"/>
      <c r="E491" s="28" ph="1"/>
      <c r="F491" s="28" ph="1"/>
      <c r="G491" s="28" ph="1"/>
      <c r="H491" s="28" ph="1"/>
      <c r="I491" s="28" ph="1"/>
      <c r="J491" s="28" ph="1"/>
      <c r="K491" s="28" ph="1"/>
      <c r="L491" s="28" ph="1"/>
      <c r="M491" s="28" ph="1"/>
      <c r="N491" s="28" ph="1"/>
      <c r="O491" s="28" ph="1"/>
      <c r="P491" s="28" ph="1"/>
      <c r="Q491" s="28" ph="1"/>
      <c r="R491" s="28" ph="1"/>
      <c r="S491" s="28" ph="1"/>
      <c r="T491" s="28" ph="1"/>
      <c r="U491" s="28" ph="1"/>
      <c r="V491" s="28" ph="1"/>
      <c r="W491" s="88" ph="1"/>
      <c r="X491" s="88" ph="1"/>
      <c r="Y491" s="28" ph="1"/>
      <c r="Z491" s="88" ph="1"/>
      <c r="AA491" s="88" ph="1"/>
      <c r="AB491" s="28" ph="1"/>
      <c r="AC491" s="88" ph="1"/>
      <c r="AD491" s="88" ph="1"/>
      <c r="AE491" s="28" ph="1"/>
      <c r="AF491" s="88" ph="1"/>
      <c r="AG491" s="88" ph="1"/>
      <c r="AH491" s="88" ph="1"/>
      <c r="AI491" s="88" ph="1"/>
      <c r="AJ491" s="88" ph="1"/>
      <c r="AK491" s="88" ph="1"/>
      <c r="AL491" s="88" ph="1"/>
      <c r="AM491" s="28" ph="1"/>
      <c r="AN491" s="88" ph="1"/>
      <c r="AO491" s="88" ph="1"/>
      <c r="AP491" s="88" ph="1"/>
      <c r="AQ491" s="28" ph="1"/>
      <c r="AR491" s="88" ph="1"/>
      <c r="AS491" s="88" ph="1"/>
      <c r="AT491" s="88" ph="1"/>
      <c r="AU491" s="28" ph="1"/>
      <c r="AV491" s="88" ph="1"/>
      <c r="AW491" s="88" ph="1"/>
      <c r="AX491" s="28" ph="1"/>
      <c r="AY491" s="88" ph="1"/>
      <c r="AZ491" s="88" ph="1"/>
      <c r="BA491" s="88" ph="1"/>
      <c r="BB491" s="88" ph="1"/>
      <c r="BC491" s="28" ph="1"/>
    </row>
    <row r="493" spans="1:55">
      <c r="A493" s="28" ph="1"/>
      <c r="B493" s="28" ph="1"/>
      <c r="C493" s="28" ph="1"/>
      <c r="D493" s="28" ph="1"/>
      <c r="E493" s="28" ph="1"/>
      <c r="F493" s="28" ph="1"/>
      <c r="G493" s="28" ph="1"/>
      <c r="H493" s="28" ph="1"/>
      <c r="I493" s="28" ph="1"/>
      <c r="J493" s="28" ph="1"/>
      <c r="K493" s="28" ph="1"/>
      <c r="L493" s="28" ph="1"/>
      <c r="M493" s="28" ph="1"/>
      <c r="N493" s="28" ph="1"/>
      <c r="O493" s="28" ph="1"/>
      <c r="P493" s="28" ph="1"/>
      <c r="Q493" s="28" ph="1"/>
      <c r="R493" s="28" ph="1"/>
      <c r="S493" s="28" ph="1"/>
      <c r="T493" s="28" ph="1"/>
      <c r="U493" s="28" ph="1"/>
      <c r="V493" s="28" ph="1"/>
      <c r="W493" s="88" ph="1"/>
      <c r="X493" s="88" ph="1"/>
      <c r="Y493" s="28" ph="1"/>
      <c r="Z493" s="88" ph="1"/>
      <c r="AA493" s="88" ph="1"/>
      <c r="AB493" s="28" ph="1"/>
      <c r="AC493" s="88" ph="1"/>
      <c r="AD493" s="88" ph="1"/>
      <c r="AE493" s="28" ph="1"/>
      <c r="AF493" s="88" ph="1"/>
      <c r="AG493" s="88" ph="1"/>
      <c r="AH493" s="88" ph="1"/>
      <c r="AI493" s="88" ph="1"/>
      <c r="AJ493" s="88" ph="1"/>
      <c r="AK493" s="88" ph="1"/>
      <c r="AL493" s="88" ph="1"/>
      <c r="AM493" s="28" ph="1"/>
      <c r="AN493" s="88" ph="1"/>
      <c r="AO493" s="88" ph="1"/>
      <c r="AP493" s="88" ph="1"/>
      <c r="AQ493" s="28" ph="1"/>
      <c r="AR493" s="88" ph="1"/>
      <c r="AS493" s="88" ph="1"/>
      <c r="AT493" s="88" ph="1"/>
      <c r="AU493" s="28" ph="1"/>
      <c r="AV493" s="88" ph="1"/>
      <c r="AW493" s="88" ph="1"/>
      <c r="AX493" s="28" ph="1"/>
      <c r="AY493" s="88" ph="1"/>
      <c r="AZ493" s="88" ph="1"/>
      <c r="BA493" s="88" ph="1"/>
      <c r="BB493" s="88" ph="1"/>
      <c r="BC493" s="28" ph="1"/>
    </row>
    <row r="494" spans="1:55">
      <c r="A494" s="28" ph="1"/>
      <c r="B494" s="28" ph="1"/>
      <c r="C494" s="28" ph="1"/>
      <c r="D494" s="28" ph="1"/>
      <c r="E494" s="28" ph="1"/>
      <c r="F494" s="28" ph="1"/>
      <c r="G494" s="28" ph="1"/>
      <c r="H494" s="28" ph="1"/>
      <c r="I494" s="28" ph="1"/>
      <c r="J494" s="28" ph="1"/>
      <c r="K494" s="28" ph="1"/>
      <c r="L494" s="28" ph="1"/>
      <c r="M494" s="28" ph="1"/>
      <c r="N494" s="28" ph="1"/>
      <c r="O494" s="28" ph="1"/>
      <c r="P494" s="28" ph="1"/>
      <c r="Q494" s="28" ph="1"/>
      <c r="R494" s="28" ph="1"/>
      <c r="S494" s="28" ph="1"/>
      <c r="T494" s="28" ph="1"/>
      <c r="U494" s="28" ph="1"/>
      <c r="V494" s="28" ph="1"/>
      <c r="W494" s="88" ph="1"/>
      <c r="X494" s="88" ph="1"/>
      <c r="Y494" s="28" ph="1"/>
      <c r="Z494" s="88" ph="1"/>
      <c r="AA494" s="88" ph="1"/>
      <c r="AB494" s="28" ph="1"/>
      <c r="AC494" s="88" ph="1"/>
      <c r="AD494" s="88" ph="1"/>
      <c r="AE494" s="28" ph="1"/>
      <c r="AF494" s="88" ph="1"/>
      <c r="AG494" s="88" ph="1"/>
      <c r="AH494" s="88" ph="1"/>
      <c r="AI494" s="88" ph="1"/>
      <c r="AJ494" s="88" ph="1"/>
      <c r="AK494" s="88" ph="1"/>
      <c r="AL494" s="88" ph="1"/>
      <c r="AM494" s="28" ph="1"/>
      <c r="AN494" s="88" ph="1"/>
      <c r="AO494" s="88" ph="1"/>
      <c r="AP494" s="88" ph="1"/>
      <c r="AQ494" s="28" ph="1"/>
      <c r="AR494" s="88" ph="1"/>
      <c r="AS494" s="88" ph="1"/>
      <c r="AT494" s="88" ph="1"/>
      <c r="AU494" s="28" ph="1"/>
      <c r="AV494" s="88" ph="1"/>
      <c r="AW494" s="88" ph="1"/>
      <c r="AX494" s="28" ph="1"/>
      <c r="AY494" s="88" ph="1"/>
      <c r="AZ494" s="88" ph="1"/>
      <c r="BA494" s="88" ph="1"/>
      <c r="BB494" s="88" ph="1"/>
      <c r="BC494" s="28" ph="1"/>
    </row>
    <row r="495" spans="1:55">
      <c r="A495" s="28" ph="1"/>
      <c r="B495" s="28" ph="1"/>
      <c r="C495" s="28" ph="1"/>
      <c r="D495" s="28" ph="1"/>
      <c r="E495" s="28" ph="1"/>
      <c r="F495" s="28" ph="1"/>
      <c r="G495" s="28" ph="1"/>
      <c r="H495" s="28" ph="1"/>
      <c r="I495" s="28" ph="1"/>
      <c r="J495" s="28" ph="1"/>
      <c r="K495" s="28" ph="1"/>
      <c r="L495" s="28" ph="1"/>
      <c r="M495" s="28" ph="1"/>
      <c r="N495" s="28" ph="1"/>
      <c r="O495" s="28" ph="1"/>
      <c r="P495" s="28" ph="1"/>
      <c r="Q495" s="28" ph="1"/>
      <c r="R495" s="28" ph="1"/>
      <c r="S495" s="28" ph="1"/>
      <c r="T495" s="28" ph="1"/>
      <c r="U495" s="28" ph="1"/>
      <c r="V495" s="28" ph="1"/>
      <c r="W495" s="88" ph="1"/>
      <c r="X495" s="88" ph="1"/>
      <c r="Y495" s="28" ph="1"/>
      <c r="Z495" s="88" ph="1"/>
      <c r="AA495" s="88" ph="1"/>
      <c r="AB495" s="28" ph="1"/>
      <c r="AC495" s="88" ph="1"/>
      <c r="AD495" s="88" ph="1"/>
      <c r="AE495" s="28" ph="1"/>
      <c r="AF495" s="88" ph="1"/>
      <c r="AG495" s="88" ph="1"/>
      <c r="AH495" s="88" ph="1"/>
      <c r="AI495" s="88" ph="1"/>
      <c r="AJ495" s="88" ph="1"/>
      <c r="AK495" s="88" ph="1"/>
      <c r="AL495" s="88" ph="1"/>
      <c r="AM495" s="28" ph="1"/>
      <c r="AN495" s="88" ph="1"/>
      <c r="AO495" s="88" ph="1"/>
      <c r="AP495" s="88" ph="1"/>
      <c r="AQ495" s="28" ph="1"/>
      <c r="AR495" s="88" ph="1"/>
      <c r="AS495" s="88" ph="1"/>
      <c r="AT495" s="88" ph="1"/>
      <c r="AU495" s="28" ph="1"/>
      <c r="AV495" s="88" ph="1"/>
      <c r="AW495" s="88" ph="1"/>
      <c r="AX495" s="28" ph="1"/>
      <c r="AY495" s="88" ph="1"/>
      <c r="AZ495" s="88" ph="1"/>
      <c r="BA495" s="88" ph="1"/>
      <c r="BB495" s="88" ph="1"/>
      <c r="BC495" s="28" ph="1"/>
    </row>
    <row r="496" spans="1:55">
      <c r="A496" s="28" ph="1"/>
      <c r="B496" s="28" ph="1"/>
      <c r="C496" s="28" ph="1"/>
      <c r="D496" s="28" ph="1"/>
      <c r="E496" s="28" ph="1"/>
      <c r="F496" s="28" ph="1"/>
      <c r="G496" s="28" ph="1"/>
      <c r="H496" s="28" ph="1"/>
      <c r="I496" s="28" ph="1"/>
      <c r="J496" s="28" ph="1"/>
      <c r="K496" s="28" ph="1"/>
      <c r="L496" s="28" ph="1"/>
      <c r="M496" s="28" ph="1"/>
      <c r="N496" s="28" ph="1"/>
      <c r="O496" s="28" ph="1"/>
      <c r="P496" s="28" ph="1"/>
      <c r="Q496" s="28" ph="1"/>
      <c r="R496" s="28" ph="1"/>
      <c r="S496" s="28" ph="1"/>
      <c r="T496" s="28" ph="1"/>
      <c r="U496" s="28" ph="1"/>
      <c r="V496" s="28" ph="1"/>
      <c r="W496" s="88" ph="1"/>
      <c r="X496" s="88" ph="1"/>
      <c r="Y496" s="28" ph="1"/>
      <c r="Z496" s="88" ph="1"/>
      <c r="AA496" s="88" ph="1"/>
      <c r="AB496" s="28" ph="1"/>
      <c r="AC496" s="88" ph="1"/>
      <c r="AD496" s="88" ph="1"/>
      <c r="AE496" s="28" ph="1"/>
      <c r="AF496" s="88" ph="1"/>
      <c r="AG496" s="88" ph="1"/>
      <c r="AH496" s="88" ph="1"/>
      <c r="AI496" s="88" ph="1"/>
      <c r="AJ496" s="88" ph="1"/>
      <c r="AK496" s="88" ph="1"/>
      <c r="AL496" s="88" ph="1"/>
      <c r="AM496" s="28" ph="1"/>
      <c r="AN496" s="88" ph="1"/>
      <c r="AO496" s="88" ph="1"/>
      <c r="AP496" s="88" ph="1"/>
      <c r="AQ496" s="28" ph="1"/>
      <c r="AR496" s="88" ph="1"/>
      <c r="AS496" s="88" ph="1"/>
      <c r="AT496" s="88" ph="1"/>
      <c r="AU496" s="28" ph="1"/>
      <c r="AV496" s="88" ph="1"/>
      <c r="AW496" s="88" ph="1"/>
      <c r="AX496" s="28" ph="1"/>
      <c r="AY496" s="88" ph="1"/>
      <c r="AZ496" s="88" ph="1"/>
      <c r="BA496" s="88" ph="1"/>
      <c r="BB496" s="88" ph="1"/>
      <c r="BC496" s="28" ph="1"/>
    </row>
    <row r="497" spans="1:55">
      <c r="A497" s="28" ph="1"/>
      <c r="B497" s="28" ph="1"/>
      <c r="C497" s="28" ph="1"/>
      <c r="D497" s="28" ph="1"/>
      <c r="E497" s="28" ph="1"/>
      <c r="F497" s="28" ph="1"/>
      <c r="G497" s="28" ph="1"/>
      <c r="H497" s="28" ph="1"/>
      <c r="I497" s="28" ph="1"/>
      <c r="J497" s="28" ph="1"/>
      <c r="K497" s="28" ph="1"/>
      <c r="L497" s="28" ph="1"/>
      <c r="M497" s="28" ph="1"/>
      <c r="N497" s="28" ph="1"/>
      <c r="O497" s="28" ph="1"/>
      <c r="P497" s="28" ph="1"/>
      <c r="Q497" s="28" ph="1"/>
      <c r="R497" s="28" ph="1"/>
      <c r="S497" s="28" ph="1"/>
      <c r="T497" s="28" ph="1"/>
      <c r="U497" s="28" ph="1"/>
      <c r="V497" s="28" ph="1"/>
      <c r="W497" s="88" ph="1"/>
      <c r="X497" s="88" ph="1"/>
      <c r="Y497" s="28" ph="1"/>
      <c r="Z497" s="88" ph="1"/>
      <c r="AA497" s="88" ph="1"/>
      <c r="AB497" s="28" ph="1"/>
      <c r="AC497" s="88" ph="1"/>
      <c r="AD497" s="88" ph="1"/>
      <c r="AE497" s="28" ph="1"/>
      <c r="AF497" s="88" ph="1"/>
      <c r="AG497" s="88" ph="1"/>
      <c r="AH497" s="88" ph="1"/>
      <c r="AI497" s="88" ph="1"/>
      <c r="AJ497" s="88" ph="1"/>
      <c r="AK497" s="88" ph="1"/>
      <c r="AL497" s="88" ph="1"/>
      <c r="AM497" s="28" ph="1"/>
      <c r="AN497" s="88" ph="1"/>
      <c r="AO497" s="88" ph="1"/>
      <c r="AP497" s="88" ph="1"/>
      <c r="AQ497" s="28" ph="1"/>
      <c r="AR497" s="88" ph="1"/>
      <c r="AS497" s="88" ph="1"/>
      <c r="AT497" s="88" ph="1"/>
      <c r="AU497" s="28" ph="1"/>
      <c r="AV497" s="88" ph="1"/>
      <c r="AW497" s="88" ph="1"/>
      <c r="AX497" s="28" ph="1"/>
      <c r="AY497" s="88" ph="1"/>
      <c r="AZ497" s="88" ph="1"/>
      <c r="BA497" s="88" ph="1"/>
      <c r="BB497" s="88" ph="1"/>
      <c r="BC497" s="28" ph="1"/>
    </row>
    <row r="498" spans="1:55">
      <c r="A498" s="28" ph="1"/>
      <c r="B498" s="28" ph="1"/>
      <c r="C498" s="28" ph="1"/>
      <c r="D498" s="28" ph="1"/>
      <c r="E498" s="28" ph="1"/>
      <c r="F498" s="28" ph="1"/>
      <c r="G498" s="28" ph="1"/>
      <c r="H498" s="28" ph="1"/>
      <c r="I498" s="28" ph="1"/>
      <c r="J498" s="28" ph="1"/>
      <c r="K498" s="28" ph="1"/>
      <c r="L498" s="28" ph="1"/>
      <c r="M498" s="28" ph="1"/>
      <c r="N498" s="28" ph="1"/>
      <c r="O498" s="28" ph="1"/>
      <c r="P498" s="28" ph="1"/>
      <c r="Q498" s="28" ph="1"/>
      <c r="R498" s="28" ph="1"/>
      <c r="S498" s="28" ph="1"/>
      <c r="T498" s="28" ph="1"/>
      <c r="U498" s="28" ph="1"/>
      <c r="V498" s="28" ph="1"/>
      <c r="W498" s="88" ph="1"/>
      <c r="X498" s="88" ph="1"/>
      <c r="Y498" s="28" ph="1"/>
      <c r="Z498" s="88" ph="1"/>
      <c r="AA498" s="88" ph="1"/>
      <c r="AB498" s="28" ph="1"/>
      <c r="AC498" s="88" ph="1"/>
      <c r="AD498" s="88" ph="1"/>
      <c r="AE498" s="28" ph="1"/>
      <c r="AF498" s="88" ph="1"/>
      <c r="AG498" s="88" ph="1"/>
      <c r="AH498" s="88" ph="1"/>
      <c r="AI498" s="88" ph="1"/>
      <c r="AJ498" s="88" ph="1"/>
      <c r="AK498" s="88" ph="1"/>
      <c r="AL498" s="88" ph="1"/>
      <c r="AM498" s="28" ph="1"/>
      <c r="AN498" s="88" ph="1"/>
      <c r="AO498" s="88" ph="1"/>
      <c r="AP498" s="88" ph="1"/>
      <c r="AQ498" s="28" ph="1"/>
      <c r="AR498" s="88" ph="1"/>
      <c r="AS498" s="88" ph="1"/>
      <c r="AT498" s="88" ph="1"/>
      <c r="AU498" s="28" ph="1"/>
      <c r="AV498" s="88" ph="1"/>
      <c r="AW498" s="88" ph="1"/>
      <c r="AX498" s="28" ph="1"/>
      <c r="AY498" s="88" ph="1"/>
      <c r="AZ498" s="88" ph="1"/>
      <c r="BA498" s="88" ph="1"/>
      <c r="BB498" s="88" ph="1"/>
      <c r="BC498" s="28" ph="1"/>
    </row>
    <row r="499" spans="1:55">
      <c r="A499" s="28" ph="1"/>
      <c r="B499" s="28" ph="1"/>
      <c r="C499" s="28" ph="1"/>
      <c r="D499" s="28" ph="1"/>
      <c r="E499" s="28" ph="1"/>
      <c r="F499" s="28" ph="1"/>
      <c r="G499" s="28" ph="1"/>
      <c r="H499" s="28" ph="1"/>
      <c r="I499" s="28" ph="1"/>
      <c r="J499" s="28" ph="1"/>
      <c r="K499" s="28" ph="1"/>
      <c r="L499" s="28" ph="1"/>
      <c r="M499" s="28" ph="1"/>
      <c r="N499" s="28" ph="1"/>
      <c r="O499" s="28" ph="1"/>
      <c r="P499" s="28" ph="1"/>
      <c r="Q499" s="28" ph="1"/>
      <c r="R499" s="28" ph="1"/>
      <c r="S499" s="28" ph="1"/>
      <c r="T499" s="28" ph="1"/>
      <c r="U499" s="28" ph="1"/>
      <c r="V499" s="28" ph="1"/>
      <c r="W499" s="88" ph="1"/>
      <c r="X499" s="88" ph="1"/>
      <c r="Y499" s="28" ph="1"/>
      <c r="Z499" s="88" ph="1"/>
      <c r="AA499" s="88" ph="1"/>
      <c r="AB499" s="28" ph="1"/>
      <c r="AC499" s="88" ph="1"/>
      <c r="AD499" s="88" ph="1"/>
      <c r="AE499" s="28" ph="1"/>
      <c r="AF499" s="88" ph="1"/>
      <c r="AG499" s="88" ph="1"/>
      <c r="AH499" s="88" ph="1"/>
      <c r="AI499" s="88" ph="1"/>
      <c r="AJ499" s="88" ph="1"/>
      <c r="AK499" s="88" ph="1"/>
      <c r="AL499" s="88" ph="1"/>
      <c r="AM499" s="28" ph="1"/>
      <c r="AN499" s="88" ph="1"/>
      <c r="AO499" s="88" ph="1"/>
      <c r="AP499" s="88" ph="1"/>
      <c r="AQ499" s="28" ph="1"/>
      <c r="AR499" s="88" ph="1"/>
      <c r="AS499" s="88" ph="1"/>
      <c r="AT499" s="88" ph="1"/>
      <c r="AU499" s="28" ph="1"/>
      <c r="AV499" s="88" ph="1"/>
      <c r="AW499" s="88" ph="1"/>
      <c r="AX499" s="28" ph="1"/>
      <c r="AY499" s="88" ph="1"/>
      <c r="AZ499" s="88" ph="1"/>
      <c r="BA499" s="88" ph="1"/>
      <c r="BB499" s="88" ph="1"/>
      <c r="BC499" s="28" ph="1"/>
    </row>
    <row r="500" spans="1:55">
      <c r="A500" s="28" ph="1"/>
      <c r="B500" s="28" ph="1"/>
      <c r="C500" s="28" ph="1"/>
      <c r="D500" s="28" ph="1"/>
      <c r="E500" s="28" ph="1"/>
      <c r="F500" s="28" ph="1"/>
      <c r="G500" s="28" ph="1"/>
      <c r="H500" s="28" ph="1"/>
      <c r="I500" s="28" ph="1"/>
      <c r="J500" s="28" ph="1"/>
      <c r="K500" s="28" ph="1"/>
      <c r="L500" s="28" ph="1"/>
      <c r="M500" s="28" ph="1"/>
      <c r="N500" s="28" ph="1"/>
      <c r="O500" s="28" ph="1"/>
      <c r="P500" s="28" ph="1"/>
      <c r="Q500" s="28" ph="1"/>
      <c r="R500" s="28" ph="1"/>
      <c r="S500" s="28" ph="1"/>
      <c r="T500" s="28" ph="1"/>
      <c r="U500" s="28" ph="1"/>
      <c r="V500" s="28" ph="1"/>
      <c r="W500" s="88" ph="1"/>
      <c r="X500" s="88" ph="1"/>
      <c r="Y500" s="28" ph="1"/>
      <c r="Z500" s="88" ph="1"/>
      <c r="AA500" s="88" ph="1"/>
      <c r="AB500" s="28" ph="1"/>
      <c r="AC500" s="88" ph="1"/>
      <c r="AD500" s="88" ph="1"/>
      <c r="AE500" s="28" ph="1"/>
      <c r="AF500" s="88" ph="1"/>
      <c r="AG500" s="88" ph="1"/>
      <c r="AH500" s="88" ph="1"/>
      <c r="AI500" s="88" ph="1"/>
      <c r="AJ500" s="88" ph="1"/>
      <c r="AK500" s="88" ph="1"/>
      <c r="AL500" s="88" ph="1"/>
      <c r="AM500" s="28" ph="1"/>
      <c r="AN500" s="88" ph="1"/>
      <c r="AO500" s="88" ph="1"/>
      <c r="AP500" s="88" ph="1"/>
      <c r="AQ500" s="28" ph="1"/>
      <c r="AR500" s="88" ph="1"/>
      <c r="AS500" s="88" ph="1"/>
      <c r="AT500" s="88" ph="1"/>
      <c r="AU500" s="28" ph="1"/>
      <c r="AV500" s="88" ph="1"/>
      <c r="AW500" s="88" ph="1"/>
      <c r="AX500" s="28" ph="1"/>
      <c r="AY500" s="88" ph="1"/>
      <c r="AZ500" s="88" ph="1"/>
      <c r="BA500" s="88" ph="1"/>
      <c r="BB500" s="88" ph="1"/>
      <c r="BC500" s="28" ph="1"/>
    </row>
    <row r="501" spans="1:55">
      <c r="A501" s="28" ph="1"/>
      <c r="B501" s="28" ph="1"/>
      <c r="C501" s="28" ph="1"/>
      <c r="D501" s="28" ph="1"/>
      <c r="E501" s="28" ph="1"/>
      <c r="F501" s="28" ph="1"/>
      <c r="G501" s="28" ph="1"/>
      <c r="H501" s="28" ph="1"/>
      <c r="I501" s="28" ph="1"/>
      <c r="J501" s="28" ph="1"/>
      <c r="K501" s="28" ph="1"/>
      <c r="L501" s="28" ph="1"/>
      <c r="M501" s="28" ph="1"/>
      <c r="N501" s="28" ph="1"/>
      <c r="O501" s="28" ph="1"/>
      <c r="P501" s="28" ph="1"/>
      <c r="Q501" s="28" ph="1"/>
      <c r="R501" s="28" ph="1"/>
      <c r="S501" s="28" ph="1"/>
      <c r="T501" s="28" ph="1"/>
      <c r="U501" s="28" ph="1"/>
      <c r="V501" s="28" ph="1"/>
      <c r="W501" s="88" ph="1"/>
      <c r="X501" s="88" ph="1"/>
      <c r="Y501" s="28" ph="1"/>
      <c r="Z501" s="88" ph="1"/>
      <c r="AA501" s="88" ph="1"/>
      <c r="AB501" s="28" ph="1"/>
      <c r="AC501" s="88" ph="1"/>
      <c r="AD501" s="88" ph="1"/>
      <c r="AE501" s="28" ph="1"/>
      <c r="AF501" s="88" ph="1"/>
      <c r="AG501" s="88" ph="1"/>
      <c r="AH501" s="88" ph="1"/>
      <c r="AI501" s="88" ph="1"/>
      <c r="AJ501" s="88" ph="1"/>
      <c r="AK501" s="88" ph="1"/>
      <c r="AL501" s="88" ph="1"/>
      <c r="AM501" s="28" ph="1"/>
      <c r="AN501" s="88" ph="1"/>
      <c r="AO501" s="88" ph="1"/>
      <c r="AP501" s="88" ph="1"/>
      <c r="AQ501" s="28" ph="1"/>
      <c r="AR501" s="88" ph="1"/>
      <c r="AS501" s="88" ph="1"/>
      <c r="AT501" s="88" ph="1"/>
      <c r="AU501" s="28" ph="1"/>
      <c r="AV501" s="88" ph="1"/>
      <c r="AW501" s="88" ph="1"/>
      <c r="AX501" s="28" ph="1"/>
      <c r="AY501" s="88" ph="1"/>
      <c r="AZ501" s="88" ph="1"/>
      <c r="BA501" s="88" ph="1"/>
      <c r="BB501" s="88" ph="1"/>
      <c r="BC501" s="28" ph="1"/>
    </row>
    <row r="502" spans="1:55">
      <c r="A502" s="28" ph="1"/>
      <c r="B502" s="28" ph="1"/>
      <c r="C502" s="28" ph="1"/>
      <c r="D502" s="28" ph="1"/>
      <c r="E502" s="28" ph="1"/>
      <c r="F502" s="28" ph="1"/>
      <c r="G502" s="28" ph="1"/>
      <c r="H502" s="28" ph="1"/>
      <c r="I502" s="28" ph="1"/>
      <c r="J502" s="28" ph="1"/>
      <c r="K502" s="28" ph="1"/>
      <c r="L502" s="28" ph="1"/>
      <c r="M502" s="28" ph="1"/>
      <c r="N502" s="28" ph="1"/>
      <c r="O502" s="28" ph="1"/>
      <c r="P502" s="28" ph="1"/>
      <c r="Q502" s="28" ph="1"/>
      <c r="R502" s="28" ph="1"/>
      <c r="S502" s="28" ph="1"/>
      <c r="T502" s="28" ph="1"/>
      <c r="U502" s="28" ph="1"/>
      <c r="V502" s="28" ph="1"/>
      <c r="W502" s="88" ph="1"/>
      <c r="X502" s="88" ph="1"/>
      <c r="Y502" s="28" ph="1"/>
      <c r="Z502" s="88" ph="1"/>
      <c r="AA502" s="88" ph="1"/>
      <c r="AB502" s="28" ph="1"/>
      <c r="AC502" s="88" ph="1"/>
      <c r="AD502" s="88" ph="1"/>
      <c r="AE502" s="28" ph="1"/>
      <c r="AF502" s="88" ph="1"/>
      <c r="AG502" s="88" ph="1"/>
      <c r="AH502" s="88" ph="1"/>
      <c r="AI502" s="88" ph="1"/>
      <c r="AJ502" s="88" ph="1"/>
      <c r="AK502" s="88" ph="1"/>
      <c r="AL502" s="88" ph="1"/>
      <c r="AM502" s="28" ph="1"/>
      <c r="AN502" s="88" ph="1"/>
      <c r="AO502" s="88" ph="1"/>
      <c r="AP502" s="88" ph="1"/>
      <c r="AQ502" s="28" ph="1"/>
      <c r="AR502" s="88" ph="1"/>
      <c r="AS502" s="88" ph="1"/>
      <c r="AT502" s="88" ph="1"/>
      <c r="AU502" s="28" ph="1"/>
      <c r="AV502" s="88" ph="1"/>
      <c r="AW502" s="88" ph="1"/>
      <c r="AX502" s="28" ph="1"/>
      <c r="AY502" s="88" ph="1"/>
      <c r="AZ502" s="88" ph="1"/>
      <c r="BA502" s="88" ph="1"/>
      <c r="BB502" s="88" ph="1"/>
      <c r="BC502" s="28" ph="1"/>
    </row>
    <row r="504" spans="1:55">
      <c r="A504" s="28" ph="1"/>
      <c r="B504" s="28" ph="1"/>
      <c r="C504" s="28" ph="1"/>
      <c r="D504" s="28" ph="1"/>
      <c r="E504" s="28" ph="1"/>
      <c r="F504" s="28" ph="1"/>
      <c r="G504" s="28" ph="1"/>
      <c r="H504" s="28" ph="1"/>
      <c r="I504" s="28" ph="1"/>
      <c r="J504" s="28" ph="1"/>
      <c r="K504" s="28" ph="1"/>
      <c r="L504" s="28" ph="1"/>
      <c r="M504" s="28" ph="1"/>
      <c r="N504" s="28" ph="1"/>
      <c r="O504" s="28" ph="1"/>
      <c r="P504" s="28" ph="1"/>
      <c r="Q504" s="28" ph="1"/>
      <c r="R504" s="28" ph="1"/>
      <c r="S504" s="28" ph="1"/>
      <c r="T504" s="28" ph="1"/>
      <c r="U504" s="28" ph="1"/>
      <c r="V504" s="28" ph="1"/>
      <c r="W504" s="88" ph="1"/>
      <c r="X504" s="88" ph="1"/>
      <c r="Y504" s="28" ph="1"/>
      <c r="Z504" s="88" ph="1"/>
      <c r="AA504" s="88" ph="1"/>
      <c r="AB504" s="28" ph="1"/>
      <c r="AC504" s="88" ph="1"/>
      <c r="AD504" s="88" ph="1"/>
      <c r="AE504" s="28" ph="1"/>
      <c r="AF504" s="88" ph="1"/>
      <c r="AG504" s="88" ph="1"/>
      <c r="AH504" s="88" ph="1"/>
      <c r="AI504" s="88" ph="1"/>
      <c r="AJ504" s="88" ph="1"/>
      <c r="AK504" s="88" ph="1"/>
      <c r="AL504" s="88" ph="1"/>
      <c r="AM504" s="28" ph="1"/>
      <c r="AN504" s="88" ph="1"/>
      <c r="AO504" s="88" ph="1"/>
      <c r="AP504" s="88" ph="1"/>
      <c r="AQ504" s="28" ph="1"/>
      <c r="AR504" s="88" ph="1"/>
      <c r="AS504" s="88" ph="1"/>
      <c r="AT504" s="88" ph="1"/>
      <c r="AU504" s="28" ph="1"/>
      <c r="AV504" s="88" ph="1"/>
      <c r="AW504" s="88" ph="1"/>
      <c r="AX504" s="28" ph="1"/>
      <c r="AY504" s="88" ph="1"/>
      <c r="AZ504" s="88" ph="1"/>
      <c r="BA504" s="88" ph="1"/>
      <c r="BB504" s="88" ph="1"/>
      <c r="BC504" s="28" ph="1"/>
    </row>
    <row r="505" spans="1:55">
      <c r="A505" s="28" ph="1"/>
      <c r="B505" s="28" ph="1"/>
      <c r="C505" s="28" ph="1"/>
      <c r="D505" s="28" ph="1"/>
      <c r="E505" s="28" ph="1"/>
      <c r="F505" s="28" ph="1"/>
      <c r="G505" s="28" ph="1"/>
      <c r="H505" s="28" ph="1"/>
      <c r="I505" s="28" ph="1"/>
      <c r="J505" s="28" ph="1"/>
      <c r="K505" s="28" ph="1"/>
      <c r="L505" s="28" ph="1"/>
      <c r="M505" s="28" ph="1"/>
      <c r="N505" s="28" ph="1"/>
      <c r="O505" s="28" ph="1"/>
      <c r="P505" s="28" ph="1"/>
      <c r="Q505" s="28" ph="1"/>
      <c r="R505" s="28" ph="1"/>
      <c r="S505" s="28" ph="1"/>
      <c r="T505" s="28" ph="1"/>
      <c r="U505" s="28" ph="1"/>
      <c r="V505" s="28" ph="1"/>
      <c r="W505" s="88" ph="1"/>
      <c r="X505" s="88" ph="1"/>
      <c r="Y505" s="28" ph="1"/>
      <c r="Z505" s="88" ph="1"/>
      <c r="AA505" s="88" ph="1"/>
      <c r="AB505" s="28" ph="1"/>
      <c r="AC505" s="88" ph="1"/>
      <c r="AD505" s="88" ph="1"/>
      <c r="AE505" s="28" ph="1"/>
      <c r="AF505" s="88" ph="1"/>
      <c r="AG505" s="88" ph="1"/>
      <c r="AH505" s="88" ph="1"/>
      <c r="AI505" s="88" ph="1"/>
      <c r="AJ505" s="88" ph="1"/>
      <c r="AK505" s="88" ph="1"/>
      <c r="AL505" s="88" ph="1"/>
      <c r="AM505" s="28" ph="1"/>
      <c r="AN505" s="88" ph="1"/>
      <c r="AO505" s="88" ph="1"/>
      <c r="AP505" s="88" ph="1"/>
      <c r="AQ505" s="28" ph="1"/>
      <c r="AR505" s="88" ph="1"/>
      <c r="AS505" s="88" ph="1"/>
      <c r="AT505" s="88" ph="1"/>
      <c r="AU505" s="28" ph="1"/>
      <c r="AV505" s="88" ph="1"/>
      <c r="AW505" s="88" ph="1"/>
      <c r="AX505" s="28" ph="1"/>
      <c r="AY505" s="88" ph="1"/>
      <c r="AZ505" s="88" ph="1"/>
      <c r="BA505" s="88" ph="1"/>
      <c r="BB505" s="88" ph="1"/>
      <c r="BC505" s="28" ph="1"/>
    </row>
    <row r="506" spans="1:55">
      <c r="A506" s="28" ph="1"/>
      <c r="B506" s="28" ph="1"/>
      <c r="C506" s="28" ph="1"/>
      <c r="D506" s="28" ph="1"/>
      <c r="E506" s="28" ph="1"/>
      <c r="F506" s="28" ph="1"/>
      <c r="G506" s="28" ph="1"/>
      <c r="H506" s="28" ph="1"/>
      <c r="I506" s="28" ph="1"/>
      <c r="J506" s="28" ph="1"/>
      <c r="K506" s="28" ph="1"/>
      <c r="L506" s="28" ph="1"/>
      <c r="M506" s="28" ph="1"/>
      <c r="N506" s="28" ph="1"/>
      <c r="O506" s="28" ph="1"/>
      <c r="P506" s="28" ph="1"/>
      <c r="Q506" s="28" ph="1"/>
      <c r="R506" s="28" ph="1"/>
      <c r="S506" s="28" ph="1"/>
      <c r="T506" s="28" ph="1"/>
      <c r="U506" s="28" ph="1"/>
      <c r="V506" s="28" ph="1"/>
      <c r="W506" s="88" ph="1"/>
      <c r="X506" s="88" ph="1"/>
      <c r="Y506" s="28" ph="1"/>
      <c r="Z506" s="88" ph="1"/>
      <c r="AA506" s="88" ph="1"/>
      <c r="AB506" s="28" ph="1"/>
      <c r="AC506" s="88" ph="1"/>
      <c r="AD506" s="88" ph="1"/>
      <c r="AE506" s="28" ph="1"/>
      <c r="AF506" s="88" ph="1"/>
      <c r="AG506" s="88" ph="1"/>
      <c r="AH506" s="88" ph="1"/>
      <c r="AI506" s="88" ph="1"/>
      <c r="AJ506" s="88" ph="1"/>
      <c r="AK506" s="88" ph="1"/>
      <c r="AL506" s="88" ph="1"/>
      <c r="AM506" s="28" ph="1"/>
      <c r="AN506" s="88" ph="1"/>
      <c r="AO506" s="88" ph="1"/>
      <c r="AP506" s="88" ph="1"/>
      <c r="AQ506" s="28" ph="1"/>
      <c r="AR506" s="88" ph="1"/>
      <c r="AS506" s="88" ph="1"/>
      <c r="AT506" s="88" ph="1"/>
      <c r="AU506" s="28" ph="1"/>
      <c r="AV506" s="88" ph="1"/>
      <c r="AW506" s="88" ph="1"/>
      <c r="AX506" s="28" ph="1"/>
      <c r="AY506" s="88" ph="1"/>
      <c r="AZ506" s="88" ph="1"/>
      <c r="BA506" s="88" ph="1"/>
      <c r="BB506" s="88" ph="1"/>
      <c r="BC506" s="28" ph="1"/>
    </row>
    <row r="514" spans="1:55">
      <c r="A514" s="28" ph="1"/>
      <c r="B514" s="28" ph="1"/>
      <c r="C514" s="28" ph="1"/>
      <c r="D514" s="28" ph="1"/>
      <c r="E514" s="28" ph="1"/>
      <c r="F514" s="28" ph="1"/>
      <c r="G514" s="28" ph="1"/>
      <c r="H514" s="28" ph="1"/>
      <c r="I514" s="28" ph="1"/>
      <c r="J514" s="28" ph="1"/>
      <c r="K514" s="28" ph="1"/>
      <c r="L514" s="28" ph="1"/>
      <c r="M514" s="28" ph="1"/>
      <c r="N514" s="28" ph="1"/>
      <c r="O514" s="28" ph="1"/>
      <c r="P514" s="28" ph="1"/>
      <c r="Q514" s="28" ph="1"/>
      <c r="R514" s="28" ph="1"/>
      <c r="S514" s="28" ph="1"/>
      <c r="T514" s="28" ph="1"/>
      <c r="U514" s="28" ph="1"/>
      <c r="V514" s="28" ph="1"/>
      <c r="W514" s="88" ph="1"/>
      <c r="X514" s="88" ph="1"/>
      <c r="Y514" s="28" ph="1"/>
      <c r="Z514" s="88" ph="1"/>
      <c r="AA514" s="88" ph="1"/>
      <c r="AB514" s="28" ph="1"/>
      <c r="AC514" s="88" ph="1"/>
      <c r="AD514" s="88" ph="1"/>
      <c r="AE514" s="28" ph="1"/>
      <c r="AF514" s="88" ph="1"/>
      <c r="AG514" s="88" ph="1"/>
      <c r="AH514" s="88" ph="1"/>
      <c r="AI514" s="88" ph="1"/>
      <c r="AJ514" s="88" ph="1"/>
      <c r="AK514" s="88" ph="1"/>
      <c r="AL514" s="88" ph="1"/>
      <c r="AM514" s="28" ph="1"/>
      <c r="AN514" s="88" ph="1"/>
      <c r="AO514" s="88" ph="1"/>
      <c r="AP514" s="88" ph="1"/>
      <c r="AQ514" s="28" ph="1"/>
      <c r="AR514" s="88" ph="1"/>
      <c r="AS514" s="88" ph="1"/>
      <c r="AT514" s="88" ph="1"/>
      <c r="AU514" s="28" ph="1"/>
      <c r="AV514" s="88" ph="1"/>
      <c r="AW514" s="88" ph="1"/>
      <c r="AX514" s="28" ph="1"/>
      <c r="AY514" s="88" ph="1"/>
      <c r="AZ514" s="88" ph="1"/>
      <c r="BA514" s="88" ph="1"/>
      <c r="BB514" s="88" ph="1"/>
      <c r="BC514" s="28" ph="1"/>
    </row>
    <row r="523" spans="1:55">
      <c r="A523" s="28" ph="1"/>
      <c r="B523" s="28" ph="1"/>
      <c r="C523" s="28" ph="1"/>
      <c r="D523" s="28" ph="1"/>
      <c r="E523" s="28" ph="1"/>
      <c r="F523" s="28" ph="1"/>
      <c r="G523" s="28" ph="1"/>
      <c r="H523" s="28" ph="1"/>
      <c r="I523" s="28" ph="1"/>
      <c r="J523" s="28" ph="1"/>
      <c r="K523" s="28" ph="1"/>
      <c r="L523" s="28" ph="1"/>
      <c r="M523" s="28" ph="1"/>
      <c r="N523" s="28" ph="1"/>
      <c r="O523" s="28" ph="1"/>
      <c r="P523" s="28" ph="1"/>
      <c r="Q523" s="28" ph="1"/>
      <c r="R523" s="28" ph="1"/>
      <c r="S523" s="28" ph="1"/>
      <c r="T523" s="28" ph="1"/>
      <c r="U523" s="28" ph="1"/>
      <c r="V523" s="28" ph="1"/>
      <c r="W523" s="88" ph="1"/>
      <c r="X523" s="88" ph="1"/>
      <c r="Y523" s="28" ph="1"/>
      <c r="Z523" s="88" ph="1"/>
      <c r="AA523" s="88" ph="1"/>
      <c r="AB523" s="28" ph="1"/>
      <c r="AC523" s="88" ph="1"/>
      <c r="AD523" s="88" ph="1"/>
      <c r="AE523" s="28" ph="1"/>
      <c r="AF523" s="88" ph="1"/>
      <c r="AG523" s="88" ph="1"/>
      <c r="AH523" s="88" ph="1"/>
      <c r="AI523" s="88" ph="1"/>
      <c r="AJ523" s="88" ph="1"/>
      <c r="AK523" s="88" ph="1"/>
      <c r="AL523" s="88" ph="1"/>
      <c r="AM523" s="28" ph="1"/>
      <c r="AN523" s="88" ph="1"/>
      <c r="AO523" s="88" ph="1"/>
      <c r="AP523" s="88" ph="1"/>
      <c r="AQ523" s="28" ph="1"/>
      <c r="AR523" s="88" ph="1"/>
      <c r="AS523" s="88" ph="1"/>
      <c r="AT523" s="88" ph="1"/>
      <c r="AU523" s="28" ph="1"/>
      <c r="AV523" s="88" ph="1"/>
      <c r="AW523" s="88" ph="1"/>
      <c r="AX523" s="28" ph="1"/>
      <c r="AY523" s="88" ph="1"/>
      <c r="AZ523" s="88" ph="1"/>
      <c r="BA523" s="88" ph="1"/>
      <c r="BB523" s="88" ph="1"/>
      <c r="BC523" s="28" ph="1"/>
    </row>
    <row r="525" spans="1:55">
      <c r="A525" s="28" ph="1"/>
      <c r="B525" s="28" ph="1"/>
      <c r="C525" s="28" ph="1"/>
      <c r="D525" s="28" ph="1"/>
      <c r="E525" s="28" ph="1"/>
      <c r="F525" s="28" ph="1"/>
      <c r="G525" s="28" ph="1"/>
      <c r="H525" s="28" ph="1"/>
      <c r="I525" s="28" ph="1"/>
      <c r="J525" s="28" ph="1"/>
      <c r="K525" s="28" ph="1"/>
      <c r="L525" s="28" ph="1"/>
      <c r="M525" s="28" ph="1"/>
      <c r="N525" s="28" ph="1"/>
      <c r="O525" s="28" ph="1"/>
      <c r="P525" s="28" ph="1"/>
      <c r="Q525" s="28" ph="1"/>
      <c r="R525" s="28" ph="1"/>
      <c r="S525" s="28" ph="1"/>
      <c r="T525" s="28" ph="1"/>
      <c r="U525" s="28" ph="1"/>
      <c r="V525" s="28" ph="1"/>
      <c r="W525" s="88" ph="1"/>
      <c r="X525" s="88" ph="1"/>
      <c r="Y525" s="28" ph="1"/>
      <c r="Z525" s="88" ph="1"/>
      <c r="AA525" s="88" ph="1"/>
      <c r="AB525" s="28" ph="1"/>
      <c r="AC525" s="88" ph="1"/>
      <c r="AD525" s="88" ph="1"/>
      <c r="AE525" s="28" ph="1"/>
      <c r="AF525" s="88" ph="1"/>
      <c r="AG525" s="88" ph="1"/>
      <c r="AH525" s="88" ph="1"/>
      <c r="AI525" s="88" ph="1"/>
      <c r="AJ525" s="88" ph="1"/>
      <c r="AK525" s="88" ph="1"/>
      <c r="AL525" s="88" ph="1"/>
      <c r="AM525" s="28" ph="1"/>
      <c r="AN525" s="88" ph="1"/>
      <c r="AO525" s="88" ph="1"/>
      <c r="AP525" s="88" ph="1"/>
      <c r="AQ525" s="28" ph="1"/>
      <c r="AR525" s="88" ph="1"/>
      <c r="AS525" s="88" ph="1"/>
      <c r="AT525" s="88" ph="1"/>
      <c r="AU525" s="28" ph="1"/>
      <c r="AV525" s="88" ph="1"/>
      <c r="AW525" s="88" ph="1"/>
      <c r="AX525" s="28" ph="1"/>
      <c r="AY525" s="88" ph="1"/>
      <c r="AZ525" s="88" ph="1"/>
      <c r="BA525" s="88" ph="1"/>
      <c r="BB525" s="88" ph="1"/>
      <c r="BC525" s="28" ph="1"/>
    </row>
    <row r="526" spans="1:55">
      <c r="A526" s="28" ph="1"/>
      <c r="B526" s="28" ph="1"/>
      <c r="C526" s="28" ph="1"/>
      <c r="D526" s="28" ph="1"/>
      <c r="E526" s="28" ph="1"/>
      <c r="F526" s="28" ph="1"/>
      <c r="G526" s="28" ph="1"/>
      <c r="H526" s="28" ph="1"/>
      <c r="I526" s="28" ph="1"/>
      <c r="J526" s="28" ph="1"/>
      <c r="K526" s="28" ph="1"/>
      <c r="L526" s="28" ph="1"/>
      <c r="M526" s="28" ph="1"/>
      <c r="N526" s="28" ph="1"/>
      <c r="O526" s="28" ph="1"/>
      <c r="P526" s="28" ph="1"/>
      <c r="Q526" s="28" ph="1"/>
      <c r="R526" s="28" ph="1"/>
      <c r="S526" s="28" ph="1"/>
      <c r="T526" s="28" ph="1"/>
      <c r="U526" s="28" ph="1"/>
      <c r="V526" s="28" ph="1"/>
      <c r="W526" s="88" ph="1"/>
      <c r="X526" s="88" ph="1"/>
      <c r="Y526" s="28" ph="1"/>
      <c r="Z526" s="88" ph="1"/>
      <c r="AA526" s="88" ph="1"/>
      <c r="AB526" s="28" ph="1"/>
      <c r="AC526" s="88" ph="1"/>
      <c r="AD526" s="88" ph="1"/>
      <c r="AE526" s="28" ph="1"/>
      <c r="AF526" s="88" ph="1"/>
      <c r="AG526" s="88" ph="1"/>
      <c r="AH526" s="88" ph="1"/>
      <c r="AI526" s="88" ph="1"/>
      <c r="AJ526" s="88" ph="1"/>
      <c r="AK526" s="88" ph="1"/>
      <c r="AL526" s="88" ph="1"/>
      <c r="AM526" s="28" ph="1"/>
      <c r="AN526" s="88" ph="1"/>
      <c r="AO526" s="88" ph="1"/>
      <c r="AP526" s="88" ph="1"/>
      <c r="AQ526" s="28" ph="1"/>
      <c r="AR526" s="88" ph="1"/>
      <c r="AS526" s="88" ph="1"/>
      <c r="AT526" s="88" ph="1"/>
      <c r="AU526" s="28" ph="1"/>
      <c r="AV526" s="88" ph="1"/>
      <c r="AW526" s="88" ph="1"/>
      <c r="AX526" s="28" ph="1"/>
      <c r="AY526" s="88" ph="1"/>
      <c r="AZ526" s="88" ph="1"/>
      <c r="BA526" s="88" ph="1"/>
      <c r="BB526" s="88" ph="1"/>
      <c r="BC526" s="28" ph="1"/>
    </row>
    <row r="527" spans="1:55">
      <c r="A527" s="28" ph="1"/>
      <c r="B527" s="28" ph="1"/>
      <c r="C527" s="28" ph="1"/>
      <c r="D527" s="28" ph="1"/>
      <c r="E527" s="28" ph="1"/>
      <c r="F527" s="28" ph="1"/>
      <c r="G527" s="28" ph="1"/>
      <c r="H527" s="28" ph="1"/>
      <c r="I527" s="28" ph="1"/>
      <c r="J527" s="28" ph="1"/>
      <c r="K527" s="28" ph="1"/>
      <c r="L527" s="28" ph="1"/>
      <c r="M527" s="28" ph="1"/>
      <c r="N527" s="28" ph="1"/>
      <c r="O527" s="28" ph="1"/>
      <c r="P527" s="28" ph="1"/>
      <c r="Q527" s="28" ph="1"/>
      <c r="R527" s="28" ph="1"/>
      <c r="S527" s="28" ph="1"/>
      <c r="T527" s="28" ph="1"/>
      <c r="U527" s="28" ph="1"/>
      <c r="V527" s="28" ph="1"/>
      <c r="W527" s="88" ph="1"/>
      <c r="X527" s="88" ph="1"/>
      <c r="Y527" s="28" ph="1"/>
      <c r="Z527" s="88" ph="1"/>
      <c r="AA527" s="88" ph="1"/>
      <c r="AB527" s="28" ph="1"/>
      <c r="AC527" s="88" ph="1"/>
      <c r="AD527" s="88" ph="1"/>
      <c r="AE527" s="28" ph="1"/>
      <c r="AF527" s="88" ph="1"/>
      <c r="AG527" s="88" ph="1"/>
      <c r="AH527" s="88" ph="1"/>
      <c r="AI527" s="88" ph="1"/>
      <c r="AJ527" s="88" ph="1"/>
      <c r="AK527" s="88" ph="1"/>
      <c r="AL527" s="88" ph="1"/>
      <c r="AM527" s="28" ph="1"/>
      <c r="AN527" s="88" ph="1"/>
      <c r="AO527" s="88" ph="1"/>
      <c r="AP527" s="88" ph="1"/>
      <c r="AQ527" s="28" ph="1"/>
      <c r="AR527" s="88" ph="1"/>
      <c r="AS527" s="88" ph="1"/>
      <c r="AT527" s="88" ph="1"/>
      <c r="AU527" s="28" ph="1"/>
      <c r="AV527" s="88" ph="1"/>
      <c r="AW527" s="88" ph="1"/>
      <c r="AX527" s="28" ph="1"/>
      <c r="AY527" s="88" ph="1"/>
      <c r="AZ527" s="88" ph="1"/>
      <c r="BA527" s="88" ph="1"/>
      <c r="BB527" s="88" ph="1"/>
      <c r="BC527" s="28" ph="1"/>
    </row>
    <row r="528" spans="1:55">
      <c r="A528" s="28" ph="1"/>
      <c r="B528" s="28" ph="1"/>
      <c r="C528" s="28" ph="1"/>
      <c r="D528" s="28" ph="1"/>
      <c r="E528" s="28" ph="1"/>
      <c r="F528" s="28" ph="1"/>
      <c r="G528" s="28" ph="1"/>
      <c r="H528" s="28" ph="1"/>
      <c r="I528" s="28" ph="1"/>
      <c r="J528" s="28" ph="1"/>
      <c r="K528" s="28" ph="1"/>
      <c r="L528" s="28" ph="1"/>
      <c r="M528" s="28" ph="1"/>
      <c r="N528" s="28" ph="1"/>
      <c r="O528" s="28" ph="1"/>
      <c r="P528" s="28" ph="1"/>
      <c r="Q528" s="28" ph="1"/>
      <c r="R528" s="28" ph="1"/>
      <c r="S528" s="28" ph="1"/>
      <c r="T528" s="28" ph="1"/>
      <c r="U528" s="28" ph="1"/>
      <c r="V528" s="28" ph="1"/>
      <c r="W528" s="88" ph="1"/>
      <c r="X528" s="88" ph="1"/>
      <c r="Y528" s="28" ph="1"/>
      <c r="Z528" s="88" ph="1"/>
      <c r="AA528" s="88" ph="1"/>
      <c r="AB528" s="28" ph="1"/>
      <c r="AC528" s="88" ph="1"/>
      <c r="AD528" s="88" ph="1"/>
      <c r="AE528" s="28" ph="1"/>
      <c r="AF528" s="88" ph="1"/>
      <c r="AG528" s="88" ph="1"/>
      <c r="AH528" s="88" ph="1"/>
      <c r="AI528" s="88" ph="1"/>
      <c r="AJ528" s="88" ph="1"/>
      <c r="AK528" s="88" ph="1"/>
      <c r="AL528" s="88" ph="1"/>
      <c r="AM528" s="28" ph="1"/>
      <c r="AN528" s="88" ph="1"/>
      <c r="AO528" s="88" ph="1"/>
      <c r="AP528" s="88" ph="1"/>
      <c r="AQ528" s="28" ph="1"/>
      <c r="AR528" s="88" ph="1"/>
      <c r="AS528" s="88" ph="1"/>
      <c r="AT528" s="88" ph="1"/>
      <c r="AU528" s="28" ph="1"/>
      <c r="AV528" s="88" ph="1"/>
      <c r="AW528" s="88" ph="1"/>
      <c r="AX528" s="28" ph="1"/>
      <c r="AY528" s="88" ph="1"/>
      <c r="AZ528" s="88" ph="1"/>
      <c r="BA528" s="88" ph="1"/>
      <c r="BB528" s="88" ph="1"/>
      <c r="BC528" s="28" ph="1"/>
    </row>
    <row r="529" spans="1:55">
      <c r="A529" s="28" ph="1"/>
      <c r="B529" s="28" ph="1"/>
      <c r="C529" s="28" ph="1"/>
      <c r="D529" s="28" ph="1"/>
      <c r="E529" s="28" ph="1"/>
      <c r="F529" s="28" ph="1"/>
      <c r="G529" s="28" ph="1"/>
      <c r="H529" s="28" ph="1"/>
      <c r="I529" s="28" ph="1"/>
      <c r="J529" s="28" ph="1"/>
      <c r="K529" s="28" ph="1"/>
      <c r="L529" s="28" ph="1"/>
      <c r="M529" s="28" ph="1"/>
      <c r="N529" s="28" ph="1"/>
      <c r="O529" s="28" ph="1"/>
      <c r="P529" s="28" ph="1"/>
      <c r="Q529" s="28" ph="1"/>
      <c r="R529" s="28" ph="1"/>
      <c r="S529" s="28" ph="1"/>
      <c r="T529" s="28" ph="1"/>
      <c r="U529" s="28" ph="1"/>
      <c r="V529" s="28" ph="1"/>
      <c r="W529" s="88" ph="1"/>
      <c r="X529" s="88" ph="1"/>
      <c r="Y529" s="28" ph="1"/>
      <c r="Z529" s="88" ph="1"/>
      <c r="AA529" s="88" ph="1"/>
      <c r="AB529" s="28" ph="1"/>
      <c r="AC529" s="88" ph="1"/>
      <c r="AD529" s="88" ph="1"/>
      <c r="AE529" s="28" ph="1"/>
      <c r="AF529" s="88" ph="1"/>
      <c r="AG529" s="88" ph="1"/>
      <c r="AH529" s="88" ph="1"/>
      <c r="AI529" s="88" ph="1"/>
      <c r="AJ529" s="88" ph="1"/>
      <c r="AK529" s="88" ph="1"/>
      <c r="AL529" s="88" ph="1"/>
      <c r="AM529" s="28" ph="1"/>
      <c r="AN529" s="88" ph="1"/>
      <c r="AO529" s="88" ph="1"/>
      <c r="AP529" s="88" ph="1"/>
      <c r="AQ529" s="28" ph="1"/>
      <c r="AR529" s="88" ph="1"/>
      <c r="AS529" s="88" ph="1"/>
      <c r="AT529" s="88" ph="1"/>
      <c r="AU529" s="28" ph="1"/>
      <c r="AV529" s="88" ph="1"/>
      <c r="AW529" s="88" ph="1"/>
      <c r="AX529" s="28" ph="1"/>
      <c r="AY529" s="88" ph="1"/>
      <c r="AZ529" s="88" ph="1"/>
      <c r="BA529" s="88" ph="1"/>
      <c r="BB529" s="88" ph="1"/>
      <c r="BC529" s="28" ph="1"/>
    </row>
    <row r="530" spans="1:55">
      <c r="A530" s="28" ph="1"/>
      <c r="B530" s="28" ph="1"/>
      <c r="C530" s="28" ph="1"/>
      <c r="D530" s="28" ph="1"/>
      <c r="E530" s="28" ph="1"/>
      <c r="F530" s="28" ph="1"/>
      <c r="G530" s="28" ph="1"/>
      <c r="H530" s="28" ph="1"/>
      <c r="I530" s="28" ph="1"/>
      <c r="J530" s="28" ph="1"/>
      <c r="K530" s="28" ph="1"/>
      <c r="L530" s="28" ph="1"/>
      <c r="M530" s="28" ph="1"/>
      <c r="N530" s="28" ph="1"/>
      <c r="O530" s="28" ph="1"/>
      <c r="P530" s="28" ph="1"/>
      <c r="Q530" s="28" ph="1"/>
      <c r="R530" s="28" ph="1"/>
      <c r="S530" s="28" ph="1"/>
      <c r="T530" s="28" ph="1"/>
      <c r="U530" s="28" ph="1"/>
      <c r="V530" s="28" ph="1"/>
      <c r="W530" s="88" ph="1"/>
      <c r="X530" s="88" ph="1"/>
      <c r="Y530" s="28" ph="1"/>
      <c r="Z530" s="88" ph="1"/>
      <c r="AA530" s="88" ph="1"/>
      <c r="AB530" s="28" ph="1"/>
      <c r="AC530" s="88" ph="1"/>
      <c r="AD530" s="88" ph="1"/>
      <c r="AE530" s="28" ph="1"/>
      <c r="AF530" s="88" ph="1"/>
      <c r="AG530" s="88" ph="1"/>
      <c r="AH530" s="88" ph="1"/>
      <c r="AI530" s="88" ph="1"/>
      <c r="AJ530" s="88" ph="1"/>
      <c r="AK530" s="88" ph="1"/>
      <c r="AL530" s="88" ph="1"/>
      <c r="AM530" s="28" ph="1"/>
      <c r="AN530" s="88" ph="1"/>
      <c r="AO530" s="88" ph="1"/>
      <c r="AP530" s="88" ph="1"/>
      <c r="AQ530" s="28" ph="1"/>
      <c r="AR530" s="88" ph="1"/>
      <c r="AS530" s="88" ph="1"/>
      <c r="AT530" s="88" ph="1"/>
      <c r="AU530" s="28" ph="1"/>
      <c r="AV530" s="88" ph="1"/>
      <c r="AW530" s="88" ph="1"/>
      <c r="AX530" s="28" ph="1"/>
      <c r="AY530" s="88" ph="1"/>
      <c r="AZ530" s="88" ph="1"/>
      <c r="BA530" s="88" ph="1"/>
      <c r="BB530" s="88" ph="1"/>
      <c r="BC530" s="28" ph="1"/>
    </row>
    <row r="531" spans="1:55">
      <c r="A531" s="28" ph="1"/>
      <c r="B531" s="28" ph="1"/>
      <c r="C531" s="28" ph="1"/>
      <c r="D531" s="28" ph="1"/>
      <c r="E531" s="28" ph="1"/>
      <c r="F531" s="28" ph="1"/>
      <c r="G531" s="28" ph="1"/>
      <c r="H531" s="28" ph="1"/>
      <c r="I531" s="28" ph="1"/>
      <c r="J531" s="28" ph="1"/>
      <c r="K531" s="28" ph="1"/>
      <c r="L531" s="28" ph="1"/>
      <c r="M531" s="28" ph="1"/>
      <c r="N531" s="28" ph="1"/>
      <c r="O531" s="28" ph="1"/>
      <c r="P531" s="28" ph="1"/>
      <c r="Q531" s="28" ph="1"/>
      <c r="R531" s="28" ph="1"/>
      <c r="S531" s="28" ph="1"/>
      <c r="T531" s="28" ph="1"/>
      <c r="U531" s="28" ph="1"/>
      <c r="V531" s="28" ph="1"/>
      <c r="W531" s="88" ph="1"/>
      <c r="X531" s="88" ph="1"/>
      <c r="Y531" s="28" ph="1"/>
      <c r="Z531" s="88" ph="1"/>
      <c r="AA531" s="88" ph="1"/>
      <c r="AB531" s="28" ph="1"/>
      <c r="AC531" s="88" ph="1"/>
      <c r="AD531" s="88" ph="1"/>
      <c r="AE531" s="28" ph="1"/>
      <c r="AF531" s="88" ph="1"/>
      <c r="AG531" s="88" ph="1"/>
      <c r="AH531" s="88" ph="1"/>
      <c r="AI531" s="88" ph="1"/>
      <c r="AJ531" s="88" ph="1"/>
      <c r="AK531" s="88" ph="1"/>
      <c r="AL531" s="88" ph="1"/>
      <c r="AM531" s="28" ph="1"/>
      <c r="AN531" s="88" ph="1"/>
      <c r="AO531" s="88" ph="1"/>
      <c r="AP531" s="88" ph="1"/>
      <c r="AQ531" s="28" ph="1"/>
      <c r="AR531" s="88" ph="1"/>
      <c r="AS531" s="88" ph="1"/>
      <c r="AT531" s="88" ph="1"/>
      <c r="AU531" s="28" ph="1"/>
      <c r="AV531" s="88" ph="1"/>
      <c r="AW531" s="88" ph="1"/>
      <c r="AX531" s="28" ph="1"/>
      <c r="AY531" s="88" ph="1"/>
      <c r="AZ531" s="88" ph="1"/>
      <c r="BA531" s="88" ph="1"/>
      <c r="BB531" s="88" ph="1"/>
      <c r="BC531" s="28" ph="1"/>
    </row>
    <row r="532" spans="1:55">
      <c r="A532" s="28" ph="1"/>
      <c r="B532" s="28" ph="1"/>
      <c r="C532" s="28" ph="1"/>
      <c r="D532" s="28" ph="1"/>
      <c r="E532" s="28" ph="1"/>
      <c r="F532" s="28" ph="1"/>
      <c r="G532" s="28" ph="1"/>
      <c r="H532" s="28" ph="1"/>
      <c r="I532" s="28" ph="1"/>
      <c r="J532" s="28" ph="1"/>
      <c r="K532" s="28" ph="1"/>
      <c r="L532" s="28" ph="1"/>
      <c r="M532" s="28" ph="1"/>
      <c r="N532" s="28" ph="1"/>
      <c r="O532" s="28" ph="1"/>
      <c r="P532" s="28" ph="1"/>
      <c r="Q532" s="28" ph="1"/>
      <c r="R532" s="28" ph="1"/>
      <c r="S532" s="28" ph="1"/>
      <c r="T532" s="28" ph="1"/>
      <c r="U532" s="28" ph="1"/>
      <c r="V532" s="28" ph="1"/>
      <c r="W532" s="88" ph="1"/>
      <c r="X532" s="88" ph="1"/>
      <c r="Y532" s="28" ph="1"/>
      <c r="Z532" s="88" ph="1"/>
      <c r="AA532" s="88" ph="1"/>
      <c r="AB532" s="28" ph="1"/>
      <c r="AC532" s="88" ph="1"/>
      <c r="AD532" s="88" ph="1"/>
      <c r="AE532" s="28" ph="1"/>
      <c r="AF532" s="88" ph="1"/>
      <c r="AG532" s="88" ph="1"/>
      <c r="AH532" s="88" ph="1"/>
      <c r="AI532" s="88" ph="1"/>
      <c r="AJ532" s="88" ph="1"/>
      <c r="AK532" s="88" ph="1"/>
      <c r="AL532" s="88" ph="1"/>
      <c r="AM532" s="28" ph="1"/>
      <c r="AN532" s="88" ph="1"/>
      <c r="AO532" s="88" ph="1"/>
      <c r="AP532" s="88" ph="1"/>
      <c r="AQ532" s="28" ph="1"/>
      <c r="AR532" s="88" ph="1"/>
      <c r="AS532" s="88" ph="1"/>
      <c r="AT532" s="88" ph="1"/>
      <c r="AU532" s="28" ph="1"/>
      <c r="AV532" s="88" ph="1"/>
      <c r="AW532" s="88" ph="1"/>
      <c r="AX532" s="28" ph="1"/>
      <c r="AY532" s="88" ph="1"/>
      <c r="AZ532" s="88" ph="1"/>
      <c r="BA532" s="88" ph="1"/>
      <c r="BB532" s="88" ph="1"/>
      <c r="BC532" s="28" ph="1"/>
    </row>
    <row r="533" spans="1:55">
      <c r="A533" s="28" ph="1"/>
      <c r="B533" s="28" ph="1"/>
      <c r="C533" s="28" ph="1"/>
      <c r="D533" s="28" ph="1"/>
      <c r="E533" s="28" ph="1"/>
      <c r="F533" s="28" ph="1"/>
      <c r="G533" s="28" ph="1"/>
      <c r="H533" s="28" ph="1"/>
      <c r="I533" s="28" ph="1"/>
      <c r="J533" s="28" ph="1"/>
      <c r="K533" s="28" ph="1"/>
      <c r="L533" s="28" ph="1"/>
      <c r="M533" s="28" ph="1"/>
      <c r="N533" s="28" ph="1"/>
      <c r="O533" s="28" ph="1"/>
      <c r="P533" s="28" ph="1"/>
      <c r="Q533" s="28" ph="1"/>
      <c r="R533" s="28" ph="1"/>
      <c r="S533" s="28" ph="1"/>
      <c r="T533" s="28" ph="1"/>
      <c r="U533" s="28" ph="1"/>
      <c r="V533" s="28" ph="1"/>
      <c r="W533" s="88" ph="1"/>
      <c r="X533" s="88" ph="1"/>
      <c r="Y533" s="28" ph="1"/>
      <c r="Z533" s="88" ph="1"/>
      <c r="AA533" s="88" ph="1"/>
      <c r="AB533" s="28" ph="1"/>
      <c r="AC533" s="88" ph="1"/>
      <c r="AD533" s="88" ph="1"/>
      <c r="AE533" s="28" ph="1"/>
      <c r="AF533" s="88" ph="1"/>
      <c r="AG533" s="88" ph="1"/>
      <c r="AH533" s="88" ph="1"/>
      <c r="AI533" s="88" ph="1"/>
      <c r="AJ533" s="88" ph="1"/>
      <c r="AK533" s="88" ph="1"/>
      <c r="AL533" s="88" ph="1"/>
      <c r="AM533" s="28" ph="1"/>
      <c r="AN533" s="88" ph="1"/>
      <c r="AO533" s="88" ph="1"/>
      <c r="AP533" s="88" ph="1"/>
      <c r="AQ533" s="28" ph="1"/>
      <c r="AR533" s="88" ph="1"/>
      <c r="AS533" s="88" ph="1"/>
      <c r="AT533" s="88" ph="1"/>
      <c r="AU533" s="28" ph="1"/>
      <c r="AV533" s="88" ph="1"/>
      <c r="AW533" s="88" ph="1"/>
      <c r="AX533" s="28" ph="1"/>
      <c r="AY533" s="88" ph="1"/>
      <c r="AZ533" s="88" ph="1"/>
      <c r="BA533" s="88" ph="1"/>
      <c r="BB533" s="88" ph="1"/>
      <c r="BC533" s="28" ph="1"/>
    </row>
    <row r="534" spans="1:55">
      <c r="A534" s="28" ph="1"/>
      <c r="B534" s="28" ph="1"/>
      <c r="C534" s="28" ph="1"/>
      <c r="D534" s="28" ph="1"/>
      <c r="E534" s="28" ph="1"/>
      <c r="F534" s="28" ph="1"/>
      <c r="G534" s="28" ph="1"/>
      <c r="H534" s="28" ph="1"/>
      <c r="I534" s="28" ph="1"/>
      <c r="J534" s="28" ph="1"/>
      <c r="K534" s="28" ph="1"/>
      <c r="L534" s="28" ph="1"/>
      <c r="M534" s="28" ph="1"/>
      <c r="N534" s="28" ph="1"/>
      <c r="O534" s="28" ph="1"/>
      <c r="P534" s="28" ph="1"/>
      <c r="Q534" s="28" ph="1"/>
      <c r="R534" s="28" ph="1"/>
      <c r="S534" s="28" ph="1"/>
      <c r="T534" s="28" ph="1"/>
      <c r="U534" s="28" ph="1"/>
      <c r="V534" s="28" ph="1"/>
      <c r="W534" s="88" ph="1"/>
      <c r="X534" s="88" ph="1"/>
      <c r="Y534" s="28" ph="1"/>
      <c r="Z534" s="88" ph="1"/>
      <c r="AA534" s="88" ph="1"/>
      <c r="AB534" s="28" ph="1"/>
      <c r="AC534" s="88" ph="1"/>
      <c r="AD534" s="88" ph="1"/>
      <c r="AE534" s="28" ph="1"/>
      <c r="AF534" s="88" ph="1"/>
      <c r="AG534" s="88" ph="1"/>
      <c r="AH534" s="88" ph="1"/>
      <c r="AI534" s="88" ph="1"/>
      <c r="AJ534" s="88" ph="1"/>
      <c r="AK534" s="88" ph="1"/>
      <c r="AL534" s="88" ph="1"/>
      <c r="AM534" s="28" ph="1"/>
      <c r="AN534" s="88" ph="1"/>
      <c r="AO534" s="88" ph="1"/>
      <c r="AP534" s="88" ph="1"/>
      <c r="AQ534" s="28" ph="1"/>
      <c r="AR534" s="88" ph="1"/>
      <c r="AS534" s="88" ph="1"/>
      <c r="AT534" s="88" ph="1"/>
      <c r="AU534" s="28" ph="1"/>
      <c r="AV534" s="88" ph="1"/>
      <c r="AW534" s="88" ph="1"/>
      <c r="AX534" s="28" ph="1"/>
      <c r="AY534" s="88" ph="1"/>
      <c r="AZ534" s="88" ph="1"/>
      <c r="BA534" s="88" ph="1"/>
      <c r="BB534" s="88" ph="1"/>
      <c r="BC534" s="28" ph="1"/>
    </row>
    <row r="536" spans="1:55">
      <c r="A536" s="28" ph="1"/>
      <c r="B536" s="28" ph="1"/>
      <c r="C536" s="28" ph="1"/>
      <c r="D536" s="28" ph="1"/>
      <c r="E536" s="28" ph="1"/>
      <c r="F536" s="28" ph="1"/>
      <c r="G536" s="28" ph="1"/>
      <c r="H536" s="28" ph="1"/>
      <c r="I536" s="28" ph="1"/>
      <c r="J536" s="28" ph="1"/>
      <c r="K536" s="28" ph="1"/>
      <c r="L536" s="28" ph="1"/>
      <c r="M536" s="28" ph="1"/>
      <c r="N536" s="28" ph="1"/>
      <c r="O536" s="28" ph="1"/>
      <c r="P536" s="28" ph="1"/>
      <c r="Q536" s="28" ph="1"/>
      <c r="R536" s="28" ph="1"/>
      <c r="S536" s="28" ph="1"/>
      <c r="T536" s="28" ph="1"/>
      <c r="U536" s="28" ph="1"/>
      <c r="V536" s="28" ph="1"/>
      <c r="W536" s="88" ph="1"/>
      <c r="X536" s="88" ph="1"/>
      <c r="Y536" s="28" ph="1"/>
      <c r="Z536" s="88" ph="1"/>
      <c r="AA536" s="88" ph="1"/>
      <c r="AB536" s="28" ph="1"/>
      <c r="AC536" s="88" ph="1"/>
      <c r="AD536" s="88" ph="1"/>
      <c r="AE536" s="28" ph="1"/>
      <c r="AF536" s="88" ph="1"/>
      <c r="AG536" s="88" ph="1"/>
      <c r="AH536" s="88" ph="1"/>
      <c r="AI536" s="88" ph="1"/>
      <c r="AJ536" s="88" ph="1"/>
      <c r="AK536" s="88" ph="1"/>
      <c r="AL536" s="88" ph="1"/>
      <c r="AM536" s="28" ph="1"/>
      <c r="AN536" s="88" ph="1"/>
      <c r="AO536" s="88" ph="1"/>
      <c r="AP536" s="88" ph="1"/>
      <c r="AQ536" s="28" ph="1"/>
      <c r="AR536" s="88" ph="1"/>
      <c r="AS536" s="88" ph="1"/>
      <c r="AT536" s="88" ph="1"/>
      <c r="AU536" s="28" ph="1"/>
      <c r="AV536" s="88" ph="1"/>
      <c r="AW536" s="88" ph="1"/>
      <c r="AX536" s="28" ph="1"/>
      <c r="AY536" s="88" ph="1"/>
      <c r="AZ536" s="88" ph="1"/>
      <c r="BA536" s="88" ph="1"/>
      <c r="BB536" s="88" ph="1"/>
      <c r="BC536" s="28" ph="1"/>
    </row>
    <row r="537" spans="1:55">
      <c r="A537" s="28" ph="1"/>
      <c r="B537" s="28" ph="1"/>
      <c r="C537" s="28" ph="1"/>
      <c r="D537" s="28" ph="1"/>
      <c r="E537" s="28" ph="1"/>
      <c r="F537" s="28" ph="1"/>
      <c r="G537" s="28" ph="1"/>
      <c r="H537" s="28" ph="1"/>
      <c r="I537" s="28" ph="1"/>
      <c r="J537" s="28" ph="1"/>
      <c r="K537" s="28" ph="1"/>
      <c r="L537" s="28" ph="1"/>
      <c r="M537" s="28" ph="1"/>
      <c r="N537" s="28" ph="1"/>
      <c r="O537" s="28" ph="1"/>
      <c r="P537" s="28" ph="1"/>
      <c r="Q537" s="28" ph="1"/>
      <c r="R537" s="28" ph="1"/>
      <c r="S537" s="28" ph="1"/>
      <c r="T537" s="28" ph="1"/>
      <c r="U537" s="28" ph="1"/>
      <c r="V537" s="28" ph="1"/>
      <c r="W537" s="88" ph="1"/>
      <c r="X537" s="88" ph="1"/>
      <c r="Y537" s="28" ph="1"/>
      <c r="Z537" s="88" ph="1"/>
      <c r="AA537" s="88" ph="1"/>
      <c r="AB537" s="28" ph="1"/>
      <c r="AC537" s="88" ph="1"/>
      <c r="AD537" s="88" ph="1"/>
      <c r="AE537" s="28" ph="1"/>
      <c r="AF537" s="88" ph="1"/>
      <c r="AG537" s="88" ph="1"/>
      <c r="AH537" s="88" ph="1"/>
      <c r="AI537" s="88" ph="1"/>
      <c r="AJ537" s="88" ph="1"/>
      <c r="AK537" s="88" ph="1"/>
      <c r="AL537" s="88" ph="1"/>
      <c r="AM537" s="28" ph="1"/>
      <c r="AN537" s="88" ph="1"/>
      <c r="AO537" s="88" ph="1"/>
      <c r="AP537" s="88" ph="1"/>
      <c r="AQ537" s="28" ph="1"/>
      <c r="AR537" s="88" ph="1"/>
      <c r="AS537" s="88" ph="1"/>
      <c r="AT537" s="88" ph="1"/>
      <c r="AU537" s="28" ph="1"/>
      <c r="AV537" s="88" ph="1"/>
      <c r="AW537" s="88" ph="1"/>
      <c r="AX537" s="28" ph="1"/>
      <c r="AY537" s="88" ph="1"/>
      <c r="AZ537" s="88" ph="1"/>
      <c r="BA537" s="88" ph="1"/>
      <c r="BB537" s="88" ph="1"/>
      <c r="BC537" s="28" ph="1"/>
    </row>
    <row r="538" spans="1:55">
      <c r="A538" s="28" ph="1"/>
      <c r="B538" s="28" ph="1"/>
      <c r="C538" s="28" ph="1"/>
      <c r="D538" s="28" ph="1"/>
      <c r="E538" s="28" ph="1"/>
      <c r="F538" s="28" ph="1"/>
      <c r="G538" s="28" ph="1"/>
      <c r="H538" s="28" ph="1"/>
      <c r="I538" s="28" ph="1"/>
      <c r="J538" s="28" ph="1"/>
      <c r="K538" s="28" ph="1"/>
      <c r="L538" s="28" ph="1"/>
      <c r="M538" s="28" ph="1"/>
      <c r="N538" s="28" ph="1"/>
      <c r="O538" s="28" ph="1"/>
      <c r="P538" s="28" ph="1"/>
      <c r="Q538" s="28" ph="1"/>
      <c r="R538" s="28" ph="1"/>
      <c r="S538" s="28" ph="1"/>
      <c r="T538" s="28" ph="1"/>
      <c r="U538" s="28" ph="1"/>
      <c r="V538" s="28" ph="1"/>
      <c r="W538" s="88" ph="1"/>
      <c r="X538" s="88" ph="1"/>
      <c r="Y538" s="28" ph="1"/>
      <c r="Z538" s="88" ph="1"/>
      <c r="AA538" s="88" ph="1"/>
      <c r="AB538" s="28" ph="1"/>
      <c r="AC538" s="88" ph="1"/>
      <c r="AD538" s="88" ph="1"/>
      <c r="AE538" s="28" ph="1"/>
      <c r="AF538" s="88" ph="1"/>
      <c r="AG538" s="88" ph="1"/>
      <c r="AH538" s="88" ph="1"/>
      <c r="AI538" s="88" ph="1"/>
      <c r="AJ538" s="88" ph="1"/>
      <c r="AK538" s="88" ph="1"/>
      <c r="AL538" s="88" ph="1"/>
      <c r="AM538" s="28" ph="1"/>
      <c r="AN538" s="88" ph="1"/>
      <c r="AO538" s="88" ph="1"/>
      <c r="AP538" s="88" ph="1"/>
      <c r="AQ538" s="28" ph="1"/>
      <c r="AR538" s="88" ph="1"/>
      <c r="AS538" s="88" ph="1"/>
      <c r="AT538" s="88" ph="1"/>
      <c r="AU538" s="28" ph="1"/>
      <c r="AV538" s="88" ph="1"/>
      <c r="AW538" s="88" ph="1"/>
      <c r="AX538" s="28" ph="1"/>
      <c r="AY538" s="88" ph="1"/>
      <c r="AZ538" s="88" ph="1"/>
      <c r="BA538" s="88" ph="1"/>
      <c r="BB538" s="88" ph="1"/>
      <c r="BC538" s="28" ph="1"/>
    </row>
    <row r="546" spans="1:55">
      <c r="A546" s="28" ph="1"/>
      <c r="B546" s="28" ph="1"/>
      <c r="C546" s="28" ph="1"/>
      <c r="D546" s="28" ph="1"/>
      <c r="E546" s="28" ph="1"/>
      <c r="F546" s="28" ph="1"/>
      <c r="G546" s="28" ph="1"/>
      <c r="H546" s="28" ph="1"/>
      <c r="I546" s="28" ph="1"/>
      <c r="J546" s="28" ph="1"/>
      <c r="K546" s="28" ph="1"/>
      <c r="L546" s="28" ph="1"/>
      <c r="M546" s="28" ph="1"/>
      <c r="N546" s="28" ph="1"/>
      <c r="O546" s="28" ph="1"/>
      <c r="P546" s="28" ph="1"/>
      <c r="Q546" s="28" ph="1"/>
      <c r="R546" s="28" ph="1"/>
      <c r="S546" s="28" ph="1"/>
      <c r="T546" s="28" ph="1"/>
      <c r="U546" s="28" ph="1"/>
      <c r="V546" s="28" ph="1"/>
      <c r="W546" s="88" ph="1"/>
      <c r="X546" s="88" ph="1"/>
      <c r="Y546" s="28" ph="1"/>
      <c r="Z546" s="88" ph="1"/>
      <c r="AA546" s="88" ph="1"/>
      <c r="AB546" s="28" ph="1"/>
      <c r="AC546" s="88" ph="1"/>
      <c r="AD546" s="88" ph="1"/>
      <c r="AE546" s="28" ph="1"/>
      <c r="AF546" s="88" ph="1"/>
      <c r="AG546" s="88" ph="1"/>
      <c r="AH546" s="88" ph="1"/>
      <c r="AI546" s="88" ph="1"/>
      <c r="AJ546" s="88" ph="1"/>
      <c r="AK546" s="88" ph="1"/>
      <c r="AL546" s="88" ph="1"/>
      <c r="AM546" s="28" ph="1"/>
      <c r="AN546" s="88" ph="1"/>
      <c r="AO546" s="88" ph="1"/>
      <c r="AP546" s="88" ph="1"/>
      <c r="AQ546" s="28" ph="1"/>
      <c r="AR546" s="88" ph="1"/>
      <c r="AS546" s="88" ph="1"/>
      <c r="AT546" s="88" ph="1"/>
      <c r="AU546" s="28" ph="1"/>
      <c r="AV546" s="88" ph="1"/>
      <c r="AW546" s="88" ph="1"/>
      <c r="AX546" s="28" ph="1"/>
      <c r="AY546" s="88" ph="1"/>
      <c r="AZ546" s="88" ph="1"/>
      <c r="BA546" s="88" ph="1"/>
      <c r="BB546" s="88" ph="1"/>
      <c r="BC546" s="28" ph="1"/>
    </row>
    <row r="555" spans="1:55">
      <c r="A555" s="28" ph="1"/>
      <c r="B555" s="28" ph="1"/>
      <c r="C555" s="28" ph="1"/>
      <c r="D555" s="28" ph="1"/>
      <c r="E555" s="28" ph="1"/>
      <c r="F555" s="28" ph="1"/>
      <c r="G555" s="28" ph="1"/>
      <c r="H555" s="28" ph="1"/>
      <c r="I555" s="28" ph="1"/>
      <c r="J555" s="28" ph="1"/>
      <c r="K555" s="28" ph="1"/>
      <c r="L555" s="28" ph="1"/>
      <c r="M555" s="28" ph="1"/>
      <c r="N555" s="28" ph="1"/>
      <c r="O555" s="28" ph="1"/>
      <c r="P555" s="28" ph="1"/>
      <c r="Q555" s="28" ph="1"/>
      <c r="R555" s="28" ph="1"/>
      <c r="S555" s="28" ph="1"/>
      <c r="T555" s="28" ph="1"/>
      <c r="U555" s="28" ph="1"/>
      <c r="V555" s="28" ph="1"/>
      <c r="W555" s="88" ph="1"/>
      <c r="X555" s="88" ph="1"/>
      <c r="Y555" s="28" ph="1"/>
      <c r="Z555" s="88" ph="1"/>
      <c r="AA555" s="88" ph="1"/>
      <c r="AB555" s="28" ph="1"/>
      <c r="AC555" s="88" ph="1"/>
      <c r="AD555" s="88" ph="1"/>
      <c r="AE555" s="28" ph="1"/>
      <c r="AF555" s="88" ph="1"/>
      <c r="AG555" s="88" ph="1"/>
      <c r="AH555" s="88" ph="1"/>
      <c r="AI555" s="88" ph="1"/>
      <c r="AJ555" s="88" ph="1"/>
      <c r="AK555" s="88" ph="1"/>
      <c r="AL555" s="88" ph="1"/>
      <c r="AM555" s="28" ph="1"/>
      <c r="AN555" s="88" ph="1"/>
      <c r="AO555" s="88" ph="1"/>
      <c r="AP555" s="88" ph="1"/>
      <c r="AQ555" s="28" ph="1"/>
      <c r="AR555" s="88" ph="1"/>
      <c r="AS555" s="88" ph="1"/>
      <c r="AT555" s="88" ph="1"/>
      <c r="AU555" s="28" ph="1"/>
      <c r="AV555" s="88" ph="1"/>
      <c r="AW555" s="88" ph="1"/>
      <c r="AX555" s="28" ph="1"/>
      <c r="AY555" s="88" ph="1"/>
      <c r="AZ555" s="88" ph="1"/>
      <c r="BA555" s="88" ph="1"/>
      <c r="BB555" s="88" ph="1"/>
      <c r="BC555" s="28" ph="1"/>
    </row>
    <row r="557" spans="1:55">
      <c r="A557" s="28" ph="1"/>
      <c r="B557" s="28" ph="1"/>
      <c r="C557" s="28" ph="1"/>
      <c r="D557" s="28" ph="1"/>
      <c r="E557" s="28" ph="1"/>
      <c r="F557" s="28" ph="1"/>
      <c r="G557" s="28" ph="1"/>
      <c r="H557" s="28" ph="1"/>
      <c r="I557" s="28" ph="1"/>
      <c r="J557" s="28" ph="1"/>
      <c r="K557" s="28" ph="1"/>
      <c r="L557" s="28" ph="1"/>
      <c r="M557" s="28" ph="1"/>
      <c r="N557" s="28" ph="1"/>
      <c r="O557" s="28" ph="1"/>
      <c r="P557" s="28" ph="1"/>
      <c r="Q557" s="28" ph="1"/>
      <c r="R557" s="28" ph="1"/>
      <c r="S557" s="28" ph="1"/>
      <c r="T557" s="28" ph="1"/>
      <c r="U557" s="28" ph="1"/>
      <c r="V557" s="28" ph="1"/>
      <c r="W557" s="88" ph="1"/>
      <c r="X557" s="88" ph="1"/>
      <c r="Y557" s="28" ph="1"/>
      <c r="Z557" s="88" ph="1"/>
      <c r="AA557" s="88" ph="1"/>
      <c r="AB557" s="28" ph="1"/>
      <c r="AC557" s="88" ph="1"/>
      <c r="AD557" s="88" ph="1"/>
      <c r="AE557" s="28" ph="1"/>
      <c r="AF557" s="88" ph="1"/>
      <c r="AG557" s="88" ph="1"/>
      <c r="AH557" s="88" ph="1"/>
      <c r="AI557" s="88" ph="1"/>
      <c r="AJ557" s="88" ph="1"/>
      <c r="AK557" s="88" ph="1"/>
      <c r="AL557" s="88" ph="1"/>
      <c r="AM557" s="28" ph="1"/>
      <c r="AN557" s="88" ph="1"/>
      <c r="AO557" s="88" ph="1"/>
      <c r="AP557" s="88" ph="1"/>
      <c r="AQ557" s="28" ph="1"/>
      <c r="AR557" s="88" ph="1"/>
      <c r="AS557" s="88" ph="1"/>
      <c r="AT557" s="88" ph="1"/>
      <c r="AU557" s="28" ph="1"/>
      <c r="AV557" s="88" ph="1"/>
      <c r="AW557" s="88" ph="1"/>
      <c r="AX557" s="28" ph="1"/>
      <c r="AY557" s="88" ph="1"/>
      <c r="AZ557" s="88" ph="1"/>
      <c r="BA557" s="88" ph="1"/>
      <c r="BB557" s="88" ph="1"/>
      <c r="BC557" s="28" ph="1"/>
    </row>
    <row r="558" spans="1:55">
      <c r="A558" s="28" ph="1"/>
      <c r="B558" s="28" ph="1"/>
      <c r="C558" s="28" ph="1"/>
      <c r="D558" s="28" ph="1"/>
      <c r="E558" s="28" ph="1"/>
      <c r="F558" s="28" ph="1"/>
      <c r="G558" s="28" ph="1"/>
      <c r="H558" s="28" ph="1"/>
      <c r="I558" s="28" ph="1"/>
      <c r="J558" s="28" ph="1"/>
      <c r="K558" s="28" ph="1"/>
      <c r="L558" s="28" ph="1"/>
      <c r="M558" s="28" ph="1"/>
      <c r="N558" s="28" ph="1"/>
      <c r="O558" s="28" ph="1"/>
      <c r="P558" s="28" ph="1"/>
      <c r="Q558" s="28" ph="1"/>
      <c r="R558" s="28" ph="1"/>
      <c r="S558" s="28" ph="1"/>
      <c r="T558" s="28" ph="1"/>
      <c r="U558" s="28" ph="1"/>
      <c r="V558" s="28" ph="1"/>
      <c r="W558" s="88" ph="1"/>
      <c r="X558" s="88" ph="1"/>
      <c r="Y558" s="28" ph="1"/>
      <c r="Z558" s="88" ph="1"/>
      <c r="AA558" s="88" ph="1"/>
      <c r="AB558" s="28" ph="1"/>
      <c r="AC558" s="88" ph="1"/>
      <c r="AD558" s="88" ph="1"/>
      <c r="AE558" s="28" ph="1"/>
      <c r="AF558" s="88" ph="1"/>
      <c r="AG558" s="88" ph="1"/>
      <c r="AH558" s="88" ph="1"/>
      <c r="AI558" s="88" ph="1"/>
      <c r="AJ558" s="88" ph="1"/>
      <c r="AK558" s="88" ph="1"/>
      <c r="AL558" s="88" ph="1"/>
      <c r="AM558" s="28" ph="1"/>
      <c r="AN558" s="88" ph="1"/>
      <c r="AO558" s="88" ph="1"/>
      <c r="AP558" s="88" ph="1"/>
      <c r="AQ558" s="28" ph="1"/>
      <c r="AR558" s="88" ph="1"/>
      <c r="AS558" s="88" ph="1"/>
      <c r="AT558" s="88" ph="1"/>
      <c r="AU558" s="28" ph="1"/>
      <c r="AV558" s="88" ph="1"/>
      <c r="AW558" s="88" ph="1"/>
      <c r="AX558" s="28" ph="1"/>
      <c r="AY558" s="88" ph="1"/>
      <c r="AZ558" s="88" ph="1"/>
      <c r="BA558" s="88" ph="1"/>
      <c r="BB558" s="88" ph="1"/>
      <c r="BC558" s="28" ph="1"/>
    </row>
    <row r="559" spans="1:55">
      <c r="A559" s="28" ph="1"/>
      <c r="B559" s="28" ph="1"/>
      <c r="C559" s="28" ph="1"/>
      <c r="D559" s="28" ph="1"/>
      <c r="E559" s="28" ph="1"/>
      <c r="F559" s="28" ph="1"/>
      <c r="G559" s="28" ph="1"/>
      <c r="H559" s="28" ph="1"/>
      <c r="I559" s="28" ph="1"/>
      <c r="J559" s="28" ph="1"/>
      <c r="K559" s="28" ph="1"/>
      <c r="L559" s="28" ph="1"/>
      <c r="M559" s="28" ph="1"/>
      <c r="N559" s="28" ph="1"/>
      <c r="O559" s="28" ph="1"/>
      <c r="P559" s="28" ph="1"/>
      <c r="Q559" s="28" ph="1"/>
      <c r="R559" s="28" ph="1"/>
      <c r="S559" s="28" ph="1"/>
      <c r="T559" s="28" ph="1"/>
      <c r="U559" s="28" ph="1"/>
      <c r="V559" s="28" ph="1"/>
      <c r="W559" s="88" ph="1"/>
      <c r="X559" s="88" ph="1"/>
      <c r="Y559" s="28" ph="1"/>
      <c r="Z559" s="88" ph="1"/>
      <c r="AA559" s="88" ph="1"/>
      <c r="AB559" s="28" ph="1"/>
      <c r="AC559" s="88" ph="1"/>
      <c r="AD559" s="88" ph="1"/>
      <c r="AE559" s="28" ph="1"/>
      <c r="AF559" s="88" ph="1"/>
      <c r="AG559" s="88" ph="1"/>
      <c r="AH559" s="88" ph="1"/>
      <c r="AI559" s="88" ph="1"/>
      <c r="AJ559" s="88" ph="1"/>
      <c r="AK559" s="88" ph="1"/>
      <c r="AL559" s="88" ph="1"/>
      <c r="AM559" s="28" ph="1"/>
      <c r="AN559" s="88" ph="1"/>
      <c r="AO559" s="88" ph="1"/>
      <c r="AP559" s="88" ph="1"/>
      <c r="AQ559" s="28" ph="1"/>
      <c r="AR559" s="88" ph="1"/>
      <c r="AS559" s="88" ph="1"/>
      <c r="AT559" s="88" ph="1"/>
      <c r="AU559" s="28" ph="1"/>
      <c r="AV559" s="88" ph="1"/>
      <c r="AW559" s="88" ph="1"/>
      <c r="AX559" s="28" ph="1"/>
      <c r="AY559" s="88" ph="1"/>
      <c r="AZ559" s="88" ph="1"/>
      <c r="BA559" s="88" ph="1"/>
      <c r="BB559" s="88" ph="1"/>
      <c r="BC559" s="28" ph="1"/>
    </row>
    <row r="560" spans="1:55">
      <c r="A560" s="28" ph="1"/>
      <c r="B560" s="28" ph="1"/>
      <c r="C560" s="28" ph="1"/>
      <c r="D560" s="28" ph="1"/>
      <c r="E560" s="28" ph="1"/>
      <c r="F560" s="28" ph="1"/>
      <c r="G560" s="28" ph="1"/>
      <c r="H560" s="28" ph="1"/>
      <c r="I560" s="28" ph="1"/>
      <c r="J560" s="28" ph="1"/>
      <c r="K560" s="28" ph="1"/>
      <c r="L560" s="28" ph="1"/>
      <c r="M560" s="28" ph="1"/>
      <c r="N560" s="28" ph="1"/>
      <c r="O560" s="28" ph="1"/>
      <c r="P560" s="28" ph="1"/>
      <c r="Q560" s="28" ph="1"/>
      <c r="R560" s="28" ph="1"/>
      <c r="S560" s="28" ph="1"/>
      <c r="T560" s="28" ph="1"/>
      <c r="U560" s="28" ph="1"/>
      <c r="V560" s="28" ph="1"/>
      <c r="W560" s="88" ph="1"/>
      <c r="X560" s="88" ph="1"/>
      <c r="Y560" s="28" ph="1"/>
      <c r="Z560" s="88" ph="1"/>
      <c r="AA560" s="88" ph="1"/>
      <c r="AB560" s="28" ph="1"/>
      <c r="AC560" s="88" ph="1"/>
      <c r="AD560" s="88" ph="1"/>
      <c r="AE560" s="28" ph="1"/>
      <c r="AF560" s="88" ph="1"/>
      <c r="AG560" s="88" ph="1"/>
      <c r="AH560" s="88" ph="1"/>
      <c r="AI560" s="88" ph="1"/>
      <c r="AJ560" s="88" ph="1"/>
      <c r="AK560" s="88" ph="1"/>
      <c r="AL560" s="88" ph="1"/>
      <c r="AM560" s="28" ph="1"/>
      <c r="AN560" s="88" ph="1"/>
      <c r="AO560" s="88" ph="1"/>
      <c r="AP560" s="88" ph="1"/>
      <c r="AQ560" s="28" ph="1"/>
      <c r="AR560" s="88" ph="1"/>
      <c r="AS560" s="88" ph="1"/>
      <c r="AT560" s="88" ph="1"/>
      <c r="AU560" s="28" ph="1"/>
      <c r="AV560" s="88" ph="1"/>
      <c r="AW560" s="88" ph="1"/>
      <c r="AX560" s="28" ph="1"/>
      <c r="AY560" s="88" ph="1"/>
      <c r="AZ560" s="88" ph="1"/>
      <c r="BA560" s="88" ph="1"/>
      <c r="BB560" s="88" ph="1"/>
      <c r="BC560" s="28" ph="1"/>
    </row>
    <row r="561" spans="1:55">
      <c r="A561" s="28" ph="1"/>
      <c r="B561" s="28" ph="1"/>
      <c r="C561" s="28" ph="1"/>
      <c r="D561" s="28" ph="1"/>
      <c r="E561" s="28" ph="1"/>
      <c r="F561" s="28" ph="1"/>
      <c r="G561" s="28" ph="1"/>
      <c r="H561" s="28" ph="1"/>
      <c r="I561" s="28" ph="1"/>
      <c r="J561" s="28" ph="1"/>
      <c r="K561" s="28" ph="1"/>
      <c r="L561" s="28" ph="1"/>
      <c r="M561" s="28" ph="1"/>
      <c r="N561" s="28" ph="1"/>
      <c r="O561" s="28" ph="1"/>
      <c r="P561" s="28" ph="1"/>
      <c r="Q561" s="28" ph="1"/>
      <c r="R561" s="28" ph="1"/>
      <c r="S561" s="28" ph="1"/>
      <c r="T561" s="28" ph="1"/>
      <c r="U561" s="28" ph="1"/>
      <c r="V561" s="28" ph="1"/>
      <c r="W561" s="88" ph="1"/>
      <c r="X561" s="88" ph="1"/>
      <c r="Y561" s="28" ph="1"/>
      <c r="Z561" s="88" ph="1"/>
      <c r="AA561" s="88" ph="1"/>
      <c r="AB561" s="28" ph="1"/>
      <c r="AC561" s="88" ph="1"/>
      <c r="AD561" s="88" ph="1"/>
      <c r="AE561" s="28" ph="1"/>
      <c r="AF561" s="88" ph="1"/>
      <c r="AG561" s="88" ph="1"/>
      <c r="AH561" s="88" ph="1"/>
      <c r="AI561" s="88" ph="1"/>
      <c r="AJ561" s="88" ph="1"/>
      <c r="AK561" s="88" ph="1"/>
      <c r="AL561" s="88" ph="1"/>
      <c r="AM561" s="28" ph="1"/>
      <c r="AN561" s="88" ph="1"/>
      <c r="AO561" s="88" ph="1"/>
      <c r="AP561" s="88" ph="1"/>
      <c r="AQ561" s="28" ph="1"/>
      <c r="AR561" s="88" ph="1"/>
      <c r="AS561" s="88" ph="1"/>
      <c r="AT561" s="88" ph="1"/>
      <c r="AU561" s="28" ph="1"/>
      <c r="AV561" s="88" ph="1"/>
      <c r="AW561" s="88" ph="1"/>
      <c r="AX561" s="28" ph="1"/>
      <c r="AY561" s="88" ph="1"/>
      <c r="AZ561" s="88" ph="1"/>
      <c r="BA561" s="88" ph="1"/>
      <c r="BB561" s="88" ph="1"/>
      <c r="BC561" s="28" ph="1"/>
    </row>
    <row r="562" spans="1:55">
      <c r="A562" s="28" ph="1"/>
      <c r="B562" s="28" ph="1"/>
      <c r="C562" s="28" ph="1"/>
      <c r="D562" s="28" ph="1"/>
      <c r="E562" s="28" ph="1"/>
      <c r="F562" s="28" ph="1"/>
      <c r="G562" s="28" ph="1"/>
      <c r="H562" s="28" ph="1"/>
      <c r="I562" s="28" ph="1"/>
      <c r="J562" s="28" ph="1"/>
      <c r="K562" s="28" ph="1"/>
      <c r="L562" s="28" ph="1"/>
      <c r="M562" s="28" ph="1"/>
      <c r="N562" s="28" ph="1"/>
      <c r="O562" s="28" ph="1"/>
      <c r="P562" s="28" ph="1"/>
      <c r="Q562" s="28" ph="1"/>
      <c r="R562" s="28" ph="1"/>
      <c r="S562" s="28" ph="1"/>
      <c r="T562" s="28" ph="1"/>
      <c r="U562" s="28" ph="1"/>
      <c r="V562" s="28" ph="1"/>
      <c r="W562" s="88" ph="1"/>
      <c r="X562" s="88" ph="1"/>
      <c r="Y562" s="28" ph="1"/>
      <c r="Z562" s="88" ph="1"/>
      <c r="AA562" s="88" ph="1"/>
      <c r="AB562" s="28" ph="1"/>
      <c r="AC562" s="88" ph="1"/>
      <c r="AD562" s="88" ph="1"/>
      <c r="AE562" s="28" ph="1"/>
      <c r="AF562" s="88" ph="1"/>
      <c r="AG562" s="88" ph="1"/>
      <c r="AH562" s="88" ph="1"/>
      <c r="AI562" s="88" ph="1"/>
      <c r="AJ562" s="88" ph="1"/>
      <c r="AK562" s="88" ph="1"/>
      <c r="AL562" s="88" ph="1"/>
      <c r="AM562" s="28" ph="1"/>
      <c r="AN562" s="88" ph="1"/>
      <c r="AO562" s="88" ph="1"/>
      <c r="AP562" s="88" ph="1"/>
      <c r="AQ562" s="28" ph="1"/>
      <c r="AR562" s="88" ph="1"/>
      <c r="AS562" s="88" ph="1"/>
      <c r="AT562" s="88" ph="1"/>
      <c r="AU562" s="28" ph="1"/>
      <c r="AV562" s="88" ph="1"/>
      <c r="AW562" s="88" ph="1"/>
      <c r="AX562" s="28" ph="1"/>
      <c r="AY562" s="88" ph="1"/>
      <c r="AZ562" s="88" ph="1"/>
      <c r="BA562" s="88" ph="1"/>
      <c r="BB562" s="88" ph="1"/>
      <c r="BC562" s="28" ph="1"/>
    </row>
    <row r="563" spans="1:55">
      <c r="A563" s="28" ph="1"/>
      <c r="B563" s="28" ph="1"/>
      <c r="C563" s="28" ph="1"/>
      <c r="D563" s="28" ph="1"/>
      <c r="E563" s="28" ph="1"/>
      <c r="F563" s="28" ph="1"/>
      <c r="G563" s="28" ph="1"/>
      <c r="H563" s="28" ph="1"/>
      <c r="I563" s="28" ph="1"/>
      <c r="J563" s="28" ph="1"/>
      <c r="K563" s="28" ph="1"/>
      <c r="L563" s="28" ph="1"/>
      <c r="M563" s="28" ph="1"/>
      <c r="N563" s="28" ph="1"/>
      <c r="O563" s="28" ph="1"/>
      <c r="P563" s="28" ph="1"/>
      <c r="Q563" s="28" ph="1"/>
      <c r="R563" s="28" ph="1"/>
      <c r="S563" s="28" ph="1"/>
      <c r="T563" s="28" ph="1"/>
      <c r="U563" s="28" ph="1"/>
      <c r="V563" s="28" ph="1"/>
      <c r="W563" s="88" ph="1"/>
      <c r="X563" s="88" ph="1"/>
      <c r="Y563" s="28" ph="1"/>
      <c r="Z563" s="88" ph="1"/>
      <c r="AA563" s="88" ph="1"/>
      <c r="AB563" s="28" ph="1"/>
      <c r="AC563" s="88" ph="1"/>
      <c r="AD563" s="88" ph="1"/>
      <c r="AE563" s="28" ph="1"/>
      <c r="AF563" s="88" ph="1"/>
      <c r="AG563" s="88" ph="1"/>
      <c r="AH563" s="88" ph="1"/>
      <c r="AI563" s="88" ph="1"/>
      <c r="AJ563" s="88" ph="1"/>
      <c r="AK563" s="88" ph="1"/>
      <c r="AL563" s="88" ph="1"/>
      <c r="AM563" s="28" ph="1"/>
      <c r="AN563" s="88" ph="1"/>
      <c r="AO563" s="88" ph="1"/>
      <c r="AP563" s="88" ph="1"/>
      <c r="AQ563" s="28" ph="1"/>
      <c r="AR563" s="88" ph="1"/>
      <c r="AS563" s="88" ph="1"/>
      <c r="AT563" s="88" ph="1"/>
      <c r="AU563" s="28" ph="1"/>
      <c r="AV563" s="88" ph="1"/>
      <c r="AW563" s="88" ph="1"/>
      <c r="AX563" s="28" ph="1"/>
      <c r="AY563" s="88" ph="1"/>
      <c r="AZ563" s="88" ph="1"/>
      <c r="BA563" s="88" ph="1"/>
      <c r="BB563" s="88" ph="1"/>
      <c r="BC563" s="28" ph="1"/>
    </row>
    <row r="564" spans="1:55">
      <c r="A564" s="28" ph="1"/>
      <c r="B564" s="28" ph="1"/>
      <c r="C564" s="28" ph="1"/>
      <c r="D564" s="28" ph="1"/>
      <c r="E564" s="28" ph="1"/>
      <c r="F564" s="28" ph="1"/>
      <c r="G564" s="28" ph="1"/>
      <c r="H564" s="28" ph="1"/>
      <c r="I564" s="28" ph="1"/>
      <c r="J564" s="28" ph="1"/>
      <c r="K564" s="28" ph="1"/>
      <c r="L564" s="28" ph="1"/>
      <c r="M564" s="28" ph="1"/>
      <c r="N564" s="28" ph="1"/>
      <c r="O564" s="28" ph="1"/>
      <c r="P564" s="28" ph="1"/>
      <c r="Q564" s="28" ph="1"/>
      <c r="R564" s="28" ph="1"/>
      <c r="S564" s="28" ph="1"/>
      <c r="T564" s="28" ph="1"/>
      <c r="U564" s="28" ph="1"/>
      <c r="V564" s="28" ph="1"/>
      <c r="W564" s="88" ph="1"/>
      <c r="X564" s="88" ph="1"/>
      <c r="Y564" s="28" ph="1"/>
      <c r="Z564" s="88" ph="1"/>
      <c r="AA564" s="88" ph="1"/>
      <c r="AB564" s="28" ph="1"/>
      <c r="AC564" s="88" ph="1"/>
      <c r="AD564" s="88" ph="1"/>
      <c r="AE564" s="28" ph="1"/>
      <c r="AF564" s="88" ph="1"/>
      <c r="AG564" s="88" ph="1"/>
      <c r="AH564" s="88" ph="1"/>
      <c r="AI564" s="88" ph="1"/>
      <c r="AJ564" s="88" ph="1"/>
      <c r="AK564" s="88" ph="1"/>
      <c r="AL564" s="88" ph="1"/>
      <c r="AM564" s="28" ph="1"/>
      <c r="AN564" s="88" ph="1"/>
      <c r="AO564" s="88" ph="1"/>
      <c r="AP564" s="88" ph="1"/>
      <c r="AQ564" s="28" ph="1"/>
      <c r="AR564" s="88" ph="1"/>
      <c r="AS564" s="88" ph="1"/>
      <c r="AT564" s="88" ph="1"/>
      <c r="AU564" s="28" ph="1"/>
      <c r="AV564" s="88" ph="1"/>
      <c r="AW564" s="88" ph="1"/>
      <c r="AX564" s="28" ph="1"/>
      <c r="AY564" s="88" ph="1"/>
      <c r="AZ564" s="88" ph="1"/>
      <c r="BA564" s="88" ph="1"/>
      <c r="BB564" s="88" ph="1"/>
      <c r="BC564" s="28" ph="1"/>
    </row>
    <row r="565" spans="1:55">
      <c r="A565" s="28" ph="1"/>
      <c r="B565" s="28" ph="1"/>
      <c r="C565" s="28" ph="1"/>
      <c r="D565" s="28" ph="1"/>
      <c r="E565" s="28" ph="1"/>
      <c r="F565" s="28" ph="1"/>
      <c r="G565" s="28" ph="1"/>
      <c r="H565" s="28" ph="1"/>
      <c r="I565" s="28" ph="1"/>
      <c r="J565" s="28" ph="1"/>
      <c r="K565" s="28" ph="1"/>
      <c r="L565" s="28" ph="1"/>
      <c r="M565" s="28" ph="1"/>
      <c r="N565" s="28" ph="1"/>
      <c r="O565" s="28" ph="1"/>
      <c r="P565" s="28" ph="1"/>
      <c r="Q565" s="28" ph="1"/>
      <c r="R565" s="28" ph="1"/>
      <c r="S565" s="28" ph="1"/>
      <c r="T565" s="28" ph="1"/>
      <c r="U565" s="28" ph="1"/>
      <c r="V565" s="28" ph="1"/>
      <c r="W565" s="88" ph="1"/>
      <c r="X565" s="88" ph="1"/>
      <c r="Y565" s="28" ph="1"/>
      <c r="Z565" s="88" ph="1"/>
      <c r="AA565" s="88" ph="1"/>
      <c r="AB565" s="28" ph="1"/>
      <c r="AC565" s="88" ph="1"/>
      <c r="AD565" s="88" ph="1"/>
      <c r="AE565" s="28" ph="1"/>
      <c r="AF565" s="88" ph="1"/>
      <c r="AG565" s="88" ph="1"/>
      <c r="AH565" s="88" ph="1"/>
      <c r="AI565" s="88" ph="1"/>
      <c r="AJ565" s="88" ph="1"/>
      <c r="AK565" s="88" ph="1"/>
      <c r="AL565" s="88" ph="1"/>
      <c r="AM565" s="28" ph="1"/>
      <c r="AN565" s="88" ph="1"/>
      <c r="AO565" s="88" ph="1"/>
      <c r="AP565" s="88" ph="1"/>
      <c r="AQ565" s="28" ph="1"/>
      <c r="AR565" s="88" ph="1"/>
      <c r="AS565" s="88" ph="1"/>
      <c r="AT565" s="88" ph="1"/>
      <c r="AU565" s="28" ph="1"/>
      <c r="AV565" s="88" ph="1"/>
      <c r="AW565" s="88" ph="1"/>
      <c r="AX565" s="28" ph="1"/>
      <c r="AY565" s="88" ph="1"/>
      <c r="AZ565" s="88" ph="1"/>
      <c r="BA565" s="88" ph="1"/>
      <c r="BB565" s="88" ph="1"/>
      <c r="BC565" s="28" ph="1"/>
    </row>
    <row r="566" spans="1:55">
      <c r="A566" s="28" ph="1"/>
      <c r="B566" s="28" ph="1"/>
      <c r="C566" s="28" ph="1"/>
      <c r="D566" s="28" ph="1"/>
      <c r="E566" s="28" ph="1"/>
      <c r="F566" s="28" ph="1"/>
      <c r="G566" s="28" ph="1"/>
      <c r="H566" s="28" ph="1"/>
      <c r="I566" s="28" ph="1"/>
      <c r="J566" s="28" ph="1"/>
      <c r="K566" s="28" ph="1"/>
      <c r="L566" s="28" ph="1"/>
      <c r="M566" s="28" ph="1"/>
      <c r="N566" s="28" ph="1"/>
      <c r="O566" s="28" ph="1"/>
      <c r="P566" s="28" ph="1"/>
      <c r="Q566" s="28" ph="1"/>
      <c r="R566" s="28" ph="1"/>
      <c r="S566" s="28" ph="1"/>
      <c r="T566" s="28" ph="1"/>
      <c r="U566" s="28" ph="1"/>
      <c r="V566" s="28" ph="1"/>
      <c r="W566" s="88" ph="1"/>
      <c r="X566" s="88" ph="1"/>
      <c r="Y566" s="28" ph="1"/>
      <c r="Z566" s="88" ph="1"/>
      <c r="AA566" s="88" ph="1"/>
      <c r="AB566" s="28" ph="1"/>
      <c r="AC566" s="88" ph="1"/>
      <c r="AD566" s="88" ph="1"/>
      <c r="AE566" s="28" ph="1"/>
      <c r="AF566" s="88" ph="1"/>
      <c r="AG566" s="88" ph="1"/>
      <c r="AH566" s="88" ph="1"/>
      <c r="AI566" s="88" ph="1"/>
      <c r="AJ566" s="88" ph="1"/>
      <c r="AK566" s="88" ph="1"/>
      <c r="AL566" s="88" ph="1"/>
      <c r="AM566" s="28" ph="1"/>
      <c r="AN566" s="88" ph="1"/>
      <c r="AO566" s="88" ph="1"/>
      <c r="AP566" s="88" ph="1"/>
      <c r="AQ566" s="28" ph="1"/>
      <c r="AR566" s="88" ph="1"/>
      <c r="AS566" s="88" ph="1"/>
      <c r="AT566" s="88" ph="1"/>
      <c r="AU566" s="28" ph="1"/>
      <c r="AV566" s="88" ph="1"/>
      <c r="AW566" s="88" ph="1"/>
      <c r="AX566" s="28" ph="1"/>
      <c r="AY566" s="88" ph="1"/>
      <c r="AZ566" s="88" ph="1"/>
      <c r="BA566" s="88" ph="1"/>
      <c r="BB566" s="88" ph="1"/>
      <c r="BC566" s="28" ph="1"/>
    </row>
    <row r="568" spans="1:55">
      <c r="A568" s="28" ph="1"/>
      <c r="B568" s="28" ph="1"/>
      <c r="C568" s="28" ph="1"/>
      <c r="D568" s="28" ph="1"/>
      <c r="E568" s="28" ph="1"/>
      <c r="F568" s="28" ph="1"/>
      <c r="G568" s="28" ph="1"/>
      <c r="H568" s="28" ph="1"/>
      <c r="I568" s="28" ph="1"/>
      <c r="J568" s="28" ph="1"/>
      <c r="K568" s="28" ph="1"/>
      <c r="L568" s="28" ph="1"/>
      <c r="M568" s="28" ph="1"/>
      <c r="N568" s="28" ph="1"/>
      <c r="O568" s="28" ph="1"/>
      <c r="P568" s="28" ph="1"/>
      <c r="Q568" s="28" ph="1"/>
      <c r="R568" s="28" ph="1"/>
      <c r="S568" s="28" ph="1"/>
      <c r="T568" s="28" ph="1"/>
      <c r="U568" s="28" ph="1"/>
      <c r="V568" s="28" ph="1"/>
      <c r="W568" s="88" ph="1"/>
      <c r="X568" s="88" ph="1"/>
      <c r="Y568" s="28" ph="1"/>
      <c r="Z568" s="88" ph="1"/>
      <c r="AA568" s="88" ph="1"/>
      <c r="AB568" s="28" ph="1"/>
      <c r="AC568" s="88" ph="1"/>
      <c r="AD568" s="88" ph="1"/>
      <c r="AE568" s="28" ph="1"/>
      <c r="AF568" s="88" ph="1"/>
      <c r="AG568" s="88" ph="1"/>
      <c r="AH568" s="88" ph="1"/>
      <c r="AI568" s="88" ph="1"/>
      <c r="AJ568" s="88" ph="1"/>
      <c r="AK568" s="88" ph="1"/>
      <c r="AL568" s="88" ph="1"/>
      <c r="AM568" s="28" ph="1"/>
      <c r="AN568" s="88" ph="1"/>
      <c r="AO568" s="88" ph="1"/>
      <c r="AP568" s="88" ph="1"/>
      <c r="AQ568" s="28" ph="1"/>
      <c r="AR568" s="88" ph="1"/>
      <c r="AS568" s="88" ph="1"/>
      <c r="AT568" s="88" ph="1"/>
      <c r="AU568" s="28" ph="1"/>
      <c r="AV568" s="88" ph="1"/>
      <c r="AW568" s="88" ph="1"/>
      <c r="AX568" s="28" ph="1"/>
      <c r="AY568" s="88" ph="1"/>
      <c r="AZ568" s="88" ph="1"/>
      <c r="BA568" s="88" ph="1"/>
      <c r="BB568" s="88" ph="1"/>
      <c r="BC568" s="28" ph="1"/>
    </row>
    <row r="569" spans="1:55">
      <c r="A569" s="28" ph="1"/>
      <c r="B569" s="28" ph="1"/>
      <c r="C569" s="28" ph="1"/>
      <c r="D569" s="28" ph="1"/>
      <c r="E569" s="28" ph="1"/>
      <c r="F569" s="28" ph="1"/>
      <c r="G569" s="28" ph="1"/>
      <c r="H569" s="28" ph="1"/>
      <c r="I569" s="28" ph="1"/>
      <c r="J569" s="28" ph="1"/>
      <c r="K569" s="28" ph="1"/>
      <c r="L569" s="28" ph="1"/>
      <c r="M569" s="28" ph="1"/>
      <c r="N569" s="28" ph="1"/>
      <c r="O569" s="28" ph="1"/>
      <c r="P569" s="28" ph="1"/>
      <c r="Q569" s="28" ph="1"/>
      <c r="R569" s="28" ph="1"/>
      <c r="S569" s="28" ph="1"/>
      <c r="T569" s="28" ph="1"/>
      <c r="U569" s="28" ph="1"/>
      <c r="V569" s="28" ph="1"/>
      <c r="W569" s="88" ph="1"/>
      <c r="X569" s="88" ph="1"/>
      <c r="Y569" s="28" ph="1"/>
      <c r="Z569" s="88" ph="1"/>
      <c r="AA569" s="88" ph="1"/>
      <c r="AB569" s="28" ph="1"/>
      <c r="AC569" s="88" ph="1"/>
      <c r="AD569" s="88" ph="1"/>
      <c r="AE569" s="28" ph="1"/>
      <c r="AF569" s="88" ph="1"/>
      <c r="AG569" s="88" ph="1"/>
      <c r="AH569" s="88" ph="1"/>
      <c r="AI569" s="88" ph="1"/>
      <c r="AJ569" s="88" ph="1"/>
      <c r="AK569" s="88" ph="1"/>
      <c r="AL569" s="88" ph="1"/>
      <c r="AM569" s="28" ph="1"/>
      <c r="AN569" s="88" ph="1"/>
      <c r="AO569" s="88" ph="1"/>
      <c r="AP569" s="88" ph="1"/>
      <c r="AQ569" s="28" ph="1"/>
      <c r="AR569" s="88" ph="1"/>
      <c r="AS569" s="88" ph="1"/>
      <c r="AT569" s="88" ph="1"/>
      <c r="AU569" s="28" ph="1"/>
      <c r="AV569" s="88" ph="1"/>
      <c r="AW569" s="88" ph="1"/>
      <c r="AX569" s="28" ph="1"/>
      <c r="AY569" s="88" ph="1"/>
      <c r="AZ569" s="88" ph="1"/>
      <c r="BA569" s="88" ph="1"/>
      <c r="BB569" s="88" ph="1"/>
      <c r="BC569" s="28" ph="1"/>
    </row>
    <row r="570" spans="1:55">
      <c r="A570" s="28" ph="1"/>
      <c r="B570" s="28" ph="1"/>
      <c r="C570" s="28" ph="1"/>
      <c r="D570" s="28" ph="1"/>
      <c r="E570" s="28" ph="1"/>
      <c r="F570" s="28" ph="1"/>
      <c r="G570" s="28" ph="1"/>
      <c r="H570" s="28" ph="1"/>
      <c r="I570" s="28" ph="1"/>
      <c r="J570" s="28" ph="1"/>
      <c r="K570" s="28" ph="1"/>
      <c r="L570" s="28" ph="1"/>
      <c r="M570" s="28" ph="1"/>
      <c r="N570" s="28" ph="1"/>
      <c r="O570" s="28" ph="1"/>
      <c r="P570" s="28" ph="1"/>
      <c r="Q570" s="28" ph="1"/>
      <c r="R570" s="28" ph="1"/>
      <c r="S570" s="28" ph="1"/>
      <c r="T570" s="28" ph="1"/>
      <c r="U570" s="28" ph="1"/>
      <c r="V570" s="28" ph="1"/>
      <c r="W570" s="88" ph="1"/>
      <c r="X570" s="88" ph="1"/>
      <c r="Y570" s="28" ph="1"/>
      <c r="Z570" s="88" ph="1"/>
      <c r="AA570" s="88" ph="1"/>
      <c r="AB570" s="28" ph="1"/>
      <c r="AC570" s="88" ph="1"/>
      <c r="AD570" s="88" ph="1"/>
      <c r="AE570" s="28" ph="1"/>
      <c r="AF570" s="88" ph="1"/>
      <c r="AG570" s="88" ph="1"/>
      <c r="AH570" s="88" ph="1"/>
      <c r="AI570" s="88" ph="1"/>
      <c r="AJ570" s="88" ph="1"/>
      <c r="AK570" s="88" ph="1"/>
      <c r="AL570" s="88" ph="1"/>
      <c r="AM570" s="28" ph="1"/>
      <c r="AN570" s="88" ph="1"/>
      <c r="AO570" s="88" ph="1"/>
      <c r="AP570" s="88" ph="1"/>
      <c r="AQ570" s="28" ph="1"/>
      <c r="AR570" s="88" ph="1"/>
      <c r="AS570" s="88" ph="1"/>
      <c r="AT570" s="88" ph="1"/>
      <c r="AU570" s="28" ph="1"/>
      <c r="AV570" s="88" ph="1"/>
      <c r="AW570" s="88" ph="1"/>
      <c r="AX570" s="28" ph="1"/>
      <c r="AY570" s="88" ph="1"/>
      <c r="AZ570" s="88" ph="1"/>
      <c r="BA570" s="88" ph="1"/>
      <c r="BB570" s="88" ph="1"/>
      <c r="BC570" s="28" ph="1"/>
    </row>
    <row r="578" spans="1:55">
      <c r="A578" s="28" ph="1"/>
      <c r="B578" s="28" ph="1"/>
      <c r="C578" s="28" ph="1"/>
      <c r="D578" s="28" ph="1"/>
      <c r="E578" s="28" ph="1"/>
      <c r="F578" s="28" ph="1"/>
      <c r="G578" s="28" ph="1"/>
      <c r="H578" s="28" ph="1"/>
      <c r="I578" s="28" ph="1"/>
      <c r="J578" s="28" ph="1"/>
      <c r="K578" s="28" ph="1"/>
      <c r="L578" s="28" ph="1"/>
      <c r="M578" s="28" ph="1"/>
      <c r="N578" s="28" ph="1"/>
      <c r="O578" s="28" ph="1"/>
      <c r="P578" s="28" ph="1"/>
      <c r="Q578" s="28" ph="1"/>
      <c r="R578" s="28" ph="1"/>
      <c r="S578" s="28" ph="1"/>
      <c r="T578" s="28" ph="1"/>
      <c r="U578" s="28" ph="1"/>
      <c r="V578" s="28" ph="1"/>
      <c r="W578" s="88" ph="1"/>
      <c r="X578" s="88" ph="1"/>
      <c r="Y578" s="28" ph="1"/>
      <c r="Z578" s="88" ph="1"/>
      <c r="AA578" s="88" ph="1"/>
      <c r="AB578" s="28" ph="1"/>
      <c r="AC578" s="88" ph="1"/>
      <c r="AD578" s="88" ph="1"/>
      <c r="AE578" s="28" ph="1"/>
      <c r="AF578" s="88" ph="1"/>
      <c r="AG578" s="88" ph="1"/>
      <c r="AH578" s="88" ph="1"/>
      <c r="AI578" s="88" ph="1"/>
      <c r="AJ578" s="88" ph="1"/>
      <c r="AK578" s="88" ph="1"/>
      <c r="AL578" s="88" ph="1"/>
      <c r="AM578" s="28" ph="1"/>
      <c r="AN578" s="88" ph="1"/>
      <c r="AO578" s="88" ph="1"/>
      <c r="AP578" s="88" ph="1"/>
      <c r="AQ578" s="28" ph="1"/>
      <c r="AR578" s="88" ph="1"/>
      <c r="AS578" s="88" ph="1"/>
      <c r="AT578" s="88" ph="1"/>
      <c r="AU578" s="28" ph="1"/>
      <c r="AV578" s="88" ph="1"/>
      <c r="AW578" s="88" ph="1"/>
      <c r="AX578" s="28" ph="1"/>
      <c r="AY578" s="88" ph="1"/>
      <c r="AZ578" s="88" ph="1"/>
      <c r="BA578" s="88" ph="1"/>
      <c r="BB578" s="88" ph="1"/>
      <c r="BC578" s="28" ph="1"/>
    </row>
    <row r="587" spans="1:55">
      <c r="A587" s="28" ph="1"/>
      <c r="B587" s="28" ph="1"/>
      <c r="C587" s="28" ph="1"/>
      <c r="D587" s="28" ph="1"/>
      <c r="E587" s="28" ph="1"/>
      <c r="F587" s="28" ph="1"/>
      <c r="G587" s="28" ph="1"/>
      <c r="H587" s="28" ph="1"/>
      <c r="I587" s="28" ph="1"/>
      <c r="J587" s="28" ph="1"/>
      <c r="K587" s="28" ph="1"/>
      <c r="L587" s="28" ph="1"/>
      <c r="M587" s="28" ph="1"/>
      <c r="N587" s="28" ph="1"/>
      <c r="O587" s="28" ph="1"/>
      <c r="P587" s="28" ph="1"/>
      <c r="Q587" s="28" ph="1"/>
      <c r="R587" s="28" ph="1"/>
      <c r="S587" s="28" ph="1"/>
      <c r="T587" s="28" ph="1"/>
      <c r="U587" s="28" ph="1"/>
      <c r="V587" s="28" ph="1"/>
      <c r="W587" s="88" ph="1"/>
      <c r="X587" s="88" ph="1"/>
      <c r="Y587" s="28" ph="1"/>
      <c r="Z587" s="88" ph="1"/>
      <c r="AA587" s="88" ph="1"/>
      <c r="AB587" s="28" ph="1"/>
      <c r="AC587" s="88" ph="1"/>
      <c r="AD587" s="88" ph="1"/>
      <c r="AE587" s="28" ph="1"/>
      <c r="AF587" s="88" ph="1"/>
      <c r="AG587" s="88" ph="1"/>
      <c r="AH587" s="88" ph="1"/>
      <c r="AI587" s="88" ph="1"/>
      <c r="AJ587" s="88" ph="1"/>
      <c r="AK587" s="88" ph="1"/>
      <c r="AL587" s="88" ph="1"/>
      <c r="AM587" s="28" ph="1"/>
      <c r="AN587" s="88" ph="1"/>
      <c r="AO587" s="88" ph="1"/>
      <c r="AP587" s="88" ph="1"/>
      <c r="AQ587" s="28" ph="1"/>
      <c r="AR587" s="88" ph="1"/>
      <c r="AS587" s="88" ph="1"/>
      <c r="AT587" s="88" ph="1"/>
      <c r="AU587" s="28" ph="1"/>
      <c r="AV587" s="88" ph="1"/>
      <c r="AW587" s="88" ph="1"/>
      <c r="AX587" s="28" ph="1"/>
      <c r="AY587" s="88" ph="1"/>
      <c r="AZ587" s="88" ph="1"/>
      <c r="BA587" s="88" ph="1"/>
      <c r="BB587" s="88" ph="1"/>
      <c r="BC587" s="28" ph="1"/>
    </row>
    <row r="589" spans="1:55">
      <c r="A589" s="28" ph="1"/>
      <c r="B589" s="28" ph="1"/>
      <c r="C589" s="28" ph="1"/>
      <c r="D589" s="28" ph="1"/>
      <c r="E589" s="28" ph="1"/>
      <c r="F589" s="28" ph="1"/>
      <c r="G589" s="28" ph="1"/>
      <c r="H589" s="28" ph="1"/>
      <c r="I589" s="28" ph="1"/>
      <c r="J589" s="28" ph="1"/>
      <c r="K589" s="28" ph="1"/>
      <c r="L589" s="28" ph="1"/>
      <c r="M589" s="28" ph="1"/>
      <c r="N589" s="28" ph="1"/>
      <c r="O589" s="28" ph="1"/>
      <c r="P589" s="28" ph="1"/>
      <c r="Q589" s="28" ph="1"/>
      <c r="R589" s="28" ph="1"/>
      <c r="S589" s="28" ph="1"/>
      <c r="T589" s="28" ph="1"/>
      <c r="U589" s="28" ph="1"/>
      <c r="V589" s="28" ph="1"/>
      <c r="W589" s="88" ph="1"/>
      <c r="X589" s="88" ph="1"/>
      <c r="Y589" s="28" ph="1"/>
      <c r="Z589" s="88" ph="1"/>
      <c r="AA589" s="88" ph="1"/>
      <c r="AB589" s="28" ph="1"/>
      <c r="AC589" s="88" ph="1"/>
      <c r="AD589" s="88" ph="1"/>
      <c r="AE589" s="28" ph="1"/>
      <c r="AF589" s="88" ph="1"/>
      <c r="AG589" s="88" ph="1"/>
      <c r="AH589" s="88" ph="1"/>
      <c r="AI589" s="88" ph="1"/>
      <c r="AJ589" s="88" ph="1"/>
      <c r="AK589" s="88" ph="1"/>
      <c r="AL589" s="88" ph="1"/>
      <c r="AM589" s="28" ph="1"/>
      <c r="AN589" s="88" ph="1"/>
      <c r="AO589" s="88" ph="1"/>
      <c r="AP589" s="88" ph="1"/>
      <c r="AQ589" s="28" ph="1"/>
      <c r="AR589" s="88" ph="1"/>
      <c r="AS589" s="88" ph="1"/>
      <c r="AT589" s="88" ph="1"/>
      <c r="AU589" s="28" ph="1"/>
      <c r="AV589" s="88" ph="1"/>
      <c r="AW589" s="88" ph="1"/>
      <c r="AX589" s="28" ph="1"/>
      <c r="AY589" s="88" ph="1"/>
      <c r="AZ589" s="88" ph="1"/>
      <c r="BA589" s="88" ph="1"/>
      <c r="BB589" s="88" ph="1"/>
      <c r="BC589" s="28" ph="1"/>
    </row>
    <row r="590" spans="1:55">
      <c r="A590" s="28" ph="1"/>
      <c r="B590" s="28" ph="1"/>
      <c r="C590" s="28" ph="1"/>
      <c r="D590" s="28" ph="1"/>
      <c r="E590" s="28" ph="1"/>
      <c r="F590" s="28" ph="1"/>
      <c r="G590" s="28" ph="1"/>
      <c r="H590" s="28" ph="1"/>
      <c r="I590" s="28" ph="1"/>
      <c r="J590" s="28" ph="1"/>
      <c r="K590" s="28" ph="1"/>
      <c r="L590" s="28" ph="1"/>
      <c r="M590" s="28" ph="1"/>
      <c r="N590" s="28" ph="1"/>
      <c r="O590" s="28" ph="1"/>
      <c r="P590" s="28" ph="1"/>
      <c r="Q590" s="28" ph="1"/>
      <c r="R590" s="28" ph="1"/>
      <c r="S590" s="28" ph="1"/>
      <c r="T590" s="28" ph="1"/>
      <c r="U590" s="28" ph="1"/>
      <c r="V590" s="28" ph="1"/>
      <c r="W590" s="88" ph="1"/>
      <c r="X590" s="88" ph="1"/>
      <c r="Y590" s="28" ph="1"/>
      <c r="Z590" s="88" ph="1"/>
      <c r="AA590" s="88" ph="1"/>
      <c r="AB590" s="28" ph="1"/>
      <c r="AC590" s="88" ph="1"/>
      <c r="AD590" s="88" ph="1"/>
      <c r="AE590" s="28" ph="1"/>
      <c r="AF590" s="88" ph="1"/>
      <c r="AG590" s="88" ph="1"/>
      <c r="AH590" s="88" ph="1"/>
      <c r="AI590" s="88" ph="1"/>
      <c r="AJ590" s="88" ph="1"/>
      <c r="AK590" s="88" ph="1"/>
      <c r="AL590" s="88" ph="1"/>
      <c r="AM590" s="28" ph="1"/>
      <c r="AN590" s="88" ph="1"/>
      <c r="AO590" s="88" ph="1"/>
      <c r="AP590" s="88" ph="1"/>
      <c r="AQ590" s="28" ph="1"/>
      <c r="AR590" s="88" ph="1"/>
      <c r="AS590" s="88" ph="1"/>
      <c r="AT590" s="88" ph="1"/>
      <c r="AU590" s="28" ph="1"/>
      <c r="AV590" s="88" ph="1"/>
      <c r="AW590" s="88" ph="1"/>
      <c r="AX590" s="28" ph="1"/>
      <c r="AY590" s="88" ph="1"/>
      <c r="AZ590" s="88" ph="1"/>
      <c r="BA590" s="88" ph="1"/>
      <c r="BB590" s="88" ph="1"/>
      <c r="BC590" s="28" ph="1"/>
    </row>
    <row r="591" spans="1:55">
      <c r="A591" s="28" ph="1"/>
      <c r="B591" s="28" ph="1"/>
      <c r="C591" s="28" ph="1"/>
      <c r="D591" s="28" ph="1"/>
      <c r="E591" s="28" ph="1"/>
      <c r="F591" s="28" ph="1"/>
      <c r="G591" s="28" ph="1"/>
      <c r="H591" s="28" ph="1"/>
      <c r="I591" s="28" ph="1"/>
      <c r="J591" s="28" ph="1"/>
      <c r="K591" s="28" ph="1"/>
      <c r="L591" s="28" ph="1"/>
      <c r="M591" s="28" ph="1"/>
      <c r="N591" s="28" ph="1"/>
      <c r="O591" s="28" ph="1"/>
      <c r="P591" s="28" ph="1"/>
      <c r="Q591" s="28" ph="1"/>
      <c r="R591" s="28" ph="1"/>
      <c r="S591" s="28" ph="1"/>
      <c r="T591" s="28" ph="1"/>
      <c r="U591" s="28" ph="1"/>
      <c r="V591" s="28" ph="1"/>
      <c r="W591" s="88" ph="1"/>
      <c r="X591" s="88" ph="1"/>
      <c r="Y591" s="28" ph="1"/>
      <c r="Z591" s="88" ph="1"/>
      <c r="AA591" s="88" ph="1"/>
      <c r="AB591" s="28" ph="1"/>
      <c r="AC591" s="88" ph="1"/>
      <c r="AD591" s="88" ph="1"/>
      <c r="AE591" s="28" ph="1"/>
      <c r="AF591" s="88" ph="1"/>
      <c r="AG591" s="88" ph="1"/>
      <c r="AH591" s="88" ph="1"/>
      <c r="AI591" s="88" ph="1"/>
      <c r="AJ591" s="88" ph="1"/>
      <c r="AK591" s="88" ph="1"/>
      <c r="AL591" s="88" ph="1"/>
      <c r="AM591" s="28" ph="1"/>
      <c r="AN591" s="88" ph="1"/>
      <c r="AO591" s="88" ph="1"/>
      <c r="AP591" s="88" ph="1"/>
      <c r="AQ591" s="28" ph="1"/>
      <c r="AR591" s="88" ph="1"/>
      <c r="AS591" s="88" ph="1"/>
      <c r="AT591" s="88" ph="1"/>
      <c r="AU591" s="28" ph="1"/>
      <c r="AV591" s="88" ph="1"/>
      <c r="AW591" s="88" ph="1"/>
      <c r="AX591" s="28" ph="1"/>
      <c r="AY591" s="88" ph="1"/>
      <c r="AZ591" s="88" ph="1"/>
      <c r="BA591" s="88" ph="1"/>
      <c r="BB591" s="88" ph="1"/>
      <c r="BC591" s="28" ph="1"/>
    </row>
    <row r="592" spans="1:55">
      <c r="A592" s="28" ph="1"/>
      <c r="B592" s="28" ph="1"/>
      <c r="C592" s="28" ph="1"/>
      <c r="D592" s="28" ph="1"/>
      <c r="E592" s="28" ph="1"/>
      <c r="F592" s="28" ph="1"/>
      <c r="G592" s="28" ph="1"/>
      <c r="H592" s="28" ph="1"/>
      <c r="I592" s="28" ph="1"/>
      <c r="J592" s="28" ph="1"/>
      <c r="K592" s="28" ph="1"/>
      <c r="L592" s="28" ph="1"/>
      <c r="M592" s="28" ph="1"/>
      <c r="N592" s="28" ph="1"/>
      <c r="O592" s="28" ph="1"/>
      <c r="P592" s="28" ph="1"/>
      <c r="Q592" s="28" ph="1"/>
      <c r="R592" s="28" ph="1"/>
      <c r="S592" s="28" ph="1"/>
      <c r="T592" s="28" ph="1"/>
      <c r="U592" s="28" ph="1"/>
      <c r="V592" s="28" ph="1"/>
      <c r="W592" s="88" ph="1"/>
      <c r="X592" s="88" ph="1"/>
      <c r="Y592" s="28" ph="1"/>
      <c r="Z592" s="88" ph="1"/>
      <c r="AA592" s="88" ph="1"/>
      <c r="AB592" s="28" ph="1"/>
      <c r="AC592" s="88" ph="1"/>
      <c r="AD592" s="88" ph="1"/>
      <c r="AE592" s="28" ph="1"/>
      <c r="AF592" s="88" ph="1"/>
      <c r="AG592" s="88" ph="1"/>
      <c r="AH592" s="88" ph="1"/>
      <c r="AI592" s="88" ph="1"/>
      <c r="AJ592" s="88" ph="1"/>
      <c r="AK592" s="88" ph="1"/>
      <c r="AL592" s="88" ph="1"/>
      <c r="AM592" s="28" ph="1"/>
      <c r="AN592" s="88" ph="1"/>
      <c r="AO592" s="88" ph="1"/>
      <c r="AP592" s="88" ph="1"/>
      <c r="AQ592" s="28" ph="1"/>
      <c r="AR592" s="88" ph="1"/>
      <c r="AS592" s="88" ph="1"/>
      <c r="AT592" s="88" ph="1"/>
      <c r="AU592" s="28" ph="1"/>
      <c r="AV592" s="88" ph="1"/>
      <c r="AW592" s="88" ph="1"/>
      <c r="AX592" s="28" ph="1"/>
      <c r="AY592" s="88" ph="1"/>
      <c r="AZ592" s="88" ph="1"/>
      <c r="BA592" s="88" ph="1"/>
      <c r="BB592" s="88" ph="1"/>
      <c r="BC592" s="28" ph="1"/>
    </row>
    <row r="593" spans="1:55">
      <c r="A593" s="28" ph="1"/>
      <c r="B593" s="28" ph="1"/>
      <c r="C593" s="28" ph="1"/>
      <c r="D593" s="28" ph="1"/>
      <c r="E593" s="28" ph="1"/>
      <c r="F593" s="28" ph="1"/>
      <c r="G593" s="28" ph="1"/>
      <c r="H593" s="28" ph="1"/>
      <c r="I593" s="28" ph="1"/>
      <c r="J593" s="28" ph="1"/>
      <c r="K593" s="28" ph="1"/>
      <c r="L593" s="28" ph="1"/>
      <c r="M593" s="28" ph="1"/>
      <c r="N593" s="28" ph="1"/>
      <c r="O593" s="28" ph="1"/>
      <c r="P593" s="28" ph="1"/>
      <c r="Q593" s="28" ph="1"/>
      <c r="R593" s="28" ph="1"/>
      <c r="S593" s="28" ph="1"/>
      <c r="T593" s="28" ph="1"/>
      <c r="U593" s="28" ph="1"/>
      <c r="V593" s="28" ph="1"/>
      <c r="W593" s="88" ph="1"/>
      <c r="X593" s="88" ph="1"/>
      <c r="Y593" s="28" ph="1"/>
      <c r="Z593" s="88" ph="1"/>
      <c r="AA593" s="88" ph="1"/>
      <c r="AB593" s="28" ph="1"/>
      <c r="AC593" s="88" ph="1"/>
      <c r="AD593" s="88" ph="1"/>
      <c r="AE593" s="28" ph="1"/>
      <c r="AF593" s="88" ph="1"/>
      <c r="AG593" s="88" ph="1"/>
      <c r="AH593" s="88" ph="1"/>
      <c r="AI593" s="88" ph="1"/>
      <c r="AJ593" s="88" ph="1"/>
      <c r="AK593" s="88" ph="1"/>
      <c r="AL593" s="88" ph="1"/>
      <c r="AM593" s="28" ph="1"/>
      <c r="AN593" s="88" ph="1"/>
      <c r="AO593" s="88" ph="1"/>
      <c r="AP593" s="88" ph="1"/>
      <c r="AQ593" s="28" ph="1"/>
      <c r="AR593" s="88" ph="1"/>
      <c r="AS593" s="88" ph="1"/>
      <c r="AT593" s="88" ph="1"/>
      <c r="AU593" s="28" ph="1"/>
      <c r="AV593" s="88" ph="1"/>
      <c r="AW593" s="88" ph="1"/>
      <c r="AX593" s="28" ph="1"/>
      <c r="AY593" s="88" ph="1"/>
      <c r="AZ593" s="88" ph="1"/>
      <c r="BA593" s="88" ph="1"/>
      <c r="BB593" s="88" ph="1"/>
      <c r="BC593" s="28" ph="1"/>
    </row>
    <row r="594" spans="1:55">
      <c r="A594" s="28" ph="1"/>
      <c r="B594" s="28" ph="1"/>
      <c r="C594" s="28" ph="1"/>
      <c r="D594" s="28" ph="1"/>
      <c r="E594" s="28" ph="1"/>
      <c r="F594" s="28" ph="1"/>
      <c r="G594" s="28" ph="1"/>
      <c r="H594" s="28" ph="1"/>
      <c r="I594" s="28" ph="1"/>
      <c r="J594" s="28" ph="1"/>
      <c r="K594" s="28" ph="1"/>
      <c r="L594" s="28" ph="1"/>
      <c r="M594" s="28" ph="1"/>
      <c r="N594" s="28" ph="1"/>
      <c r="O594" s="28" ph="1"/>
      <c r="P594" s="28" ph="1"/>
      <c r="Q594" s="28" ph="1"/>
      <c r="R594" s="28" ph="1"/>
      <c r="S594" s="28" ph="1"/>
      <c r="T594" s="28" ph="1"/>
      <c r="U594" s="28" ph="1"/>
      <c r="V594" s="28" ph="1"/>
      <c r="W594" s="88" ph="1"/>
      <c r="X594" s="88" ph="1"/>
      <c r="Y594" s="28" ph="1"/>
      <c r="Z594" s="88" ph="1"/>
      <c r="AA594" s="88" ph="1"/>
      <c r="AB594" s="28" ph="1"/>
      <c r="AC594" s="88" ph="1"/>
      <c r="AD594" s="88" ph="1"/>
      <c r="AE594" s="28" ph="1"/>
      <c r="AF594" s="88" ph="1"/>
      <c r="AG594" s="88" ph="1"/>
      <c r="AH594" s="88" ph="1"/>
      <c r="AI594" s="88" ph="1"/>
      <c r="AJ594" s="88" ph="1"/>
      <c r="AK594" s="88" ph="1"/>
      <c r="AL594" s="88" ph="1"/>
      <c r="AM594" s="28" ph="1"/>
      <c r="AN594" s="88" ph="1"/>
      <c r="AO594" s="88" ph="1"/>
      <c r="AP594" s="88" ph="1"/>
      <c r="AQ594" s="28" ph="1"/>
      <c r="AR594" s="88" ph="1"/>
      <c r="AS594" s="88" ph="1"/>
      <c r="AT594" s="88" ph="1"/>
      <c r="AU594" s="28" ph="1"/>
      <c r="AV594" s="88" ph="1"/>
      <c r="AW594" s="88" ph="1"/>
      <c r="AX594" s="28" ph="1"/>
      <c r="AY594" s="88" ph="1"/>
      <c r="AZ594" s="88" ph="1"/>
      <c r="BA594" s="88" ph="1"/>
      <c r="BB594" s="88" ph="1"/>
      <c r="BC594" s="28" ph="1"/>
    </row>
    <row r="595" spans="1:55">
      <c r="A595" s="28" ph="1"/>
      <c r="B595" s="28" ph="1"/>
      <c r="C595" s="28" ph="1"/>
      <c r="D595" s="28" ph="1"/>
      <c r="E595" s="28" ph="1"/>
      <c r="F595" s="28" ph="1"/>
      <c r="G595" s="28" ph="1"/>
      <c r="H595" s="28" ph="1"/>
      <c r="I595" s="28" ph="1"/>
      <c r="J595" s="28" ph="1"/>
      <c r="K595" s="28" ph="1"/>
      <c r="L595" s="28" ph="1"/>
      <c r="M595" s="28" ph="1"/>
      <c r="N595" s="28" ph="1"/>
      <c r="O595" s="28" ph="1"/>
      <c r="P595" s="28" ph="1"/>
      <c r="Q595" s="28" ph="1"/>
      <c r="R595" s="28" ph="1"/>
      <c r="S595" s="28" ph="1"/>
      <c r="T595" s="28" ph="1"/>
      <c r="U595" s="28" ph="1"/>
      <c r="V595" s="28" ph="1"/>
      <c r="W595" s="88" ph="1"/>
      <c r="X595" s="88" ph="1"/>
      <c r="Y595" s="28" ph="1"/>
      <c r="Z595" s="88" ph="1"/>
      <c r="AA595" s="88" ph="1"/>
      <c r="AB595" s="28" ph="1"/>
      <c r="AC595" s="88" ph="1"/>
      <c r="AD595" s="88" ph="1"/>
      <c r="AE595" s="28" ph="1"/>
      <c r="AF595" s="88" ph="1"/>
      <c r="AG595" s="88" ph="1"/>
      <c r="AH595" s="88" ph="1"/>
      <c r="AI595" s="88" ph="1"/>
      <c r="AJ595" s="88" ph="1"/>
      <c r="AK595" s="88" ph="1"/>
      <c r="AL595" s="88" ph="1"/>
      <c r="AM595" s="28" ph="1"/>
      <c r="AN595" s="88" ph="1"/>
      <c r="AO595" s="88" ph="1"/>
      <c r="AP595" s="88" ph="1"/>
      <c r="AQ595" s="28" ph="1"/>
      <c r="AR595" s="88" ph="1"/>
      <c r="AS595" s="88" ph="1"/>
      <c r="AT595" s="88" ph="1"/>
      <c r="AU595" s="28" ph="1"/>
      <c r="AV595" s="88" ph="1"/>
      <c r="AW595" s="88" ph="1"/>
      <c r="AX595" s="28" ph="1"/>
      <c r="AY595" s="88" ph="1"/>
      <c r="AZ595" s="88" ph="1"/>
      <c r="BA595" s="88" ph="1"/>
      <c r="BB595" s="88" ph="1"/>
      <c r="BC595" s="28" ph="1"/>
    </row>
    <row r="596" spans="1:55">
      <c r="A596" s="28" ph="1"/>
      <c r="B596" s="28" ph="1"/>
      <c r="C596" s="28" ph="1"/>
      <c r="D596" s="28" ph="1"/>
      <c r="E596" s="28" ph="1"/>
      <c r="F596" s="28" ph="1"/>
      <c r="G596" s="28" ph="1"/>
      <c r="H596" s="28" ph="1"/>
      <c r="I596" s="28" ph="1"/>
      <c r="J596" s="28" ph="1"/>
      <c r="K596" s="28" ph="1"/>
      <c r="L596" s="28" ph="1"/>
      <c r="M596" s="28" ph="1"/>
      <c r="N596" s="28" ph="1"/>
      <c r="O596" s="28" ph="1"/>
      <c r="P596" s="28" ph="1"/>
      <c r="Q596" s="28" ph="1"/>
      <c r="R596" s="28" ph="1"/>
      <c r="S596" s="28" ph="1"/>
      <c r="T596" s="28" ph="1"/>
      <c r="U596" s="28" ph="1"/>
      <c r="V596" s="28" ph="1"/>
      <c r="W596" s="88" ph="1"/>
      <c r="X596" s="88" ph="1"/>
      <c r="Y596" s="28" ph="1"/>
      <c r="Z596" s="88" ph="1"/>
      <c r="AA596" s="88" ph="1"/>
      <c r="AB596" s="28" ph="1"/>
      <c r="AC596" s="88" ph="1"/>
      <c r="AD596" s="88" ph="1"/>
      <c r="AE596" s="28" ph="1"/>
      <c r="AF596" s="88" ph="1"/>
      <c r="AG596" s="88" ph="1"/>
      <c r="AH596" s="88" ph="1"/>
      <c r="AI596" s="88" ph="1"/>
      <c r="AJ596" s="88" ph="1"/>
      <c r="AK596" s="88" ph="1"/>
      <c r="AL596" s="88" ph="1"/>
      <c r="AM596" s="28" ph="1"/>
      <c r="AN596" s="88" ph="1"/>
      <c r="AO596" s="88" ph="1"/>
      <c r="AP596" s="88" ph="1"/>
      <c r="AQ596" s="28" ph="1"/>
      <c r="AR596" s="88" ph="1"/>
      <c r="AS596" s="88" ph="1"/>
      <c r="AT596" s="88" ph="1"/>
      <c r="AU596" s="28" ph="1"/>
      <c r="AV596" s="88" ph="1"/>
      <c r="AW596" s="88" ph="1"/>
      <c r="AX596" s="28" ph="1"/>
      <c r="AY596" s="88" ph="1"/>
      <c r="AZ596" s="88" ph="1"/>
      <c r="BA596" s="88" ph="1"/>
      <c r="BB596" s="88" ph="1"/>
      <c r="BC596" s="28" ph="1"/>
    </row>
    <row r="597" spans="1:55">
      <c r="A597" s="28" ph="1"/>
      <c r="B597" s="28" ph="1"/>
      <c r="C597" s="28" ph="1"/>
      <c r="D597" s="28" ph="1"/>
      <c r="E597" s="28" ph="1"/>
      <c r="F597" s="28" ph="1"/>
      <c r="G597" s="28" ph="1"/>
      <c r="H597" s="28" ph="1"/>
      <c r="I597" s="28" ph="1"/>
      <c r="J597" s="28" ph="1"/>
      <c r="K597" s="28" ph="1"/>
      <c r="L597" s="28" ph="1"/>
      <c r="M597" s="28" ph="1"/>
      <c r="N597" s="28" ph="1"/>
      <c r="O597" s="28" ph="1"/>
      <c r="P597" s="28" ph="1"/>
      <c r="Q597" s="28" ph="1"/>
      <c r="R597" s="28" ph="1"/>
      <c r="S597" s="28" ph="1"/>
      <c r="T597" s="28" ph="1"/>
      <c r="U597" s="28" ph="1"/>
      <c r="V597" s="28" ph="1"/>
      <c r="W597" s="88" ph="1"/>
      <c r="X597" s="88" ph="1"/>
      <c r="Y597" s="28" ph="1"/>
      <c r="Z597" s="88" ph="1"/>
      <c r="AA597" s="88" ph="1"/>
      <c r="AB597" s="28" ph="1"/>
      <c r="AC597" s="88" ph="1"/>
      <c r="AD597" s="88" ph="1"/>
      <c r="AE597" s="28" ph="1"/>
      <c r="AF597" s="88" ph="1"/>
      <c r="AG597" s="88" ph="1"/>
      <c r="AH597" s="88" ph="1"/>
      <c r="AI597" s="88" ph="1"/>
      <c r="AJ597" s="88" ph="1"/>
      <c r="AK597" s="88" ph="1"/>
      <c r="AL597" s="88" ph="1"/>
      <c r="AM597" s="28" ph="1"/>
      <c r="AN597" s="88" ph="1"/>
      <c r="AO597" s="88" ph="1"/>
      <c r="AP597" s="88" ph="1"/>
      <c r="AQ597" s="28" ph="1"/>
      <c r="AR597" s="88" ph="1"/>
      <c r="AS597" s="88" ph="1"/>
      <c r="AT597" s="88" ph="1"/>
      <c r="AU597" s="28" ph="1"/>
      <c r="AV597" s="88" ph="1"/>
      <c r="AW597" s="88" ph="1"/>
      <c r="AX597" s="28" ph="1"/>
      <c r="AY597" s="88" ph="1"/>
      <c r="AZ597" s="88" ph="1"/>
      <c r="BA597" s="88" ph="1"/>
      <c r="BB597" s="88" ph="1"/>
      <c r="BC597" s="28" ph="1"/>
    </row>
    <row r="598" spans="1:55">
      <c r="A598" s="28" ph="1"/>
      <c r="B598" s="28" ph="1"/>
      <c r="C598" s="28" ph="1"/>
      <c r="D598" s="28" ph="1"/>
      <c r="E598" s="28" ph="1"/>
      <c r="F598" s="28" ph="1"/>
      <c r="G598" s="28" ph="1"/>
      <c r="H598" s="28" ph="1"/>
      <c r="I598" s="28" ph="1"/>
      <c r="J598" s="28" ph="1"/>
      <c r="K598" s="28" ph="1"/>
      <c r="L598" s="28" ph="1"/>
      <c r="M598" s="28" ph="1"/>
      <c r="N598" s="28" ph="1"/>
      <c r="O598" s="28" ph="1"/>
      <c r="P598" s="28" ph="1"/>
      <c r="Q598" s="28" ph="1"/>
      <c r="R598" s="28" ph="1"/>
      <c r="S598" s="28" ph="1"/>
      <c r="T598" s="28" ph="1"/>
      <c r="U598" s="28" ph="1"/>
      <c r="V598" s="28" ph="1"/>
      <c r="W598" s="88" ph="1"/>
      <c r="X598" s="88" ph="1"/>
      <c r="Y598" s="28" ph="1"/>
      <c r="Z598" s="88" ph="1"/>
      <c r="AA598" s="88" ph="1"/>
      <c r="AB598" s="28" ph="1"/>
      <c r="AC598" s="88" ph="1"/>
      <c r="AD598" s="88" ph="1"/>
      <c r="AE598" s="28" ph="1"/>
      <c r="AF598" s="88" ph="1"/>
      <c r="AG598" s="88" ph="1"/>
      <c r="AH598" s="88" ph="1"/>
      <c r="AI598" s="88" ph="1"/>
      <c r="AJ598" s="88" ph="1"/>
      <c r="AK598" s="88" ph="1"/>
      <c r="AL598" s="88" ph="1"/>
      <c r="AM598" s="28" ph="1"/>
      <c r="AN598" s="88" ph="1"/>
      <c r="AO598" s="88" ph="1"/>
      <c r="AP598" s="88" ph="1"/>
      <c r="AQ598" s="28" ph="1"/>
      <c r="AR598" s="88" ph="1"/>
      <c r="AS598" s="88" ph="1"/>
      <c r="AT598" s="88" ph="1"/>
      <c r="AU598" s="28" ph="1"/>
      <c r="AV598" s="88" ph="1"/>
      <c r="AW598" s="88" ph="1"/>
      <c r="AX598" s="28" ph="1"/>
      <c r="AY598" s="88" ph="1"/>
      <c r="AZ598" s="88" ph="1"/>
      <c r="BA598" s="88" ph="1"/>
      <c r="BB598" s="88" ph="1"/>
      <c r="BC598" s="28" ph="1"/>
    </row>
    <row r="600" spans="1:55">
      <c r="A600" s="28" ph="1"/>
      <c r="B600" s="28" ph="1"/>
      <c r="C600" s="28" ph="1"/>
      <c r="D600" s="28" ph="1"/>
      <c r="E600" s="28" ph="1"/>
      <c r="F600" s="28" ph="1"/>
      <c r="G600" s="28" ph="1"/>
      <c r="H600" s="28" ph="1"/>
      <c r="I600" s="28" ph="1"/>
      <c r="J600" s="28" ph="1"/>
      <c r="K600" s="28" ph="1"/>
      <c r="L600" s="28" ph="1"/>
      <c r="M600" s="28" ph="1"/>
      <c r="N600" s="28" ph="1"/>
      <c r="O600" s="28" ph="1"/>
      <c r="P600" s="28" ph="1"/>
      <c r="Q600" s="28" ph="1"/>
      <c r="R600" s="28" ph="1"/>
      <c r="S600" s="28" ph="1"/>
      <c r="T600" s="28" ph="1"/>
      <c r="U600" s="28" ph="1"/>
      <c r="V600" s="28" ph="1"/>
      <c r="W600" s="88" ph="1"/>
      <c r="X600" s="88" ph="1"/>
      <c r="Y600" s="28" ph="1"/>
      <c r="Z600" s="88" ph="1"/>
      <c r="AA600" s="88" ph="1"/>
      <c r="AB600" s="28" ph="1"/>
      <c r="AC600" s="88" ph="1"/>
      <c r="AD600" s="88" ph="1"/>
      <c r="AE600" s="28" ph="1"/>
      <c r="AF600" s="88" ph="1"/>
      <c r="AG600" s="88" ph="1"/>
      <c r="AH600" s="88" ph="1"/>
      <c r="AI600" s="88" ph="1"/>
      <c r="AJ600" s="88" ph="1"/>
      <c r="AK600" s="88" ph="1"/>
      <c r="AL600" s="88" ph="1"/>
      <c r="AM600" s="28" ph="1"/>
      <c r="AN600" s="88" ph="1"/>
      <c r="AO600" s="88" ph="1"/>
      <c r="AP600" s="88" ph="1"/>
      <c r="AQ600" s="28" ph="1"/>
      <c r="AR600" s="88" ph="1"/>
      <c r="AS600" s="88" ph="1"/>
      <c r="AT600" s="88" ph="1"/>
      <c r="AU600" s="28" ph="1"/>
      <c r="AV600" s="88" ph="1"/>
      <c r="AW600" s="88" ph="1"/>
      <c r="AX600" s="28" ph="1"/>
      <c r="AY600" s="88" ph="1"/>
      <c r="AZ600" s="88" ph="1"/>
      <c r="BA600" s="88" ph="1"/>
      <c r="BB600" s="88" ph="1"/>
      <c r="BC600" s="28" ph="1"/>
    </row>
    <row r="601" spans="1:55">
      <c r="A601" s="28" ph="1"/>
      <c r="B601" s="28" ph="1"/>
      <c r="C601" s="28" ph="1"/>
      <c r="D601" s="28" ph="1"/>
      <c r="E601" s="28" ph="1"/>
      <c r="F601" s="28" ph="1"/>
      <c r="G601" s="28" ph="1"/>
      <c r="H601" s="28" ph="1"/>
      <c r="I601" s="28" ph="1"/>
      <c r="J601" s="28" ph="1"/>
      <c r="K601" s="28" ph="1"/>
      <c r="L601" s="28" ph="1"/>
      <c r="M601" s="28" ph="1"/>
      <c r="N601" s="28" ph="1"/>
      <c r="O601" s="28" ph="1"/>
      <c r="P601" s="28" ph="1"/>
      <c r="Q601" s="28" ph="1"/>
      <c r="R601" s="28" ph="1"/>
      <c r="S601" s="28" ph="1"/>
      <c r="T601" s="28" ph="1"/>
      <c r="U601" s="28" ph="1"/>
      <c r="V601" s="28" ph="1"/>
      <c r="W601" s="88" ph="1"/>
      <c r="X601" s="88" ph="1"/>
      <c r="Y601" s="28" ph="1"/>
      <c r="Z601" s="88" ph="1"/>
      <c r="AA601" s="88" ph="1"/>
      <c r="AB601" s="28" ph="1"/>
      <c r="AC601" s="88" ph="1"/>
      <c r="AD601" s="88" ph="1"/>
      <c r="AE601" s="28" ph="1"/>
      <c r="AF601" s="88" ph="1"/>
      <c r="AG601" s="88" ph="1"/>
      <c r="AH601" s="88" ph="1"/>
      <c r="AI601" s="88" ph="1"/>
      <c r="AJ601" s="88" ph="1"/>
      <c r="AK601" s="88" ph="1"/>
      <c r="AL601" s="88" ph="1"/>
      <c r="AM601" s="28" ph="1"/>
      <c r="AN601" s="88" ph="1"/>
      <c r="AO601" s="88" ph="1"/>
      <c r="AP601" s="88" ph="1"/>
      <c r="AQ601" s="28" ph="1"/>
      <c r="AR601" s="88" ph="1"/>
      <c r="AS601" s="88" ph="1"/>
      <c r="AT601" s="88" ph="1"/>
      <c r="AU601" s="28" ph="1"/>
      <c r="AV601" s="88" ph="1"/>
      <c r="AW601" s="88" ph="1"/>
      <c r="AX601" s="28" ph="1"/>
      <c r="AY601" s="88" ph="1"/>
      <c r="AZ601" s="88" ph="1"/>
      <c r="BA601" s="88" ph="1"/>
      <c r="BB601" s="88" ph="1"/>
      <c r="BC601" s="28" ph="1"/>
    </row>
    <row r="602" spans="1:55">
      <c r="A602" s="28" ph="1"/>
      <c r="B602" s="28" ph="1"/>
      <c r="C602" s="28" ph="1"/>
      <c r="D602" s="28" ph="1"/>
      <c r="E602" s="28" ph="1"/>
      <c r="F602" s="28" ph="1"/>
      <c r="G602" s="28" ph="1"/>
      <c r="H602" s="28" ph="1"/>
      <c r="I602" s="28" ph="1"/>
      <c r="J602" s="28" ph="1"/>
      <c r="K602" s="28" ph="1"/>
      <c r="L602" s="28" ph="1"/>
      <c r="M602" s="28" ph="1"/>
      <c r="N602" s="28" ph="1"/>
      <c r="O602" s="28" ph="1"/>
      <c r="P602" s="28" ph="1"/>
      <c r="Q602" s="28" ph="1"/>
      <c r="R602" s="28" ph="1"/>
      <c r="S602" s="28" ph="1"/>
      <c r="T602" s="28" ph="1"/>
      <c r="U602" s="28" ph="1"/>
      <c r="V602" s="28" ph="1"/>
      <c r="W602" s="88" ph="1"/>
      <c r="X602" s="88" ph="1"/>
      <c r="Y602" s="28" ph="1"/>
      <c r="Z602" s="88" ph="1"/>
      <c r="AA602" s="88" ph="1"/>
      <c r="AB602" s="28" ph="1"/>
      <c r="AC602" s="88" ph="1"/>
      <c r="AD602" s="88" ph="1"/>
      <c r="AE602" s="28" ph="1"/>
      <c r="AF602" s="88" ph="1"/>
      <c r="AG602" s="88" ph="1"/>
      <c r="AH602" s="88" ph="1"/>
      <c r="AI602" s="88" ph="1"/>
      <c r="AJ602" s="88" ph="1"/>
      <c r="AK602" s="88" ph="1"/>
      <c r="AL602" s="88" ph="1"/>
      <c r="AM602" s="28" ph="1"/>
      <c r="AN602" s="88" ph="1"/>
      <c r="AO602" s="88" ph="1"/>
      <c r="AP602" s="88" ph="1"/>
      <c r="AQ602" s="28" ph="1"/>
      <c r="AR602" s="88" ph="1"/>
      <c r="AS602" s="88" ph="1"/>
      <c r="AT602" s="88" ph="1"/>
      <c r="AU602" s="28" ph="1"/>
      <c r="AV602" s="88" ph="1"/>
      <c r="AW602" s="88" ph="1"/>
      <c r="AX602" s="28" ph="1"/>
      <c r="AY602" s="88" ph="1"/>
      <c r="AZ602" s="88" ph="1"/>
      <c r="BA602" s="88" ph="1"/>
      <c r="BB602" s="88" ph="1"/>
      <c r="BC602" s="28" ph="1"/>
    </row>
    <row r="603" spans="1:55">
      <c r="A603" s="28" ph="1"/>
      <c r="B603" s="28" ph="1"/>
      <c r="C603" s="28" ph="1"/>
      <c r="D603" s="28" ph="1"/>
      <c r="E603" s="28" ph="1"/>
      <c r="F603" s="28" ph="1"/>
      <c r="G603" s="28" ph="1"/>
      <c r="H603" s="28" ph="1"/>
      <c r="I603" s="28" ph="1"/>
      <c r="J603" s="28" ph="1"/>
      <c r="K603" s="28" ph="1"/>
      <c r="L603" s="28" ph="1"/>
      <c r="M603" s="28" ph="1"/>
      <c r="N603" s="28" ph="1"/>
      <c r="O603" s="28" ph="1"/>
      <c r="P603" s="28" ph="1"/>
      <c r="Q603" s="28" ph="1"/>
      <c r="R603" s="28" ph="1"/>
      <c r="S603" s="28" ph="1"/>
      <c r="T603" s="28" ph="1"/>
      <c r="U603" s="28" ph="1"/>
      <c r="V603" s="28" ph="1"/>
      <c r="W603" s="88" ph="1"/>
      <c r="X603" s="88" ph="1"/>
      <c r="Y603" s="28" ph="1"/>
      <c r="Z603" s="88" ph="1"/>
      <c r="AA603" s="88" ph="1"/>
      <c r="AB603" s="28" ph="1"/>
      <c r="AC603" s="88" ph="1"/>
      <c r="AD603" s="88" ph="1"/>
      <c r="AE603" s="28" ph="1"/>
      <c r="AF603" s="88" ph="1"/>
      <c r="AG603" s="88" ph="1"/>
      <c r="AH603" s="88" ph="1"/>
      <c r="AI603" s="88" ph="1"/>
      <c r="AJ603" s="88" ph="1"/>
      <c r="AK603" s="88" ph="1"/>
      <c r="AL603" s="88" ph="1"/>
      <c r="AM603" s="28" ph="1"/>
      <c r="AN603" s="88" ph="1"/>
      <c r="AO603" s="88" ph="1"/>
      <c r="AP603" s="88" ph="1"/>
      <c r="AQ603" s="28" ph="1"/>
      <c r="AR603" s="88" ph="1"/>
      <c r="AS603" s="88" ph="1"/>
      <c r="AT603" s="88" ph="1"/>
      <c r="AU603" s="28" ph="1"/>
      <c r="AV603" s="88" ph="1"/>
      <c r="AW603" s="88" ph="1"/>
      <c r="AX603" s="28" ph="1"/>
      <c r="AY603" s="88" ph="1"/>
      <c r="AZ603" s="88" ph="1"/>
      <c r="BA603" s="88" ph="1"/>
      <c r="BB603" s="88" ph="1"/>
      <c r="BC603" s="28" ph="1"/>
    </row>
    <row r="605" spans="1:55">
      <c r="A605" s="28" ph="1"/>
      <c r="B605" s="28" ph="1"/>
      <c r="C605" s="28" ph="1"/>
      <c r="D605" s="28" ph="1"/>
      <c r="E605" s="28" ph="1"/>
      <c r="F605" s="28" ph="1"/>
      <c r="G605" s="28" ph="1"/>
      <c r="H605" s="28" ph="1"/>
      <c r="I605" s="28" ph="1"/>
      <c r="J605" s="28" ph="1"/>
      <c r="K605" s="28" ph="1"/>
      <c r="L605" s="28" ph="1"/>
      <c r="M605" s="28" ph="1"/>
      <c r="N605" s="28" ph="1"/>
      <c r="O605" s="28" ph="1"/>
      <c r="P605" s="28" ph="1"/>
      <c r="Q605" s="28" ph="1"/>
      <c r="R605" s="28" ph="1"/>
      <c r="S605" s="28" ph="1"/>
      <c r="T605" s="28" ph="1"/>
      <c r="U605" s="28" ph="1"/>
      <c r="V605" s="28" ph="1"/>
      <c r="W605" s="88" ph="1"/>
      <c r="X605" s="88" ph="1"/>
      <c r="Y605" s="28" ph="1"/>
      <c r="Z605" s="88" ph="1"/>
      <c r="AA605" s="88" ph="1"/>
      <c r="AB605" s="28" ph="1"/>
      <c r="AC605" s="88" ph="1"/>
      <c r="AD605" s="88" ph="1"/>
      <c r="AE605" s="28" ph="1"/>
      <c r="AF605" s="88" ph="1"/>
      <c r="AG605" s="88" ph="1"/>
      <c r="AH605" s="88" ph="1"/>
      <c r="AI605" s="88" ph="1"/>
      <c r="AJ605" s="88" ph="1"/>
      <c r="AK605" s="88" ph="1"/>
      <c r="AL605" s="88" ph="1"/>
      <c r="AM605" s="28" ph="1"/>
      <c r="AN605" s="88" ph="1"/>
      <c r="AO605" s="88" ph="1"/>
      <c r="AP605" s="88" ph="1"/>
      <c r="AQ605" s="28" ph="1"/>
      <c r="AR605" s="88" ph="1"/>
      <c r="AS605" s="88" ph="1"/>
      <c r="AT605" s="88" ph="1"/>
      <c r="AU605" s="28" ph="1"/>
      <c r="AV605" s="88" ph="1"/>
      <c r="AW605" s="88" ph="1"/>
      <c r="AX605" s="28" ph="1"/>
      <c r="AY605" s="88" ph="1"/>
      <c r="AZ605" s="88" ph="1"/>
      <c r="BA605" s="88" ph="1"/>
      <c r="BB605" s="88" ph="1"/>
      <c r="BC605" s="28" ph="1"/>
    </row>
    <row r="606" spans="1:55">
      <c r="A606" s="28" ph="1"/>
      <c r="B606" s="28" ph="1"/>
      <c r="C606" s="28" ph="1"/>
      <c r="D606" s="28" ph="1"/>
      <c r="E606" s="28" ph="1"/>
      <c r="F606" s="28" ph="1"/>
      <c r="G606" s="28" ph="1"/>
      <c r="H606" s="28" ph="1"/>
      <c r="I606" s="28" ph="1"/>
      <c r="J606" s="28" ph="1"/>
      <c r="K606" s="28" ph="1"/>
      <c r="L606" s="28" ph="1"/>
      <c r="M606" s="28" ph="1"/>
      <c r="N606" s="28" ph="1"/>
      <c r="O606" s="28" ph="1"/>
      <c r="P606" s="28" ph="1"/>
      <c r="Q606" s="28" ph="1"/>
      <c r="R606" s="28" ph="1"/>
      <c r="S606" s="28" ph="1"/>
      <c r="T606" s="28" ph="1"/>
      <c r="U606" s="28" ph="1"/>
      <c r="V606" s="28" ph="1"/>
      <c r="W606" s="88" ph="1"/>
      <c r="X606" s="88" ph="1"/>
      <c r="Y606" s="28" ph="1"/>
      <c r="Z606" s="88" ph="1"/>
      <c r="AA606" s="88" ph="1"/>
      <c r="AB606" s="28" ph="1"/>
      <c r="AC606" s="88" ph="1"/>
      <c r="AD606" s="88" ph="1"/>
      <c r="AE606" s="28" ph="1"/>
      <c r="AF606" s="88" ph="1"/>
      <c r="AG606" s="88" ph="1"/>
      <c r="AH606" s="88" ph="1"/>
      <c r="AI606" s="88" ph="1"/>
      <c r="AJ606" s="88" ph="1"/>
      <c r="AK606" s="88" ph="1"/>
      <c r="AL606" s="88" ph="1"/>
      <c r="AM606" s="28" ph="1"/>
      <c r="AN606" s="88" ph="1"/>
      <c r="AO606" s="88" ph="1"/>
      <c r="AP606" s="88" ph="1"/>
      <c r="AQ606" s="28" ph="1"/>
      <c r="AR606" s="88" ph="1"/>
      <c r="AS606" s="88" ph="1"/>
      <c r="AT606" s="88" ph="1"/>
      <c r="AU606" s="28" ph="1"/>
      <c r="AV606" s="88" ph="1"/>
      <c r="AW606" s="88" ph="1"/>
      <c r="AX606" s="28" ph="1"/>
      <c r="AY606" s="88" ph="1"/>
      <c r="AZ606" s="88" ph="1"/>
      <c r="BA606" s="88" ph="1"/>
      <c r="BB606" s="88" ph="1"/>
      <c r="BC606" s="28" ph="1"/>
    </row>
    <row r="607" spans="1:55">
      <c r="A607" s="28" ph="1"/>
      <c r="B607" s="28" ph="1"/>
      <c r="C607" s="28" ph="1"/>
      <c r="D607" s="28" ph="1"/>
      <c r="E607" s="28" ph="1"/>
      <c r="F607" s="28" ph="1"/>
      <c r="G607" s="28" ph="1"/>
      <c r="H607" s="28" ph="1"/>
      <c r="I607" s="28" ph="1"/>
      <c r="J607" s="28" ph="1"/>
      <c r="K607" s="28" ph="1"/>
      <c r="L607" s="28" ph="1"/>
      <c r="M607" s="28" ph="1"/>
      <c r="N607" s="28" ph="1"/>
      <c r="O607" s="28" ph="1"/>
      <c r="P607" s="28" ph="1"/>
      <c r="Q607" s="28" ph="1"/>
      <c r="R607" s="28" ph="1"/>
      <c r="S607" s="28" ph="1"/>
      <c r="T607" s="28" ph="1"/>
      <c r="U607" s="28" ph="1"/>
      <c r="V607" s="28" ph="1"/>
      <c r="W607" s="88" ph="1"/>
      <c r="X607" s="88" ph="1"/>
      <c r="Y607" s="28" ph="1"/>
      <c r="Z607" s="88" ph="1"/>
      <c r="AA607" s="88" ph="1"/>
      <c r="AB607" s="28" ph="1"/>
      <c r="AC607" s="88" ph="1"/>
      <c r="AD607" s="88" ph="1"/>
      <c r="AE607" s="28" ph="1"/>
      <c r="AF607" s="88" ph="1"/>
      <c r="AG607" s="88" ph="1"/>
      <c r="AH607" s="88" ph="1"/>
      <c r="AI607" s="88" ph="1"/>
      <c r="AJ607" s="88" ph="1"/>
      <c r="AK607" s="88" ph="1"/>
      <c r="AL607" s="88" ph="1"/>
      <c r="AM607" s="28" ph="1"/>
      <c r="AN607" s="88" ph="1"/>
      <c r="AO607" s="88" ph="1"/>
      <c r="AP607" s="88" ph="1"/>
      <c r="AQ607" s="28" ph="1"/>
      <c r="AR607" s="88" ph="1"/>
      <c r="AS607" s="88" ph="1"/>
      <c r="AT607" s="88" ph="1"/>
      <c r="AU607" s="28" ph="1"/>
      <c r="AV607" s="88" ph="1"/>
      <c r="AW607" s="88" ph="1"/>
      <c r="AX607" s="28" ph="1"/>
      <c r="AY607" s="88" ph="1"/>
      <c r="AZ607" s="88" ph="1"/>
      <c r="BA607" s="88" ph="1"/>
      <c r="BB607" s="88" ph="1"/>
      <c r="BC607" s="28" ph="1"/>
    </row>
    <row r="608" spans="1:55">
      <c r="A608" s="28" ph="1"/>
      <c r="B608" s="28" ph="1"/>
      <c r="C608" s="28" ph="1"/>
      <c r="D608" s="28" ph="1"/>
      <c r="E608" s="28" ph="1"/>
      <c r="F608" s="28" ph="1"/>
      <c r="G608" s="28" ph="1"/>
      <c r="H608" s="28" ph="1"/>
      <c r="I608" s="28" ph="1"/>
      <c r="J608" s="28" ph="1"/>
      <c r="K608" s="28" ph="1"/>
      <c r="L608" s="28" ph="1"/>
      <c r="M608" s="28" ph="1"/>
      <c r="N608" s="28" ph="1"/>
      <c r="O608" s="28" ph="1"/>
      <c r="P608" s="28" ph="1"/>
      <c r="Q608" s="28" ph="1"/>
      <c r="R608" s="28" ph="1"/>
      <c r="S608" s="28" ph="1"/>
      <c r="T608" s="28" ph="1"/>
      <c r="U608" s="28" ph="1"/>
      <c r="V608" s="28" ph="1"/>
      <c r="W608" s="88" ph="1"/>
      <c r="X608" s="88" ph="1"/>
      <c r="Y608" s="28" ph="1"/>
      <c r="Z608" s="88" ph="1"/>
      <c r="AA608" s="88" ph="1"/>
      <c r="AB608" s="28" ph="1"/>
      <c r="AC608" s="88" ph="1"/>
      <c r="AD608" s="88" ph="1"/>
      <c r="AE608" s="28" ph="1"/>
      <c r="AF608" s="88" ph="1"/>
      <c r="AG608" s="88" ph="1"/>
      <c r="AH608" s="88" ph="1"/>
      <c r="AI608" s="88" ph="1"/>
      <c r="AJ608" s="88" ph="1"/>
      <c r="AK608" s="88" ph="1"/>
      <c r="AL608" s="88" ph="1"/>
      <c r="AM608" s="28" ph="1"/>
      <c r="AN608" s="88" ph="1"/>
      <c r="AO608" s="88" ph="1"/>
      <c r="AP608" s="88" ph="1"/>
      <c r="AQ608" s="28" ph="1"/>
      <c r="AR608" s="88" ph="1"/>
      <c r="AS608" s="88" ph="1"/>
      <c r="AT608" s="88" ph="1"/>
      <c r="AU608" s="28" ph="1"/>
      <c r="AV608" s="88" ph="1"/>
      <c r="AW608" s="88" ph="1"/>
      <c r="AX608" s="28" ph="1"/>
      <c r="AY608" s="88" ph="1"/>
      <c r="AZ608" s="88" ph="1"/>
      <c r="BA608" s="88" ph="1"/>
      <c r="BB608" s="88" ph="1"/>
      <c r="BC608" s="28" ph="1"/>
    </row>
  </sheetData>
  <mergeCells count="72">
    <mergeCell ref="AI146:BB146"/>
    <mergeCell ref="AI145:BB145"/>
    <mergeCell ref="AI148:BB148"/>
    <mergeCell ref="B152:AG152"/>
    <mergeCell ref="B151:AG151"/>
    <mergeCell ref="B150:AG150"/>
    <mergeCell ref="B149:AG149"/>
    <mergeCell ref="B148:AG148"/>
    <mergeCell ref="B147:AG147"/>
    <mergeCell ref="B146:AG146"/>
    <mergeCell ref="B145:AG145"/>
    <mergeCell ref="AI149:BB149"/>
    <mergeCell ref="AI150:BB150"/>
    <mergeCell ref="AI151:BB151"/>
    <mergeCell ref="AI152:BB152"/>
    <mergeCell ref="AI147:BB147"/>
    <mergeCell ref="BG9:BH9"/>
    <mergeCell ref="BG10:BH10"/>
    <mergeCell ref="A2:BH2"/>
    <mergeCell ref="A1:BH1"/>
    <mergeCell ref="AF9:AG9"/>
    <mergeCell ref="AF10:AG10"/>
    <mergeCell ref="T5:BD5"/>
    <mergeCell ref="T4:BD4"/>
    <mergeCell ref="BG6:BH6"/>
    <mergeCell ref="D4:Q4"/>
    <mergeCell ref="BG4:BH4"/>
    <mergeCell ref="D5:Q5"/>
    <mergeCell ref="BG5:BH5"/>
    <mergeCell ref="N8:O8"/>
    <mergeCell ref="AK8:AL8"/>
    <mergeCell ref="AN8:AT8"/>
    <mergeCell ref="BG7:BH7"/>
    <mergeCell ref="AV10:AW10"/>
    <mergeCell ref="D9:F9"/>
    <mergeCell ref="H9:L9"/>
    <mergeCell ref="N9:O9"/>
    <mergeCell ref="AK9:AL9"/>
    <mergeCell ref="AN9:AT9"/>
    <mergeCell ref="AV9:AW9"/>
    <mergeCell ref="T9:U9"/>
    <mergeCell ref="T10:U10"/>
    <mergeCell ref="W9:X9"/>
    <mergeCell ref="W10:X10"/>
    <mergeCell ref="Z9:AA9"/>
    <mergeCell ref="Z10:AA10"/>
    <mergeCell ref="AC9:AD9"/>
    <mergeCell ref="AV8:AW8"/>
    <mergeCell ref="K12:L12"/>
    <mergeCell ref="AN12:AP12"/>
    <mergeCell ref="AR12:AT12"/>
    <mergeCell ref="D10:F10"/>
    <mergeCell ref="H10:L10"/>
    <mergeCell ref="N10:O10"/>
    <mergeCell ref="AK10:AL10"/>
    <mergeCell ref="AN10:AT10"/>
    <mergeCell ref="AC10:AD10"/>
    <mergeCell ref="H12:I12"/>
    <mergeCell ref="AY6:BB6"/>
    <mergeCell ref="H11:I11"/>
    <mergeCell ref="K11:L11"/>
    <mergeCell ref="AN11:AP11"/>
    <mergeCell ref="AR11:AT11"/>
    <mergeCell ref="AY7:BB7"/>
    <mergeCell ref="D6:Q6"/>
    <mergeCell ref="T6:U6"/>
    <mergeCell ref="W6:AA6"/>
    <mergeCell ref="AC6:AW6"/>
    <mergeCell ref="T7:U7"/>
    <mergeCell ref="D7:Q7"/>
    <mergeCell ref="W7:AA7"/>
    <mergeCell ref="AC7:AW7"/>
  </mergeCells>
  <phoneticPr fontId="5" type="noConversion"/>
  <pageMargins left="0" right="0" top="0" bottom="0" header="0.31496062992125984" footer="0.31496062992125984"/>
  <pageSetup paperSize="8" scale="56" fitToWidth="2" fitToHeight="0" orientation="landscape" r:id="rId1"/>
  <colBreaks count="1" manualBreakCount="1">
    <brk id="33"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715"/>
  <sheetViews>
    <sheetView zoomScale="70" zoomScaleNormal="70" zoomScaleSheetLayoutView="55" workbookViewId="0">
      <selection activeCell="A2" sqref="A2:N2"/>
    </sheetView>
  </sheetViews>
  <sheetFormatPr defaultRowHeight="16.5"/>
  <cols>
    <col min="1" max="1" width="9.85546875" style="38" customWidth="1"/>
    <col min="2" max="2" width="6.7109375" style="38" customWidth="1"/>
    <col min="3" max="3" width="7.5703125" style="38" customWidth="1"/>
    <col min="4" max="4" width="23.85546875" style="38" customWidth="1"/>
    <col min="5" max="5" width="13.42578125" style="38" customWidth="1"/>
    <col min="6" max="6" width="13.7109375" style="38" customWidth="1"/>
    <col min="7" max="7" width="1.7109375" style="38" customWidth="1"/>
    <col min="8" max="8" width="2.5703125" style="38" customWidth="1"/>
    <col min="9" max="9" width="10" style="39" customWidth="1"/>
    <col min="10" max="10" width="10.85546875" style="39" customWidth="1"/>
    <col min="11" max="11" width="9.140625" style="39"/>
    <col min="12" max="13" width="11.140625" style="39" customWidth="1"/>
    <col min="14" max="14" width="10.85546875" style="39" customWidth="1"/>
    <col min="15" max="16384" width="9.140625" style="38"/>
  </cols>
  <sheetData>
    <row r="1" spans="1:14" s="80" customFormat="1" ht="20.25" customHeight="1">
      <c r="A1" s="233" t="s">
        <v>242</v>
      </c>
      <c r="B1" s="233"/>
      <c r="C1" s="233"/>
      <c r="D1" s="233"/>
      <c r="E1" s="233"/>
      <c r="F1" s="233"/>
      <c r="G1" s="233"/>
      <c r="H1" s="233"/>
      <c r="I1" s="233"/>
      <c r="J1" s="233"/>
      <c r="K1" s="233"/>
      <c r="L1" s="233"/>
      <c r="M1" s="233"/>
      <c r="N1" s="233"/>
    </row>
    <row r="2" spans="1:14" s="80" customFormat="1" ht="20.25" customHeight="1">
      <c r="A2" s="234" t="s" ph="1">
        <v>207</v>
      </c>
      <c r="B2" s="235" ph="1"/>
      <c r="C2" s="235" ph="1"/>
      <c r="D2" s="235" ph="1"/>
      <c r="E2" s="235" ph="1"/>
      <c r="F2" s="235" ph="1"/>
      <c r="G2" s="235" ph="1"/>
      <c r="H2" s="235" ph="1"/>
      <c r="I2" s="235" ph="1"/>
      <c r="J2" s="235" ph="1"/>
      <c r="K2" s="235" ph="1"/>
      <c r="L2" s="235" ph="1"/>
      <c r="M2" s="235" ph="1"/>
      <c r="N2" s="235" ph="1"/>
    </row>
    <row r="3" spans="1:14" s="41" customFormat="1" ht="17.25" customHeight="1">
      <c r="A3" s="46" ph="1"/>
      <c r="B3" s="46" ph="1"/>
      <c r="C3" s="46" ph="1"/>
      <c r="D3" s="46" ph="1"/>
      <c r="E3" s="46" ph="1"/>
      <c r="F3" s="46" ph="1"/>
      <c r="G3" s="46" ph="1"/>
      <c r="H3" s="46" ph="1"/>
      <c r="I3" s="46" ph="1"/>
      <c r="J3" s="46" ph="1"/>
      <c r="K3" s="46" ph="1"/>
      <c r="L3" s="46" ph="1"/>
      <c r="M3" s="46" ph="1"/>
      <c r="N3" s="3" ph="1"/>
    </row>
    <row r="4" spans="1:14" s="4" customFormat="1" ht="17.25" customHeight="1">
      <c r="A4" s="5" ph="1"/>
      <c r="B4" s="4" ph="1"/>
      <c r="C4" s="4" ph="1"/>
      <c r="D4" s="239" t="s" ph="1">
        <v>206</v>
      </c>
      <c r="E4" s="239" ph="1"/>
      <c r="F4" s="239" ph="1"/>
      <c r="G4" s="6" ph="1"/>
      <c r="H4" s="7" ph="1"/>
      <c r="I4" s="240" t="s" ph="1">
        <v>1</v>
      </c>
      <c r="J4" s="240" ph="1"/>
      <c r="K4" s="240" ph="1"/>
      <c r="L4" s="240" ph="1"/>
      <c r="M4" s="240" ph="1"/>
      <c r="N4" s="240" ph="1"/>
    </row>
    <row r="5" spans="1:14" s="78" customFormat="1" ht="17.25" customHeight="1">
      <c r="A5" s="77" ph="1"/>
      <c r="B5" s="78" ph="1"/>
      <c r="C5" s="78" ph="1"/>
      <c r="D5" s="241" t="s" ph="1">
        <v>205</v>
      </c>
      <c r="E5" s="241" ph="1"/>
      <c r="F5" s="241" ph="1"/>
      <c r="G5" s="79" ph="1"/>
      <c r="H5" s="76" ph="1"/>
      <c r="I5" s="241" t="s" ph="1">
        <v>204</v>
      </c>
      <c r="J5" s="241" ph="1"/>
      <c r="K5" s="241" ph="1"/>
      <c r="L5" s="241" ph="1"/>
      <c r="M5" s="241" ph="1"/>
      <c r="N5" s="241" ph="1"/>
    </row>
    <row r="6" spans="1:14" s="78" customFormat="1" ht="21.6" customHeight="1">
      <c r="A6" s="34" ph="1"/>
      <c r="B6" s="34" ph="1"/>
      <c r="C6" s="34" ph="1"/>
      <c r="D6" s="8" ph="1"/>
      <c r="E6" s="10" t="s" ph="1">
        <v>203</v>
      </c>
      <c r="F6" s="10" t="s" ph="1">
        <v>202</v>
      </c>
      <c r="G6" s="9" ph="1"/>
      <c r="H6" s="35" ph="1"/>
      <c r="I6" s="242" ph="1"/>
      <c r="J6" s="242" ph="1"/>
      <c r="K6" s="243" t="s" ph="1">
        <v>201</v>
      </c>
      <c r="L6" s="243" ph="1"/>
      <c r="M6" s="243" t="s" ph="1">
        <v>200</v>
      </c>
      <c r="N6" s="243" ph="1"/>
    </row>
    <row r="7" spans="1:14" s="78" customFormat="1" ht="17.25" customHeight="1">
      <c r="A7" s="34" ph="1"/>
      <c r="B7" s="34" ph="1"/>
      <c r="C7" s="34" ph="1"/>
      <c r="D7" s="8" t="s" ph="1">
        <v>199</v>
      </c>
      <c r="E7" s="10" t="s" ph="1">
        <v>198</v>
      </c>
      <c r="F7" s="10" t="s" ph="1">
        <v>197</v>
      </c>
      <c r="G7" s="9" ph="1"/>
      <c r="H7" s="35" ph="1"/>
      <c r="I7" s="247" t="s" ph="1">
        <v>196</v>
      </c>
      <c r="J7" s="247" ph="1"/>
      <c r="K7" s="242" t="s" ph="1">
        <v>195</v>
      </c>
      <c r="L7" s="242" ph="1"/>
      <c r="M7" s="242" t="s" ph="1">
        <v>194</v>
      </c>
      <c r="N7" s="242" ph="1"/>
    </row>
    <row r="8" spans="1:14" s="41" customFormat="1" ht="17.25" customHeight="1">
      <c r="A8" s="64" ph="1"/>
      <c r="B8" s="76" ph="1"/>
      <c r="C8" s="76" ph="1"/>
      <c r="D8" s="71" t="s" ph="1">
        <v>193</v>
      </c>
      <c r="E8" s="71" t="s" ph="1">
        <v>192</v>
      </c>
      <c r="F8" s="71" t="s" ph="1">
        <v>191</v>
      </c>
      <c r="G8" s="73" ph="1"/>
      <c r="H8" s="31" ph="1"/>
      <c r="I8" s="244" t="s" ph="1">
        <v>190</v>
      </c>
      <c r="J8" s="244" ph="1"/>
      <c r="K8" s="245" t="s" ph="1">
        <v>189</v>
      </c>
      <c r="L8" s="245" ph="1"/>
      <c r="M8" s="77" ph="1"/>
      <c r="N8" s="77" t="s" ph="1">
        <v>188</v>
      </c>
    </row>
    <row r="9" spans="1:14" s="41" customFormat="1" ht="17.25" customHeight="1">
      <c r="A9" s="64" ph="1"/>
      <c r="B9" s="76" ph="1"/>
      <c r="C9" s="76" ph="1"/>
      <c r="D9" s="71" ph="1"/>
      <c r="E9" s="71" ph="1"/>
      <c r="F9" s="71" t="s" ph="1">
        <v>187</v>
      </c>
      <c r="G9" s="73" ph="1"/>
      <c r="H9" s="31" ph="1"/>
      <c r="I9" s="76" ph="1"/>
      <c r="J9" s="76" ph="1"/>
      <c r="K9" s="246" t="s" ph="1">
        <v>186</v>
      </c>
      <c r="L9" s="246" ph="1"/>
      <c r="M9" s="246" t="s" ph="1">
        <v>185</v>
      </c>
      <c r="N9" s="246" ph="1"/>
    </row>
    <row r="10" spans="1:14" s="41" customFormat="1" ht="17.25" customHeight="1">
      <c r="A10" s="11" ph="1"/>
      <c r="B10" s="7" ph="1"/>
      <c r="C10" s="7" ph="1"/>
      <c r="D10" s="8" t="s" ph="1">
        <v>35</v>
      </c>
      <c r="E10" s="8" t="s" ph="1">
        <v>39</v>
      </c>
      <c r="F10" s="8" t="s" ph="1">
        <v>39</v>
      </c>
      <c r="G10" s="12" ph="1"/>
      <c r="H10" s="33" ph="1"/>
      <c r="I10" s="34" t="s" ph="1">
        <v>37</v>
      </c>
      <c r="J10" s="34" t="s" ph="1">
        <v>35</v>
      </c>
      <c r="K10" s="34" t="s" ph="1">
        <v>37</v>
      </c>
      <c r="L10" s="34" t="s" ph="1">
        <v>35</v>
      </c>
      <c r="M10" s="34" t="s" ph="1">
        <v>37</v>
      </c>
      <c r="N10" s="34" t="s" ph="1">
        <v>35</v>
      </c>
    </row>
    <row r="11" spans="1:14" s="41" customFormat="1" ht="17.25" customHeight="1">
      <c r="A11" s="75"/>
      <c r="B11" s="74"/>
      <c r="C11" s="74"/>
      <c r="D11" s="71" t="s">
        <v>182</v>
      </c>
      <c r="E11" s="71" t="s">
        <v>184</v>
      </c>
      <c r="F11" s="71" t="s">
        <v>184</v>
      </c>
      <c r="G11" s="73"/>
      <c r="H11" s="31"/>
      <c r="I11" s="72" t="s">
        <v>183</v>
      </c>
      <c r="J11" s="71" t="s">
        <v>182</v>
      </c>
      <c r="K11" s="72" t="s">
        <v>183</v>
      </c>
      <c r="L11" s="71" t="s">
        <v>182</v>
      </c>
      <c r="M11" s="72" t="s">
        <v>183</v>
      </c>
      <c r="N11" s="71" t="s">
        <v>182</v>
      </c>
    </row>
    <row r="12" spans="1:14" s="41" customFormat="1" ht="7.15" customHeight="1">
      <c r="A12" s="70" ph="1"/>
      <c r="B12" s="69" ph="1"/>
      <c r="C12" s="69" ph="1"/>
      <c r="D12" s="65" ph="1"/>
      <c r="E12" s="65" ph="1"/>
      <c r="F12" s="65" ph="1"/>
      <c r="G12" s="68" ph="1"/>
      <c r="H12" s="67" ph="1"/>
      <c r="I12" s="66" ph="1"/>
      <c r="J12" s="65" ph="1"/>
      <c r="K12" s="66" ph="1"/>
      <c r="L12" s="65" ph="1"/>
      <c r="M12" s="66" ph="1"/>
      <c r="N12" s="65" ph="1"/>
    </row>
    <row r="13" spans="1:14" s="41" customFormat="1" ht="5.25" customHeight="1">
      <c r="A13" s="13" ph="1"/>
      <c r="B13" s="1" ph="1"/>
      <c r="C13" s="1" ph="1"/>
      <c r="D13" s="29" ph="1"/>
      <c r="E13" s="29" ph="1"/>
      <c r="F13" s="29" ph="1"/>
      <c r="G13" s="14" ph="1"/>
      <c r="H13" s="15" ph="1"/>
      <c r="I13" s="1" ph="1"/>
      <c r="J13" s="1" ph="1"/>
      <c r="K13" s="1" ph="1"/>
      <c r="L13" s="1" ph="1"/>
      <c r="M13" s="1" ph="1"/>
      <c r="N13" s="1" ph="1"/>
    </row>
    <row r="14" spans="1:14" s="41" customFormat="1" ht="15.2" customHeight="1">
      <c r="A14" s="11" t="s" ph="1">
        <v>181</v>
      </c>
      <c r="B14" s="1" ph="1"/>
      <c r="C14" s="1" ph="1"/>
      <c r="D14" s="29" ph="1"/>
      <c r="E14" s="29" ph="1"/>
      <c r="F14" s="29" ph="1"/>
      <c r="G14" s="14" ph="1"/>
      <c r="H14" s="15" ph="1"/>
      <c r="I14" s="1" ph="1"/>
      <c r="J14" s="1" ph="1"/>
      <c r="K14" s="1" ph="1"/>
      <c r="L14" s="1" ph="1"/>
      <c r="M14" s="1" ph="1"/>
      <c r="N14" s="1" ph="1"/>
    </row>
    <row r="15" spans="1:14" s="41" customFormat="1" ht="15.2" customHeight="1">
      <c r="A15" s="64" t="s">
        <v>180</v>
      </c>
      <c r="B15" s="1"/>
      <c r="C15" s="1"/>
      <c r="D15" s="29"/>
      <c r="E15" s="29"/>
      <c r="F15" s="29"/>
      <c r="G15" s="14"/>
      <c r="H15" s="15"/>
      <c r="I15" s="1"/>
      <c r="J15" s="1"/>
      <c r="K15" s="1"/>
      <c r="L15" s="1"/>
      <c r="M15" s="1"/>
      <c r="N15" s="1"/>
    </row>
    <row r="16" spans="1:14" s="41" customFormat="1" ht="15.2" customHeight="1">
      <c r="A16" s="11"/>
      <c r="B16" s="1"/>
      <c r="C16" s="1"/>
      <c r="D16" s="29"/>
      <c r="E16" s="29"/>
      <c r="F16" s="29"/>
      <c r="G16" s="14"/>
      <c r="H16" s="15"/>
      <c r="I16" s="1"/>
      <c r="J16" s="1"/>
      <c r="K16" s="1"/>
      <c r="L16" s="1"/>
      <c r="M16" s="1"/>
      <c r="N16" s="1"/>
    </row>
    <row r="17" spans="1:16" s="41" customFormat="1" ht="15.2" customHeight="1">
      <c r="A17" s="11">
        <v>1996</v>
      </c>
      <c r="B17" s="5" t="s">
        <v>150</v>
      </c>
      <c r="C17" s="37" t="s">
        <v>149</v>
      </c>
      <c r="D17" s="16">
        <v>297515</v>
      </c>
      <c r="E17" s="30" t="s">
        <v>177</v>
      </c>
      <c r="F17" s="30" t="s">
        <v>177</v>
      </c>
      <c r="G17" s="17"/>
      <c r="H17" s="18"/>
      <c r="I17" s="19">
        <v>9280</v>
      </c>
      <c r="J17" s="19">
        <v>14627</v>
      </c>
      <c r="K17" s="19">
        <v>10055</v>
      </c>
      <c r="L17" s="19">
        <v>15636</v>
      </c>
      <c r="M17" s="19">
        <v>7099</v>
      </c>
      <c r="N17" s="19">
        <v>11109</v>
      </c>
    </row>
    <row r="18" spans="1:16" s="41" customFormat="1" ht="15.2" customHeight="1">
      <c r="A18" s="11"/>
      <c r="B18" s="5" t="s">
        <v>148</v>
      </c>
      <c r="C18" s="37" t="s">
        <v>147</v>
      </c>
      <c r="D18" s="16">
        <v>302996</v>
      </c>
      <c r="E18" s="30" t="s">
        <v>177</v>
      </c>
      <c r="F18" s="30" t="s">
        <v>177</v>
      </c>
      <c r="G18" s="17"/>
      <c r="H18" s="18"/>
      <c r="I18" s="19">
        <v>11873</v>
      </c>
      <c r="J18" s="19">
        <v>17659</v>
      </c>
      <c r="K18" s="19">
        <v>11207</v>
      </c>
      <c r="L18" s="19">
        <v>17065</v>
      </c>
      <c r="M18" s="19">
        <v>6887</v>
      </c>
      <c r="N18" s="19">
        <v>10696</v>
      </c>
    </row>
    <row r="19" spans="1:16" s="41" customFormat="1" ht="15.2" customHeight="1">
      <c r="A19" s="11"/>
      <c r="B19" s="5" t="s">
        <v>146</v>
      </c>
      <c r="C19" s="37" t="s">
        <v>145</v>
      </c>
      <c r="D19" s="16">
        <v>304784</v>
      </c>
      <c r="E19" s="30" t="s">
        <v>177</v>
      </c>
      <c r="F19" s="30" t="s">
        <v>177</v>
      </c>
      <c r="G19" s="17"/>
      <c r="H19" s="18"/>
      <c r="I19" s="19">
        <v>9039</v>
      </c>
      <c r="J19" s="19">
        <v>13397</v>
      </c>
      <c r="K19" s="19">
        <v>8464</v>
      </c>
      <c r="L19" s="19">
        <v>11894</v>
      </c>
      <c r="M19" s="19">
        <v>5683</v>
      </c>
      <c r="N19" s="19">
        <v>8102</v>
      </c>
      <c r="P19" s="41" t="s">
        <v>176</v>
      </c>
    </row>
    <row r="20" spans="1:16" s="41" customFormat="1" ht="15.2" customHeight="1">
      <c r="A20" s="11"/>
      <c r="B20" s="5" t="s">
        <v>144</v>
      </c>
      <c r="C20" s="37" t="s">
        <v>143</v>
      </c>
      <c r="D20" s="16">
        <v>307843</v>
      </c>
      <c r="E20" s="30" t="s">
        <v>177</v>
      </c>
      <c r="F20" s="30" t="s">
        <v>177</v>
      </c>
      <c r="G20" s="17"/>
      <c r="H20" s="18"/>
      <c r="I20" s="19">
        <v>8220</v>
      </c>
      <c r="J20" s="19">
        <v>11673</v>
      </c>
      <c r="K20" s="19">
        <v>9804</v>
      </c>
      <c r="L20" s="19">
        <v>14220</v>
      </c>
      <c r="M20" s="19">
        <v>6630</v>
      </c>
      <c r="N20" s="19">
        <v>9958</v>
      </c>
    </row>
    <row r="21" spans="1:16" s="41" customFormat="1" ht="15.2" customHeight="1">
      <c r="A21" s="11"/>
      <c r="B21" s="5" t="s">
        <v>142</v>
      </c>
      <c r="C21" s="37" t="s">
        <v>141</v>
      </c>
      <c r="D21" s="16">
        <v>313886</v>
      </c>
      <c r="E21" s="30" t="s">
        <v>177</v>
      </c>
      <c r="F21" s="30" t="s">
        <v>177</v>
      </c>
      <c r="G21" s="17"/>
      <c r="H21" s="18"/>
      <c r="I21" s="19">
        <v>10578</v>
      </c>
      <c r="J21" s="19">
        <v>15499</v>
      </c>
      <c r="K21" s="19">
        <v>11588</v>
      </c>
      <c r="L21" s="19">
        <v>18264</v>
      </c>
      <c r="M21" s="19">
        <v>7179</v>
      </c>
      <c r="N21" s="19">
        <v>11517</v>
      </c>
    </row>
    <row r="22" spans="1:16" s="41" customFormat="1" ht="15.2" customHeight="1">
      <c r="A22" s="11" ph="1"/>
      <c r="B22" s="5" t="s" ph="1">
        <v>140</v>
      </c>
      <c r="C22" s="37" t="s" ph="1">
        <v>139</v>
      </c>
      <c r="D22" s="16" ph="1">
        <v>319902</v>
      </c>
      <c r="E22" s="30" t="s" ph="1">
        <v>177</v>
      </c>
      <c r="F22" s="30" t="s" ph="1">
        <v>177</v>
      </c>
      <c r="G22" s="17" ph="1"/>
      <c r="H22" s="18" ph="1"/>
      <c r="I22" s="19" ph="1">
        <v>11180</v>
      </c>
      <c r="J22" s="19" ph="1">
        <v>16807</v>
      </c>
      <c r="K22" s="19" ph="1">
        <v>12965</v>
      </c>
      <c r="L22" s="19" ph="1">
        <v>20771</v>
      </c>
      <c r="M22" s="19" ph="1">
        <v>8448</v>
      </c>
      <c r="N22" s="19" ph="1">
        <v>13841</v>
      </c>
    </row>
    <row r="23" spans="1:16" s="41" customFormat="1" ht="15.2" customHeight="1">
      <c r="A23" s="11"/>
      <c r="B23" s="5" t="s">
        <v>138</v>
      </c>
      <c r="C23" s="37" t="s">
        <v>137</v>
      </c>
      <c r="D23" s="16">
        <v>330426</v>
      </c>
      <c r="E23" s="30" t="s">
        <v>177</v>
      </c>
      <c r="F23" s="30" t="s">
        <v>177</v>
      </c>
      <c r="G23" s="17"/>
      <c r="H23" s="18"/>
      <c r="I23" s="19">
        <v>12861</v>
      </c>
      <c r="J23" s="19">
        <v>19544</v>
      </c>
      <c r="K23" s="19">
        <v>12477</v>
      </c>
      <c r="L23" s="19">
        <v>20233</v>
      </c>
      <c r="M23" s="19">
        <v>7529</v>
      </c>
      <c r="N23" s="19">
        <v>12675</v>
      </c>
    </row>
    <row r="24" spans="1:16" s="41" customFormat="1" ht="15.2" customHeight="1">
      <c r="A24" s="11"/>
      <c r="B24" s="5"/>
      <c r="D24" s="16"/>
      <c r="E24" s="30"/>
      <c r="F24" s="30"/>
      <c r="G24" s="17"/>
      <c r="H24" s="18"/>
      <c r="I24" s="19"/>
      <c r="J24" s="19"/>
      <c r="K24" s="19"/>
      <c r="L24" s="19"/>
      <c r="M24" s="19"/>
      <c r="N24" s="19"/>
    </row>
    <row r="25" spans="1:16" s="41" customFormat="1" ht="15.2" customHeight="1">
      <c r="A25" s="11">
        <v>1997</v>
      </c>
      <c r="B25" s="5" t="s">
        <v>136</v>
      </c>
      <c r="C25" s="37" t="s">
        <v>135</v>
      </c>
      <c r="D25" s="16">
        <v>338890</v>
      </c>
      <c r="E25" s="30" t="s">
        <v>177</v>
      </c>
      <c r="F25" s="30" t="s">
        <v>177</v>
      </c>
      <c r="G25" s="17"/>
      <c r="H25" s="18"/>
      <c r="I25" s="19">
        <v>13014</v>
      </c>
      <c r="J25" s="19">
        <v>20626</v>
      </c>
      <c r="K25" s="19">
        <v>13444</v>
      </c>
      <c r="L25" s="19">
        <v>23403</v>
      </c>
      <c r="M25" s="19">
        <v>8248</v>
      </c>
      <c r="N25" s="19">
        <v>14999</v>
      </c>
    </row>
    <row r="26" spans="1:16" s="41" customFormat="1" ht="15.2" customHeight="1">
      <c r="A26" s="11"/>
      <c r="B26" s="5" t="s">
        <v>152</v>
      </c>
      <c r="C26" s="37" t="s">
        <v>134</v>
      </c>
      <c r="D26" s="16">
        <v>347877</v>
      </c>
      <c r="E26" s="30" t="s">
        <v>177</v>
      </c>
      <c r="F26" s="30" t="s">
        <v>177</v>
      </c>
      <c r="G26" s="17"/>
      <c r="H26" s="18"/>
      <c r="I26" s="19">
        <v>10260</v>
      </c>
      <c r="J26" s="19">
        <v>18799</v>
      </c>
      <c r="K26" s="19">
        <v>9598</v>
      </c>
      <c r="L26" s="19">
        <v>18026</v>
      </c>
      <c r="M26" s="19">
        <v>5882</v>
      </c>
      <c r="N26" s="19">
        <v>10908</v>
      </c>
    </row>
    <row r="27" spans="1:16" s="41" customFormat="1" ht="15.2" customHeight="1">
      <c r="A27" s="11"/>
      <c r="B27" s="5" t="s">
        <v>154</v>
      </c>
      <c r="C27" s="37" t="s">
        <v>157</v>
      </c>
      <c r="D27" s="16">
        <v>353377</v>
      </c>
      <c r="E27" s="30" t="s">
        <v>177</v>
      </c>
      <c r="F27" s="30" t="s">
        <v>177</v>
      </c>
      <c r="G27" s="17"/>
      <c r="H27" s="18"/>
      <c r="I27" s="19">
        <v>9659</v>
      </c>
      <c r="J27" s="19">
        <v>16797</v>
      </c>
      <c r="K27" s="19">
        <v>11723</v>
      </c>
      <c r="L27" s="19">
        <v>21093</v>
      </c>
      <c r="M27" s="19">
        <v>7737</v>
      </c>
      <c r="N27" s="19">
        <v>14144</v>
      </c>
    </row>
    <row r="28" spans="1:16" s="41" customFormat="1" ht="15.2" customHeight="1">
      <c r="A28" s="11"/>
      <c r="B28" s="5" t="s">
        <v>151</v>
      </c>
      <c r="C28" s="37" t="s">
        <v>153</v>
      </c>
      <c r="D28" s="16">
        <v>361879</v>
      </c>
      <c r="E28" s="30" t="s">
        <v>177</v>
      </c>
      <c r="F28" s="30" t="s">
        <v>177</v>
      </c>
      <c r="G28" s="17"/>
      <c r="H28" s="18"/>
      <c r="I28" s="19">
        <v>12837</v>
      </c>
      <c r="J28" s="19">
        <v>22713</v>
      </c>
      <c r="K28" s="19">
        <v>15238</v>
      </c>
      <c r="L28" s="19">
        <v>28763</v>
      </c>
      <c r="M28" s="19">
        <v>8927</v>
      </c>
      <c r="N28" s="19">
        <v>17318</v>
      </c>
    </row>
    <row r="29" spans="1:16" s="41" customFormat="1" ht="15.2" customHeight="1">
      <c r="A29" s="11"/>
      <c r="B29" s="5" t="s">
        <v>110</v>
      </c>
      <c r="C29" s="37" t="s">
        <v>133</v>
      </c>
      <c r="D29" s="16">
        <v>371783</v>
      </c>
      <c r="E29" s="30" t="s">
        <v>177</v>
      </c>
      <c r="F29" s="30" t="s">
        <v>177</v>
      </c>
      <c r="G29" s="17"/>
      <c r="H29" s="18"/>
      <c r="I29" s="19">
        <v>13662</v>
      </c>
      <c r="J29" s="19">
        <v>26047</v>
      </c>
      <c r="K29" s="19">
        <v>15838</v>
      </c>
      <c r="L29" s="19">
        <v>30082</v>
      </c>
      <c r="M29" s="19">
        <v>9810</v>
      </c>
      <c r="N29" s="19">
        <v>18946</v>
      </c>
    </row>
    <row r="30" spans="1:16" s="41" customFormat="1" ht="15.2" customHeight="1">
      <c r="A30" s="11"/>
      <c r="B30" s="5" t="s">
        <v>150</v>
      </c>
      <c r="C30" s="37" t="s">
        <v>149</v>
      </c>
      <c r="D30" s="16">
        <v>379607</v>
      </c>
      <c r="E30" s="30" t="s">
        <v>177</v>
      </c>
      <c r="F30" s="30" t="s">
        <v>177</v>
      </c>
      <c r="G30" s="17"/>
      <c r="H30" s="18"/>
      <c r="I30" s="19">
        <v>13561</v>
      </c>
      <c r="J30" s="19">
        <v>25529</v>
      </c>
      <c r="K30" s="19">
        <v>15778</v>
      </c>
      <c r="L30" s="19">
        <v>31530</v>
      </c>
      <c r="M30" s="19">
        <v>9764</v>
      </c>
      <c r="N30" s="19">
        <v>20369</v>
      </c>
    </row>
    <row r="31" spans="1:16" s="41" customFormat="1" ht="15.2" customHeight="1">
      <c r="A31" s="11" ph="1"/>
      <c r="B31" s="5" t="s" ph="1">
        <v>148</v>
      </c>
      <c r="C31" s="37" t="s" ph="1">
        <v>147</v>
      </c>
      <c r="D31" s="16" ph="1">
        <v>395352</v>
      </c>
      <c r="E31" s="30" t="s" ph="1">
        <v>177</v>
      </c>
      <c r="F31" s="30" t="s" ph="1">
        <v>177</v>
      </c>
      <c r="G31" s="17" ph="1"/>
      <c r="H31" s="18" ph="1"/>
      <c r="I31" s="19" ph="1">
        <v>16716</v>
      </c>
      <c r="J31" s="19" ph="1">
        <v>32495</v>
      </c>
      <c r="K31" s="19" ph="1">
        <v>16174</v>
      </c>
      <c r="L31" s="19" ph="1">
        <v>33702</v>
      </c>
      <c r="M31" s="19" ph="1">
        <v>8852</v>
      </c>
      <c r="N31" s="19" ph="1">
        <v>19547</v>
      </c>
    </row>
    <row r="32" spans="1:16" s="41" customFormat="1" ht="15.2" customHeight="1">
      <c r="A32" s="11"/>
      <c r="B32" s="5" t="s">
        <v>146</v>
      </c>
      <c r="C32" s="37" t="s">
        <v>145</v>
      </c>
      <c r="D32" s="16">
        <v>406916</v>
      </c>
      <c r="E32" s="30" t="s">
        <v>177</v>
      </c>
      <c r="F32" s="30" t="s">
        <v>177</v>
      </c>
      <c r="G32" s="17"/>
      <c r="H32" s="18"/>
      <c r="I32" s="19">
        <v>11712</v>
      </c>
      <c r="J32" s="19">
        <v>24917</v>
      </c>
      <c r="K32" s="19">
        <v>11691</v>
      </c>
      <c r="L32" s="19">
        <v>25711</v>
      </c>
      <c r="M32" s="19">
        <v>7859</v>
      </c>
      <c r="N32" s="19">
        <v>17693</v>
      </c>
    </row>
    <row r="33" spans="1:14" s="41" customFormat="1" ht="15.2" customHeight="1">
      <c r="A33" s="11" ph="1"/>
      <c r="B33" s="5" t="s" ph="1">
        <v>144</v>
      </c>
      <c r="C33" s="37" t="s" ph="1">
        <v>143</v>
      </c>
      <c r="D33" s="16" ph="1">
        <v>419020</v>
      </c>
      <c r="E33" s="30" t="s" ph="1">
        <v>177</v>
      </c>
      <c r="F33" s="30" t="s" ph="1">
        <v>177</v>
      </c>
      <c r="G33" s="17" ph="1"/>
      <c r="H33" s="18" ph="1"/>
      <c r="I33" s="19" ph="1">
        <v>11928</v>
      </c>
      <c r="J33" s="19" ph="1">
        <v>25452</v>
      </c>
      <c r="K33" s="19" ph="1">
        <v>9688</v>
      </c>
      <c r="L33" s="19" ph="1">
        <v>19831</v>
      </c>
      <c r="M33" s="19" ph="1">
        <v>5766</v>
      </c>
      <c r="N33" s="19" ph="1">
        <v>11791</v>
      </c>
    </row>
    <row r="34" spans="1:14" s="41" customFormat="1" ht="15.2" customHeight="1">
      <c r="A34" s="11" ph="1"/>
      <c r="B34" s="5" t="s" ph="1">
        <v>142</v>
      </c>
      <c r="C34" s="37" t="s" ph="1">
        <v>141</v>
      </c>
      <c r="D34" s="16" ph="1">
        <v>420809</v>
      </c>
      <c r="E34" s="30" t="s" ph="1">
        <v>177</v>
      </c>
      <c r="F34" s="30" t="s" ph="1">
        <v>177</v>
      </c>
      <c r="G34" s="17" ph="1"/>
      <c r="H34" s="18" ph="1"/>
      <c r="I34" s="19" ph="1">
        <v>9144</v>
      </c>
      <c r="J34" s="19" ph="1">
        <v>17865</v>
      </c>
      <c r="K34" s="19" ph="1">
        <v>10666</v>
      </c>
      <c r="L34" s="19" ph="1">
        <v>21971</v>
      </c>
      <c r="M34" s="19" ph="1">
        <v>7018</v>
      </c>
      <c r="N34" s="19" ph="1">
        <v>14747</v>
      </c>
    </row>
    <row r="35" spans="1:14" s="41" customFormat="1" ht="15.2" customHeight="1">
      <c r="A35" s="11" ph="1"/>
      <c r="B35" s="5" t="s" ph="1">
        <v>140</v>
      </c>
      <c r="C35" s="37" t="s" ph="1">
        <v>139</v>
      </c>
      <c r="D35" s="16" ph="1">
        <v>425784</v>
      </c>
      <c r="E35" s="30" t="s" ph="1">
        <v>177</v>
      </c>
      <c r="F35" s="30" t="s" ph="1">
        <v>177</v>
      </c>
      <c r="G35" s="17" ph="1"/>
      <c r="H35" s="18" ph="1"/>
      <c r="I35" s="19" ph="1">
        <v>8343</v>
      </c>
      <c r="J35" s="19" ph="1">
        <v>15299</v>
      </c>
      <c r="K35" s="19" ph="1">
        <v>6311</v>
      </c>
      <c r="L35" s="19" ph="1">
        <v>11956</v>
      </c>
      <c r="M35" s="19" ph="1">
        <v>4326</v>
      </c>
      <c r="N35" s="19" ph="1">
        <v>8606</v>
      </c>
    </row>
    <row r="36" spans="1:14" s="41" customFormat="1" ht="15.2" customHeight="1">
      <c r="A36" s="11" ph="1"/>
      <c r="B36" s="5" t="s" ph="1">
        <v>138</v>
      </c>
      <c r="C36" s="37" t="s" ph="1">
        <v>137</v>
      </c>
      <c r="D36" s="16" ph="1">
        <v>425469</v>
      </c>
      <c r="E36" s="30" t="s" ph="1">
        <v>177</v>
      </c>
      <c r="F36" s="30" t="s" ph="1">
        <v>177</v>
      </c>
      <c r="G36" s="17" ph="1"/>
      <c r="H36" s="18" ph="1"/>
      <c r="I36" s="19" ph="1">
        <v>5253</v>
      </c>
      <c r="J36" s="19" ph="1">
        <v>9767</v>
      </c>
      <c r="K36" s="19" ph="1">
        <v>4307</v>
      </c>
      <c r="L36" s="19" ph="1">
        <v>8394</v>
      </c>
      <c r="M36" s="19" ph="1">
        <v>2464</v>
      </c>
      <c r="N36" s="19" ph="1">
        <v>5320</v>
      </c>
    </row>
    <row r="37" spans="1:14" s="41" customFormat="1" ht="15.2" customHeight="1">
      <c r="A37" s="11" ph="1"/>
      <c r="B37" s="5" ph="1"/>
      <c r="C37" s="41" ph="1"/>
      <c r="D37" s="16" ph="1"/>
      <c r="E37" s="30" ph="1"/>
      <c r="F37" s="30" ph="1"/>
      <c r="G37" s="17" ph="1"/>
      <c r="H37" s="18" ph="1"/>
      <c r="I37" s="19" ph="1"/>
      <c r="J37" s="19" ph="1"/>
      <c r="K37" s="19" ph="1"/>
      <c r="L37" s="19" ph="1"/>
      <c r="M37" s="19" ph="1"/>
      <c r="N37" s="19" ph="1"/>
    </row>
    <row r="38" spans="1:14" s="41" customFormat="1" ht="15.2" customHeight="1">
      <c r="A38" s="11" ph="1">
        <v>1998</v>
      </c>
      <c r="B38" s="5" t="s" ph="1">
        <v>136</v>
      </c>
      <c r="C38" s="37" t="s" ph="1">
        <v>135</v>
      </c>
      <c r="D38" s="16" ph="1">
        <v>428385</v>
      </c>
      <c r="E38" s="30" t="s" ph="1">
        <v>177</v>
      </c>
      <c r="F38" s="30" t="s" ph="1">
        <v>177</v>
      </c>
      <c r="G38" s="17" ph="1"/>
      <c r="H38" s="18" ph="1"/>
      <c r="I38" s="19" ph="1">
        <v>4267</v>
      </c>
      <c r="J38" s="19" ph="1">
        <v>8305</v>
      </c>
      <c r="K38" s="19" ph="1">
        <v>4445</v>
      </c>
      <c r="L38" s="19" ph="1">
        <v>9174</v>
      </c>
      <c r="M38" s="19" ph="1">
        <v>2679</v>
      </c>
      <c r="N38" s="19" ph="1">
        <v>5986</v>
      </c>
    </row>
    <row r="39" spans="1:14" s="41" customFormat="1" ht="15.2" customHeight="1">
      <c r="A39" s="11" ph="1"/>
      <c r="B39" s="5" t="s" ph="1">
        <v>152</v>
      </c>
      <c r="C39" s="37" t="s" ph="1">
        <v>134</v>
      </c>
      <c r="D39" s="16" ph="1">
        <v>430975</v>
      </c>
      <c r="E39" s="30" t="s" ph="1">
        <v>177</v>
      </c>
      <c r="F39" s="30" t="s" ph="1">
        <v>177</v>
      </c>
      <c r="G39" s="17" ph="1"/>
      <c r="H39" s="18" ph="1"/>
      <c r="I39" s="19" ph="1">
        <v>4104</v>
      </c>
      <c r="J39" s="19" ph="1">
        <v>8178</v>
      </c>
      <c r="K39" s="19" ph="1">
        <v>4738</v>
      </c>
      <c r="L39" s="19" ph="1">
        <v>9422</v>
      </c>
      <c r="M39" s="19" ph="1">
        <v>3023</v>
      </c>
      <c r="N39" s="19" ph="1">
        <v>6290</v>
      </c>
    </row>
    <row r="40" spans="1:14" s="41" customFormat="1" ht="15.2" customHeight="1">
      <c r="A40" s="11" ph="1"/>
      <c r="B40" s="5" t="s" ph="1">
        <v>154</v>
      </c>
      <c r="C40" s="37" t="s" ph="1">
        <v>157</v>
      </c>
      <c r="D40" s="16" ph="1">
        <v>436433</v>
      </c>
      <c r="E40" s="30" t="s" ph="1">
        <v>177</v>
      </c>
      <c r="F40" s="30" t="s" ph="1">
        <v>177</v>
      </c>
      <c r="G40" s="17" ph="1"/>
      <c r="H40" s="18" ph="1"/>
      <c r="I40" s="19" ph="1">
        <v>6012</v>
      </c>
      <c r="J40" s="19" ph="1">
        <v>12627</v>
      </c>
      <c r="K40" s="19" ph="1">
        <v>6837</v>
      </c>
      <c r="L40" s="19" ph="1">
        <v>14630</v>
      </c>
      <c r="M40" s="19" ph="1">
        <v>3703</v>
      </c>
      <c r="N40" s="19" ph="1">
        <v>8057</v>
      </c>
    </row>
    <row r="41" spans="1:14" s="41" customFormat="1" ht="15.2" customHeight="1">
      <c r="A41" s="11" ph="1"/>
      <c r="B41" s="5" t="s" ph="1">
        <v>151</v>
      </c>
      <c r="C41" s="37" t="s" ph="1">
        <v>153</v>
      </c>
      <c r="D41" s="16" ph="1">
        <v>439284</v>
      </c>
      <c r="E41" s="30" t="s" ph="1">
        <v>177</v>
      </c>
      <c r="F41" s="30" t="s" ph="1">
        <v>177</v>
      </c>
      <c r="G41" s="17" ph="1"/>
      <c r="H41" s="18" ph="1"/>
      <c r="I41" s="19" ph="1">
        <v>5395</v>
      </c>
      <c r="J41" s="19" ph="1">
        <v>10275</v>
      </c>
      <c r="K41" s="19" ph="1">
        <v>5713</v>
      </c>
      <c r="L41" s="19" ph="1">
        <v>10222</v>
      </c>
      <c r="M41" s="19" ph="1">
        <v>3445</v>
      </c>
      <c r="N41" s="19" ph="1">
        <v>6440</v>
      </c>
    </row>
    <row r="42" spans="1:14" s="41" customFormat="1" ht="15.2" customHeight="1">
      <c r="A42" s="11" ph="1"/>
      <c r="B42" s="5" t="s" ph="1">
        <v>110</v>
      </c>
      <c r="C42" s="37" t="s" ph="1">
        <v>133</v>
      </c>
      <c r="D42" s="16" ph="1">
        <v>441367</v>
      </c>
      <c r="E42" s="30" t="s" ph="1">
        <v>177</v>
      </c>
      <c r="F42" s="30" t="s" ph="1">
        <v>177</v>
      </c>
      <c r="G42" s="17" ph="1"/>
      <c r="H42" s="18" ph="1"/>
      <c r="I42" s="19" ph="1">
        <v>5636</v>
      </c>
      <c r="J42" s="19" ph="1">
        <v>9526</v>
      </c>
      <c r="K42" s="19" ph="1">
        <v>6269</v>
      </c>
      <c r="L42" s="19" ph="1">
        <v>10500</v>
      </c>
      <c r="M42" s="19" ph="1">
        <v>3764</v>
      </c>
      <c r="N42" s="19" ph="1">
        <v>6627</v>
      </c>
    </row>
    <row r="43" spans="1:14" s="41" customFormat="1" ht="15.2" customHeight="1">
      <c r="A43" s="11"/>
      <c r="B43" s="5" t="s">
        <v>150</v>
      </c>
      <c r="C43" s="37" t="s">
        <v>149</v>
      </c>
      <c r="D43" s="16">
        <v>444148</v>
      </c>
      <c r="E43" s="30">
        <v>0.28999999999999998</v>
      </c>
      <c r="F43" s="30" t="s">
        <v>177</v>
      </c>
      <c r="G43" s="17"/>
      <c r="H43" s="18"/>
      <c r="I43" s="19">
        <v>5576</v>
      </c>
      <c r="J43" s="19">
        <v>9384</v>
      </c>
      <c r="K43" s="19">
        <v>6725</v>
      </c>
      <c r="L43" s="19">
        <v>11559</v>
      </c>
      <c r="M43" s="19">
        <v>4233</v>
      </c>
      <c r="N43" s="19">
        <v>7364</v>
      </c>
    </row>
    <row r="44" spans="1:14" s="41" customFormat="1" ht="15.2" customHeight="1">
      <c r="A44" s="11" ph="1"/>
      <c r="B44" s="5" t="s" ph="1">
        <v>148</v>
      </c>
      <c r="C44" s="37" t="s" ph="1">
        <v>147</v>
      </c>
      <c r="D44" s="16" ph="1">
        <v>447240</v>
      </c>
      <c r="E44" s="30" ph="1">
        <v>0.34</v>
      </c>
      <c r="F44" s="30" t="s" ph="1">
        <v>177</v>
      </c>
      <c r="G44" s="17" ph="1"/>
      <c r="H44" s="18" ph="1"/>
      <c r="I44" s="19" ph="1">
        <v>5831</v>
      </c>
      <c r="J44" s="19" ph="1">
        <v>9314</v>
      </c>
      <c r="K44" s="19" ph="1">
        <v>6559</v>
      </c>
      <c r="L44" s="19" ph="1">
        <v>10505</v>
      </c>
      <c r="M44" s="19" ph="1">
        <v>4712</v>
      </c>
      <c r="N44" s="19" ph="1">
        <v>7827</v>
      </c>
    </row>
    <row r="45" spans="1:14" s="41" customFormat="1" ht="15.2" customHeight="1">
      <c r="A45" s="11" ph="1"/>
      <c r="B45" s="5" t="s" ph="1">
        <v>146</v>
      </c>
      <c r="C45" s="37" t="s" ph="1">
        <v>145</v>
      </c>
      <c r="D45" s="16" ph="1">
        <v>450124</v>
      </c>
      <c r="E45" s="30" ph="1">
        <v>0.44</v>
      </c>
      <c r="F45" s="30" t="s" ph="1">
        <v>177</v>
      </c>
      <c r="G45" s="17" ph="1"/>
      <c r="H45" s="18" ph="1"/>
      <c r="I45" s="19" ph="1">
        <v>5205</v>
      </c>
      <c r="J45" s="19" ph="1">
        <v>8427</v>
      </c>
      <c r="K45" s="19" ph="1">
        <v>4055</v>
      </c>
      <c r="L45" s="19" ph="1">
        <v>6079</v>
      </c>
      <c r="M45" s="19" ph="1">
        <v>2516</v>
      </c>
      <c r="N45" s="19" ph="1">
        <v>3731</v>
      </c>
    </row>
    <row r="46" spans="1:14" s="41" customFormat="1" ht="15.2" customHeight="1">
      <c r="A46" s="11" ph="1"/>
      <c r="B46" s="5" t="s" ph="1">
        <v>144</v>
      </c>
      <c r="C46" s="37" t="s" ph="1">
        <v>143</v>
      </c>
      <c r="D46" s="16" ph="1">
        <v>451828</v>
      </c>
      <c r="E46" s="30" ph="1">
        <v>0.53</v>
      </c>
      <c r="F46" s="30" t="s" ph="1">
        <v>177</v>
      </c>
      <c r="G46" s="17" ph="1"/>
      <c r="H46" s="18" ph="1"/>
      <c r="I46" s="19" ph="1">
        <v>4677</v>
      </c>
      <c r="J46" s="19" ph="1">
        <v>6425</v>
      </c>
      <c r="K46" s="19" ph="1">
        <v>5646</v>
      </c>
      <c r="L46" s="19" ph="1">
        <v>7979</v>
      </c>
      <c r="M46" s="19" ph="1">
        <v>3720</v>
      </c>
      <c r="N46" s="19" ph="1">
        <v>5244</v>
      </c>
    </row>
    <row r="47" spans="1:14" s="41" customFormat="1" ht="15.2" customHeight="1">
      <c r="A47" s="11"/>
      <c r="B47" s="5" t="s">
        <v>142</v>
      </c>
      <c r="C47" s="37" t="s">
        <v>141</v>
      </c>
      <c r="D47" s="16">
        <v>451725</v>
      </c>
      <c r="E47" s="30">
        <v>0.68</v>
      </c>
      <c r="F47" s="30" t="s">
        <v>177</v>
      </c>
      <c r="G47" s="17"/>
      <c r="H47" s="18"/>
      <c r="I47" s="19">
        <v>4651</v>
      </c>
      <c r="J47" s="19">
        <v>6416</v>
      </c>
      <c r="K47" s="19">
        <v>6877</v>
      </c>
      <c r="L47" s="19">
        <v>9906</v>
      </c>
      <c r="M47" s="19">
        <v>5182</v>
      </c>
      <c r="N47" s="19">
        <v>7496</v>
      </c>
    </row>
    <row r="48" spans="1:14" s="41" customFormat="1" ht="15.2" customHeight="1">
      <c r="A48" s="11"/>
      <c r="B48" s="5" t="s">
        <v>140</v>
      </c>
      <c r="C48" s="37" t="s">
        <v>139</v>
      </c>
      <c r="D48" s="16">
        <v>455863</v>
      </c>
      <c r="E48" s="30">
        <v>0.78</v>
      </c>
      <c r="F48" s="30" t="s">
        <v>177</v>
      </c>
      <c r="G48" s="17"/>
      <c r="H48" s="18"/>
      <c r="I48" s="19">
        <v>6938</v>
      </c>
      <c r="J48" s="19">
        <v>10298</v>
      </c>
      <c r="K48" s="19">
        <v>9524</v>
      </c>
      <c r="L48" s="19">
        <v>14709</v>
      </c>
      <c r="M48" s="19">
        <v>6701</v>
      </c>
      <c r="N48" s="19">
        <v>10261</v>
      </c>
    </row>
    <row r="49" spans="1:14" s="41" customFormat="1" ht="15.2" customHeight="1">
      <c r="A49" s="11"/>
      <c r="B49" s="5" t="s">
        <v>138</v>
      </c>
      <c r="C49" s="37" t="s">
        <v>137</v>
      </c>
      <c r="D49" s="16">
        <v>459338</v>
      </c>
      <c r="E49" s="30">
        <v>0.84</v>
      </c>
      <c r="F49" s="30" t="s">
        <v>177</v>
      </c>
      <c r="G49" s="17"/>
      <c r="H49" s="18"/>
      <c r="I49" s="19">
        <v>8750</v>
      </c>
      <c r="J49" s="19">
        <v>13239</v>
      </c>
      <c r="K49" s="19">
        <v>7513</v>
      </c>
      <c r="L49" s="19">
        <v>11164</v>
      </c>
      <c r="M49" s="19">
        <v>5033</v>
      </c>
      <c r="N49" s="19">
        <v>7258</v>
      </c>
    </row>
    <row r="50" spans="1:14" s="41" customFormat="1" ht="15.2" customHeight="1">
      <c r="A50" s="11"/>
      <c r="B50" s="5"/>
      <c r="D50" s="16"/>
      <c r="E50" s="30"/>
      <c r="F50" s="30"/>
      <c r="G50" s="17"/>
      <c r="H50" s="18"/>
      <c r="I50" s="19"/>
      <c r="J50" s="19"/>
      <c r="K50" s="19"/>
      <c r="L50" s="19"/>
      <c r="M50" s="19"/>
      <c r="N50" s="19"/>
    </row>
    <row r="51" spans="1:14" s="41" customFormat="1" ht="15.2" customHeight="1">
      <c r="A51" s="11">
        <v>1999</v>
      </c>
      <c r="B51" s="5" t="s">
        <v>136</v>
      </c>
      <c r="C51" s="37" t="s">
        <v>135</v>
      </c>
      <c r="D51" s="16">
        <v>461047</v>
      </c>
      <c r="E51" s="30">
        <v>0.96</v>
      </c>
      <c r="F51" s="30" t="s">
        <v>177</v>
      </c>
      <c r="G51" s="17"/>
      <c r="H51" s="18"/>
      <c r="I51" s="19">
        <v>6054</v>
      </c>
      <c r="J51" s="19">
        <v>8572</v>
      </c>
      <c r="K51" s="19">
        <v>6412</v>
      </c>
      <c r="L51" s="19">
        <v>9434</v>
      </c>
      <c r="M51" s="19">
        <v>4847</v>
      </c>
      <c r="N51" s="19">
        <v>7139</v>
      </c>
    </row>
    <row r="52" spans="1:14" s="41" customFormat="1" ht="15.2" customHeight="1">
      <c r="A52" s="11"/>
      <c r="B52" s="5" t="s">
        <v>152</v>
      </c>
      <c r="C52" s="37" t="s">
        <v>134</v>
      </c>
      <c r="D52" s="16">
        <v>462680</v>
      </c>
      <c r="E52" s="30">
        <v>1.07</v>
      </c>
      <c r="F52" s="30" t="s">
        <v>177</v>
      </c>
      <c r="G52" s="17"/>
      <c r="H52" s="18"/>
      <c r="I52" s="19">
        <v>4918</v>
      </c>
      <c r="J52" s="19">
        <v>7192</v>
      </c>
      <c r="K52" s="19">
        <v>5263</v>
      </c>
      <c r="L52" s="19">
        <v>7965</v>
      </c>
      <c r="M52" s="19">
        <v>4062</v>
      </c>
      <c r="N52" s="19">
        <v>6180</v>
      </c>
    </row>
    <row r="53" spans="1:14" s="41" customFormat="1" ht="15.2" customHeight="1">
      <c r="A53" s="11"/>
      <c r="B53" s="5" t="s">
        <v>154</v>
      </c>
      <c r="C53" s="37" t="s">
        <v>157</v>
      </c>
      <c r="D53" s="16">
        <v>465176</v>
      </c>
      <c r="E53" s="30">
        <v>1.1299999999999999</v>
      </c>
      <c r="F53" s="30" t="s">
        <v>177</v>
      </c>
      <c r="G53" s="17"/>
      <c r="H53" s="18"/>
      <c r="I53" s="19">
        <v>6512</v>
      </c>
      <c r="J53" s="19">
        <v>9387</v>
      </c>
      <c r="K53" s="19">
        <v>8447</v>
      </c>
      <c r="L53" s="19">
        <v>12477</v>
      </c>
      <c r="M53" s="19">
        <v>5837</v>
      </c>
      <c r="N53" s="19">
        <v>8612</v>
      </c>
    </row>
    <row r="54" spans="1:14" s="41" customFormat="1" ht="15.2" customHeight="1">
      <c r="A54" s="11" ph="1"/>
      <c r="B54" s="5" t="s" ph="1">
        <v>151</v>
      </c>
      <c r="C54" s="37" t="s" ph="1">
        <v>153</v>
      </c>
      <c r="D54" s="16" ph="1">
        <v>467793</v>
      </c>
      <c r="E54" s="30" ph="1">
        <v>1.1599999999999999</v>
      </c>
      <c r="F54" s="30" t="s" ph="1">
        <v>177</v>
      </c>
      <c r="G54" s="17" ph="1"/>
      <c r="H54" s="18" ph="1"/>
      <c r="I54" s="19" ph="1">
        <v>6433</v>
      </c>
      <c r="J54" s="19" ph="1">
        <v>9147</v>
      </c>
      <c r="K54" s="19" ph="1">
        <v>9715</v>
      </c>
      <c r="L54" s="19" ph="1">
        <v>14831</v>
      </c>
      <c r="M54" s="19" ph="1">
        <v>7133</v>
      </c>
      <c r="N54" s="19" ph="1">
        <v>11154</v>
      </c>
    </row>
    <row r="55" spans="1:14" s="41" customFormat="1" ht="15.2" customHeight="1">
      <c r="A55" s="11"/>
      <c r="B55" s="5" t="s">
        <v>110</v>
      </c>
      <c r="C55" s="37" t="s">
        <v>133</v>
      </c>
      <c r="D55" s="16">
        <v>473124</v>
      </c>
      <c r="E55" s="30">
        <v>1.1599999999999999</v>
      </c>
      <c r="F55" s="30" t="s">
        <v>177</v>
      </c>
      <c r="G55" s="17"/>
      <c r="H55" s="18"/>
      <c r="I55" s="19">
        <v>8980</v>
      </c>
      <c r="J55" s="19">
        <v>13754</v>
      </c>
      <c r="K55" s="19">
        <v>9547</v>
      </c>
      <c r="L55" s="19">
        <v>15411</v>
      </c>
      <c r="M55" s="19">
        <v>6858</v>
      </c>
      <c r="N55" s="19">
        <v>11205</v>
      </c>
    </row>
    <row r="56" spans="1:14" s="41" customFormat="1" ht="15.2" customHeight="1">
      <c r="A56" s="11"/>
      <c r="B56" s="5" t="s">
        <v>150</v>
      </c>
      <c r="C56" s="37" t="s">
        <v>149</v>
      </c>
      <c r="D56" s="16">
        <v>477818</v>
      </c>
      <c r="E56" s="30">
        <v>1.1399999999999999</v>
      </c>
      <c r="F56" s="30" t="s">
        <v>177</v>
      </c>
      <c r="G56" s="17"/>
      <c r="H56" s="18"/>
      <c r="I56" s="19">
        <v>8934</v>
      </c>
      <c r="J56" s="19">
        <v>14068</v>
      </c>
      <c r="K56" s="19">
        <v>9651</v>
      </c>
      <c r="L56" s="19">
        <v>15640</v>
      </c>
      <c r="M56" s="19">
        <v>7317</v>
      </c>
      <c r="N56" s="19">
        <v>11721</v>
      </c>
    </row>
    <row r="57" spans="1:14" s="41" customFormat="1" ht="15.2" customHeight="1">
      <c r="A57" s="11"/>
      <c r="B57" s="5" t="s">
        <v>148</v>
      </c>
      <c r="C57" s="37" t="s">
        <v>147</v>
      </c>
      <c r="D57" s="16">
        <v>479486</v>
      </c>
      <c r="E57" s="30">
        <v>1.1299999999999999</v>
      </c>
      <c r="F57" s="30" t="s">
        <v>177</v>
      </c>
      <c r="G57" s="17"/>
      <c r="H57" s="18"/>
      <c r="I57" s="19">
        <v>8150</v>
      </c>
      <c r="J57" s="19">
        <v>12173</v>
      </c>
      <c r="K57" s="19">
        <v>7064</v>
      </c>
      <c r="L57" s="19">
        <v>10548</v>
      </c>
      <c r="M57" s="19">
        <v>5026</v>
      </c>
      <c r="N57" s="19">
        <v>7687</v>
      </c>
    </row>
    <row r="58" spans="1:14" s="41" customFormat="1" ht="15.2" customHeight="1">
      <c r="A58" s="11"/>
      <c r="B58" s="5" t="s">
        <v>146</v>
      </c>
      <c r="C58" s="37" t="s">
        <v>145</v>
      </c>
      <c r="D58" s="16">
        <v>478359</v>
      </c>
      <c r="E58" s="30">
        <v>1.1100000000000001</v>
      </c>
      <c r="F58" s="30" t="s">
        <v>177</v>
      </c>
      <c r="G58" s="17"/>
      <c r="H58" s="18"/>
      <c r="I58" s="19">
        <v>6694</v>
      </c>
      <c r="J58" s="19">
        <v>9708</v>
      </c>
      <c r="K58" s="19">
        <v>5962</v>
      </c>
      <c r="L58" s="19">
        <v>8793</v>
      </c>
      <c r="M58" s="19">
        <v>4390</v>
      </c>
      <c r="N58" s="19">
        <v>6631</v>
      </c>
    </row>
    <row r="59" spans="1:14" s="41" customFormat="1" ht="15.2" customHeight="1">
      <c r="A59" s="11"/>
      <c r="B59" s="5" t="s">
        <v>144</v>
      </c>
      <c r="C59" s="37" t="s">
        <v>143</v>
      </c>
      <c r="D59" s="16">
        <v>478214</v>
      </c>
      <c r="E59" s="30">
        <v>1.1200000000000001</v>
      </c>
      <c r="F59" s="30" t="s">
        <v>177</v>
      </c>
      <c r="G59" s="17"/>
      <c r="H59" s="18"/>
      <c r="I59" s="19">
        <v>6171</v>
      </c>
      <c r="J59" s="19">
        <v>8861</v>
      </c>
      <c r="K59" s="19">
        <v>6663</v>
      </c>
      <c r="L59" s="19">
        <v>9572</v>
      </c>
      <c r="M59" s="19">
        <v>4986</v>
      </c>
      <c r="N59" s="19">
        <v>7201</v>
      </c>
    </row>
    <row r="60" spans="1:14" s="41" customFormat="1" ht="15.2" customHeight="1">
      <c r="A60" s="11"/>
      <c r="B60" s="5" t="s">
        <v>142</v>
      </c>
      <c r="C60" s="37" t="s">
        <v>141</v>
      </c>
      <c r="D60" s="16">
        <v>477818</v>
      </c>
      <c r="E60" s="30">
        <v>1.1599999999999999</v>
      </c>
      <c r="F60" s="30" t="s">
        <v>177</v>
      </c>
      <c r="G60" s="17"/>
      <c r="H60" s="18"/>
      <c r="I60" s="19">
        <v>5944</v>
      </c>
      <c r="J60" s="19">
        <v>8124</v>
      </c>
      <c r="K60" s="19">
        <v>6970</v>
      </c>
      <c r="L60" s="19">
        <v>9691</v>
      </c>
      <c r="M60" s="19">
        <v>4970</v>
      </c>
      <c r="N60" s="19">
        <v>7168</v>
      </c>
    </row>
    <row r="61" spans="1:14" s="41" customFormat="1" ht="15.2" customHeight="1">
      <c r="A61" s="11"/>
      <c r="B61" s="5" t="s">
        <v>140</v>
      </c>
      <c r="C61" s="37" t="s">
        <v>139</v>
      </c>
      <c r="D61" s="16">
        <v>477238</v>
      </c>
      <c r="E61" s="30">
        <v>1.17</v>
      </c>
      <c r="F61" s="30" t="s">
        <v>177</v>
      </c>
      <c r="G61" s="17"/>
      <c r="H61" s="18"/>
      <c r="I61" s="19">
        <v>5748</v>
      </c>
      <c r="J61" s="19">
        <v>7715</v>
      </c>
      <c r="K61" s="19">
        <v>8749</v>
      </c>
      <c r="L61" s="19">
        <v>13058</v>
      </c>
      <c r="M61" s="19">
        <v>6962</v>
      </c>
      <c r="N61" s="19">
        <v>10669</v>
      </c>
    </row>
    <row r="62" spans="1:14" s="41" customFormat="1" ht="15.2" customHeight="1">
      <c r="A62" s="11"/>
      <c r="B62" s="5" t="s">
        <v>138</v>
      </c>
      <c r="C62" s="37" t="s">
        <v>137</v>
      </c>
      <c r="D62" s="16">
        <v>478244</v>
      </c>
      <c r="E62" s="30">
        <v>1.1299999999999999</v>
      </c>
      <c r="F62" s="30" t="s">
        <v>177</v>
      </c>
      <c r="G62" s="17"/>
      <c r="H62" s="18"/>
      <c r="I62" s="19">
        <v>7233</v>
      </c>
      <c r="J62" s="19">
        <v>10504</v>
      </c>
      <c r="K62" s="19">
        <v>9577</v>
      </c>
      <c r="L62" s="19">
        <v>14411</v>
      </c>
      <c r="M62" s="19">
        <v>7211</v>
      </c>
      <c r="N62" s="19">
        <v>10800</v>
      </c>
    </row>
    <row r="63" spans="1:14" s="41" customFormat="1" ht="15.2" customHeight="1">
      <c r="A63" s="11" ph="1"/>
      <c r="B63" s="5" ph="1"/>
      <c r="C63" s="41" ph="1"/>
      <c r="D63" s="16" ph="1"/>
      <c r="E63" s="30" ph="1"/>
      <c r="F63" s="30" ph="1"/>
      <c r="G63" s="17" ph="1"/>
      <c r="H63" s="18" ph="1"/>
      <c r="I63" s="19" ph="1"/>
      <c r="J63" s="19" ph="1"/>
      <c r="K63" s="19" ph="1"/>
      <c r="L63" s="19" ph="1"/>
      <c r="M63" s="19" ph="1"/>
      <c r="N63" s="19" ph="1"/>
    </row>
    <row r="64" spans="1:14" s="41" customFormat="1" ht="15.2" customHeight="1">
      <c r="A64" s="11">
        <v>2000</v>
      </c>
      <c r="B64" s="5" t="s">
        <v>136</v>
      </c>
      <c r="C64" s="37" t="s">
        <v>135</v>
      </c>
      <c r="D64" s="16">
        <v>478343</v>
      </c>
      <c r="E64" s="30">
        <v>1.1599999999999999</v>
      </c>
      <c r="F64" s="30" t="s">
        <v>177</v>
      </c>
      <c r="G64" s="17"/>
      <c r="H64" s="18"/>
      <c r="I64" s="19">
        <v>7474</v>
      </c>
      <c r="J64" s="19">
        <v>10506</v>
      </c>
      <c r="K64" s="19">
        <v>8941</v>
      </c>
      <c r="L64" s="19">
        <v>13120</v>
      </c>
      <c r="M64" s="19">
        <v>6742</v>
      </c>
      <c r="N64" s="19">
        <v>10123</v>
      </c>
    </row>
    <row r="65" spans="1:14" s="41" customFormat="1" ht="15.2" customHeight="1">
      <c r="A65" s="11" ph="1"/>
      <c r="B65" s="5" t="s" ph="1">
        <v>152</v>
      </c>
      <c r="C65" s="37" t="s" ph="1">
        <v>134</v>
      </c>
      <c r="D65" s="16" ph="1">
        <v>478097</v>
      </c>
      <c r="E65" s="30" ph="1">
        <v>1.17</v>
      </c>
      <c r="F65" s="30" t="s" ph="1">
        <v>177</v>
      </c>
      <c r="G65" s="17" ph="1"/>
      <c r="H65" s="18" ph="1"/>
      <c r="I65" s="19" ph="1">
        <v>6853</v>
      </c>
      <c r="J65" s="19" ph="1">
        <v>9961</v>
      </c>
      <c r="K65" s="19" ph="1">
        <v>7076</v>
      </c>
      <c r="L65" s="19" ph="1">
        <v>10294</v>
      </c>
      <c r="M65" s="19" ph="1">
        <v>5253</v>
      </c>
      <c r="N65" s="19" ph="1">
        <v>7612</v>
      </c>
    </row>
    <row r="66" spans="1:14" s="41" customFormat="1" ht="15.2" customHeight="1">
      <c r="A66" s="11" ph="1"/>
      <c r="B66" s="5" t="s" ph="1">
        <v>154</v>
      </c>
      <c r="C66" s="37" t="s" ph="1">
        <v>157</v>
      </c>
      <c r="D66" s="16" ph="1">
        <v>478457</v>
      </c>
      <c r="E66" s="30" ph="1">
        <v>1.1599999999999999</v>
      </c>
      <c r="F66" s="30" t="s" ph="1">
        <v>177</v>
      </c>
      <c r="G66" s="17" ph="1"/>
      <c r="H66" s="18" ph="1"/>
      <c r="I66" s="19" ph="1">
        <v>7535</v>
      </c>
      <c r="J66" s="19" ph="1">
        <v>10780</v>
      </c>
      <c r="K66" s="19" ph="1">
        <v>10720</v>
      </c>
      <c r="L66" s="19" ph="1">
        <v>16224</v>
      </c>
      <c r="M66" s="19" ph="1">
        <v>8050</v>
      </c>
      <c r="N66" s="19" ph="1">
        <v>12185</v>
      </c>
    </row>
    <row r="67" spans="1:14" s="41" customFormat="1" ht="15.2" customHeight="1">
      <c r="A67" s="11" ph="1"/>
      <c r="B67" s="5" t="s" ph="1">
        <v>151</v>
      </c>
      <c r="C67" s="37" t="s" ph="1">
        <v>153</v>
      </c>
      <c r="D67" s="16" ph="1">
        <v>480189</v>
      </c>
      <c r="E67" s="30" ph="1">
        <v>1.18</v>
      </c>
      <c r="F67" s="30" t="s" ph="1">
        <v>177</v>
      </c>
      <c r="G67" s="17" ph="1"/>
      <c r="H67" s="18" ph="1"/>
      <c r="I67" s="19" ph="1">
        <v>7300</v>
      </c>
      <c r="J67" s="19" ph="1">
        <v>10095</v>
      </c>
      <c r="K67" s="19" ph="1">
        <v>8639</v>
      </c>
      <c r="L67" s="19" ph="1">
        <v>13049</v>
      </c>
      <c r="M67" s="19" ph="1">
        <v>6484</v>
      </c>
      <c r="N67" s="19" ph="1">
        <v>10005</v>
      </c>
    </row>
    <row r="68" spans="1:14" s="41" customFormat="1" ht="15.2" customHeight="1">
      <c r="A68" s="11" ph="1"/>
      <c r="B68" s="5" t="s" ph="1">
        <v>110</v>
      </c>
      <c r="C68" s="37" t="s" ph="1">
        <v>133</v>
      </c>
      <c r="D68" s="16" ph="1">
        <v>480318</v>
      </c>
      <c r="E68" s="30" ph="1">
        <v>1.19</v>
      </c>
      <c r="F68" s="30" t="s" ph="1">
        <v>177</v>
      </c>
      <c r="G68" s="17" ph="1"/>
      <c r="H68" s="18" ph="1"/>
      <c r="I68" s="19" ph="1">
        <v>6793</v>
      </c>
      <c r="J68" s="19" ph="1">
        <v>9727</v>
      </c>
      <c r="K68" s="19" ph="1">
        <v>8835</v>
      </c>
      <c r="L68" s="19" ph="1">
        <v>13304</v>
      </c>
      <c r="M68" s="19" ph="1">
        <v>6773</v>
      </c>
      <c r="N68" s="19" ph="1">
        <v>10380</v>
      </c>
    </row>
    <row r="69" spans="1:14" s="41" customFormat="1" ht="15.2" customHeight="1">
      <c r="A69" s="11" ph="1"/>
      <c r="B69" s="5" t="s" ph="1">
        <v>150</v>
      </c>
      <c r="C69" s="37" t="s" ph="1">
        <v>149</v>
      </c>
      <c r="D69" s="16" ph="1">
        <v>480043</v>
      </c>
      <c r="E69" s="30" ph="1">
        <v>1.23</v>
      </c>
      <c r="F69" s="30" t="s" ph="1">
        <v>177</v>
      </c>
      <c r="G69" s="17" ph="1"/>
      <c r="H69" s="18" ph="1"/>
      <c r="I69" s="19" ph="1">
        <v>7037</v>
      </c>
      <c r="J69" s="19" ph="1">
        <v>10093</v>
      </c>
      <c r="K69" s="19" ph="1">
        <v>8786</v>
      </c>
      <c r="L69" s="19" ph="1">
        <v>12362</v>
      </c>
      <c r="M69" s="19" ph="1">
        <v>6975</v>
      </c>
      <c r="N69" s="19" ph="1">
        <v>9847</v>
      </c>
    </row>
    <row r="70" spans="1:14" s="41" customFormat="1" ht="15.2" customHeight="1">
      <c r="A70" s="11" ph="1"/>
      <c r="B70" s="5" t="s" ph="1">
        <v>148</v>
      </c>
      <c r="C70" s="37" t="s" ph="1">
        <v>147</v>
      </c>
      <c r="D70" s="16" ph="1">
        <v>479607</v>
      </c>
      <c r="E70" s="30" ph="1">
        <v>1.27</v>
      </c>
      <c r="F70" s="30" t="s" ph="1">
        <v>177</v>
      </c>
      <c r="G70" s="17" ph="1"/>
      <c r="H70" s="18" ph="1"/>
      <c r="I70" s="19" ph="1">
        <v>7426</v>
      </c>
      <c r="J70" s="19" ph="1">
        <v>10058</v>
      </c>
      <c r="K70" s="19" ph="1">
        <v>9360</v>
      </c>
      <c r="L70" s="19" ph="1">
        <v>13117</v>
      </c>
      <c r="M70" s="19" ph="1">
        <v>7196</v>
      </c>
      <c r="N70" s="19" ph="1">
        <v>10371</v>
      </c>
    </row>
    <row r="71" spans="1:14" s="41" customFormat="1" ht="15.2" customHeight="1">
      <c r="A71" s="11" ph="1"/>
      <c r="B71" s="5" t="s" ph="1">
        <v>146</v>
      </c>
      <c r="C71" s="37" t="s" ph="1">
        <v>145</v>
      </c>
      <c r="D71" s="16" ph="1">
        <v>482056</v>
      </c>
      <c r="E71" s="30" ph="1">
        <v>1.26</v>
      </c>
      <c r="F71" s="30" t="s" ph="1">
        <v>177</v>
      </c>
      <c r="G71" s="17" ph="1"/>
      <c r="H71" s="18" ph="1"/>
      <c r="I71" s="19" ph="1">
        <v>8205</v>
      </c>
      <c r="J71" s="19" ph="1">
        <v>11452</v>
      </c>
      <c r="K71" s="19" ph="1">
        <v>7615</v>
      </c>
      <c r="L71" s="19" ph="1">
        <v>10595</v>
      </c>
      <c r="M71" s="19" ph="1">
        <v>5207</v>
      </c>
      <c r="N71" s="19" ph="1">
        <v>7280</v>
      </c>
    </row>
    <row r="72" spans="1:14" s="41" customFormat="1" ht="15.2" customHeight="1">
      <c r="A72" s="11" ph="1"/>
      <c r="B72" s="5" t="s" ph="1">
        <v>144</v>
      </c>
      <c r="C72" s="37" t="s" ph="1">
        <v>143</v>
      </c>
      <c r="D72" s="16" ph="1">
        <v>481458</v>
      </c>
      <c r="E72" s="30" ph="1">
        <v>1.28</v>
      </c>
      <c r="F72" s="30" t="s" ph="1">
        <v>177</v>
      </c>
      <c r="G72" s="17" ph="1"/>
      <c r="H72" s="18" ph="1"/>
      <c r="I72" s="19" ph="1">
        <v>6337</v>
      </c>
      <c r="J72" s="19" ph="1">
        <v>8554</v>
      </c>
      <c r="K72" s="19" ph="1">
        <v>7105</v>
      </c>
      <c r="L72" s="19" ph="1">
        <v>9977</v>
      </c>
      <c r="M72" s="19" ph="1">
        <v>5272</v>
      </c>
      <c r="N72" s="19" ph="1">
        <v>7503</v>
      </c>
    </row>
    <row r="73" spans="1:14" s="41" customFormat="1" ht="15.2" customHeight="1">
      <c r="A73" s="11" ph="1"/>
      <c r="B73" s="5" t="s" ph="1">
        <v>142</v>
      </c>
      <c r="C73" s="37" t="s" ph="1">
        <v>141</v>
      </c>
      <c r="D73" s="16" ph="1">
        <v>481910</v>
      </c>
      <c r="E73" s="30" ph="1">
        <v>1.31</v>
      </c>
      <c r="F73" s="30" t="s" ph="1">
        <v>177</v>
      </c>
      <c r="G73" s="17" ph="1"/>
      <c r="H73" s="18" ph="1"/>
      <c r="I73" s="19" ph="1">
        <v>6423</v>
      </c>
      <c r="J73" s="19" ph="1">
        <v>8910</v>
      </c>
      <c r="K73" s="19" ph="1">
        <v>7437</v>
      </c>
      <c r="L73" s="19" ph="1">
        <v>10882</v>
      </c>
      <c r="M73" s="19" ph="1">
        <v>5211</v>
      </c>
      <c r="N73" s="19" ph="1">
        <v>7580</v>
      </c>
    </row>
    <row r="74" spans="1:14" s="41" customFormat="1" ht="15.2" customHeight="1">
      <c r="A74" s="11" ph="1"/>
      <c r="B74" s="5" t="s" ph="1">
        <v>140</v>
      </c>
      <c r="C74" s="37" t="s" ph="1">
        <v>139</v>
      </c>
      <c r="D74" s="16" ph="1">
        <v>483827</v>
      </c>
      <c r="E74" s="30" ph="1">
        <v>1.31</v>
      </c>
      <c r="F74" s="30" t="s" ph="1">
        <v>177</v>
      </c>
      <c r="G74" s="17" ph="1"/>
      <c r="H74" s="18" ph="1"/>
      <c r="I74" s="19" ph="1">
        <v>6733</v>
      </c>
      <c r="J74" s="19" ph="1">
        <v>9552</v>
      </c>
      <c r="K74" s="19" ph="1">
        <v>5626</v>
      </c>
      <c r="L74" s="19" ph="1">
        <v>7833</v>
      </c>
      <c r="M74" s="19" ph="1">
        <v>3418</v>
      </c>
      <c r="N74" s="19" ph="1">
        <v>4612</v>
      </c>
    </row>
    <row r="75" spans="1:14" s="41" customFormat="1" ht="15.2" customHeight="1">
      <c r="A75" s="11"/>
      <c r="B75" s="5"/>
      <c r="C75" s="5"/>
      <c r="D75" s="16"/>
      <c r="E75" s="30"/>
      <c r="F75" s="30"/>
      <c r="G75" s="17"/>
      <c r="H75" s="18"/>
      <c r="I75" s="19"/>
      <c r="J75" s="19"/>
      <c r="K75" s="19"/>
      <c r="L75" s="19"/>
      <c r="M75" s="19"/>
      <c r="N75" s="19"/>
    </row>
    <row r="76" spans="1:14" s="41" customFormat="1" ht="15.2" customHeight="1">
      <c r="A76" s="11" t="s" ph="1">
        <v>179</v>
      </c>
      <c r="B76" s="5" ph="1"/>
      <c r="C76" s="5" ph="1"/>
      <c r="D76" s="16" ph="1"/>
      <c r="E76" s="30" ph="1"/>
      <c r="F76" s="30" ph="1"/>
      <c r="G76" s="17" ph="1"/>
      <c r="H76" s="18" ph="1"/>
      <c r="I76" s="19" ph="1"/>
      <c r="J76" s="19" ph="1"/>
      <c r="K76" s="19" ph="1"/>
      <c r="L76" s="19" ph="1"/>
      <c r="M76" s="19" ph="1"/>
      <c r="N76" s="19" ph="1"/>
    </row>
    <row r="77" spans="1:14" s="41" customFormat="1" ht="15.2" customHeight="1">
      <c r="A77" s="64" t="s" ph="1">
        <v>178</v>
      </c>
      <c r="B77" s="5" ph="1"/>
      <c r="C77" s="5" ph="1"/>
      <c r="D77" s="16" ph="1"/>
      <c r="E77" s="30" ph="1"/>
      <c r="F77" s="30" ph="1"/>
      <c r="G77" s="17" ph="1"/>
      <c r="H77" s="18" ph="1"/>
      <c r="I77" s="19" ph="1"/>
      <c r="J77" s="19" ph="1"/>
      <c r="K77" s="19" ph="1"/>
      <c r="L77" s="19" ph="1"/>
      <c r="M77" s="19" ph="1"/>
      <c r="N77" s="19" ph="1"/>
    </row>
    <row r="78" spans="1:14" s="41" customFormat="1" ht="15.2" customHeight="1">
      <c r="A78" s="63" ph="1"/>
      <c r="B78" s="5" ph="1"/>
      <c r="C78" s="5" ph="1"/>
      <c r="D78" s="16" ph="1"/>
      <c r="E78" s="30" ph="1"/>
      <c r="F78" s="30" ph="1"/>
      <c r="G78" s="17" ph="1"/>
      <c r="H78" s="18" ph="1"/>
      <c r="I78" s="19" ph="1"/>
      <c r="J78" s="19" ph="1"/>
      <c r="K78" s="19" ph="1"/>
      <c r="L78" s="19" ph="1"/>
      <c r="M78" s="19" ph="1"/>
      <c r="N78" s="19" ph="1"/>
    </row>
    <row r="79" spans="1:14" s="41" customFormat="1" ht="15.2" customHeight="1">
      <c r="A79" s="11">
        <v>2000</v>
      </c>
      <c r="B79" s="5" t="s">
        <v>138</v>
      </c>
      <c r="C79" s="37" t="s">
        <v>137</v>
      </c>
      <c r="D79" s="16">
        <v>521701</v>
      </c>
      <c r="E79" s="30">
        <v>1.32</v>
      </c>
      <c r="F79" s="30" t="s">
        <v>177</v>
      </c>
      <c r="G79" s="17"/>
      <c r="H79" s="30"/>
      <c r="I79" s="62">
        <v>5223</v>
      </c>
      <c r="J79" s="62">
        <v>6774</v>
      </c>
      <c r="K79" s="62">
        <v>4959</v>
      </c>
      <c r="L79" s="62">
        <v>6507</v>
      </c>
      <c r="M79" s="62">
        <v>3381</v>
      </c>
      <c r="N79" s="62">
        <v>4464</v>
      </c>
    </row>
    <row r="80" spans="1:14" s="41" customFormat="1" ht="15.2" customHeight="1">
      <c r="A80" s="11"/>
      <c r="B80" s="5"/>
      <c r="D80" s="16"/>
      <c r="E80" s="30"/>
      <c r="F80" s="30"/>
      <c r="G80" s="17"/>
      <c r="H80" s="30"/>
      <c r="I80" s="62"/>
      <c r="J80" s="62"/>
      <c r="K80" s="62"/>
      <c r="L80" s="62"/>
      <c r="M80" s="62"/>
      <c r="N80" s="62"/>
    </row>
    <row r="81" spans="1:14" s="41" customFormat="1" ht="15.2" customHeight="1">
      <c r="A81" s="11">
        <v>2001</v>
      </c>
      <c r="B81" s="5" t="s">
        <v>136</v>
      </c>
      <c r="C81" s="37" t="s">
        <v>135</v>
      </c>
      <c r="D81" s="16">
        <v>519880</v>
      </c>
      <c r="E81" s="30">
        <v>1.37</v>
      </c>
      <c r="F81" s="30" t="s">
        <v>177</v>
      </c>
      <c r="G81" s="17"/>
      <c r="H81" s="30"/>
      <c r="I81" s="62">
        <v>4349</v>
      </c>
      <c r="J81" s="62">
        <v>5710</v>
      </c>
      <c r="K81" s="62">
        <v>5271</v>
      </c>
      <c r="L81" s="62">
        <v>7328.56</v>
      </c>
      <c r="M81" s="62">
        <v>3907</v>
      </c>
      <c r="N81" s="62">
        <v>5506</v>
      </c>
    </row>
    <row r="82" spans="1:14" s="41" customFormat="1" ht="15.2" customHeight="1">
      <c r="A82" s="11"/>
      <c r="B82" s="5" t="s">
        <v>152</v>
      </c>
      <c r="C82" s="37" t="s">
        <v>134</v>
      </c>
      <c r="D82" s="16">
        <v>518724</v>
      </c>
      <c r="E82" s="30">
        <v>1.4</v>
      </c>
      <c r="F82" s="30" t="s">
        <v>177</v>
      </c>
      <c r="G82" s="17"/>
      <c r="H82" s="30"/>
      <c r="I82" s="62">
        <v>4764</v>
      </c>
      <c r="J82" s="62">
        <v>6603</v>
      </c>
      <c r="K82" s="62">
        <v>6048</v>
      </c>
      <c r="L82" s="62">
        <v>8396.17</v>
      </c>
      <c r="M82" s="62">
        <v>4636</v>
      </c>
      <c r="N82" s="62">
        <v>6387</v>
      </c>
    </row>
    <row r="83" spans="1:14" s="41" customFormat="1" ht="15.2" customHeight="1">
      <c r="A83" s="11"/>
      <c r="B83" s="5" t="s">
        <v>154</v>
      </c>
      <c r="C83" s="37" t="s">
        <v>157</v>
      </c>
      <c r="D83" s="16">
        <v>518742</v>
      </c>
      <c r="E83" s="30">
        <v>1.42</v>
      </c>
      <c r="F83" s="30" t="s">
        <v>177</v>
      </c>
      <c r="G83" s="17"/>
      <c r="H83" s="30"/>
      <c r="I83" s="62">
        <v>6414</v>
      </c>
      <c r="J83" s="62">
        <v>8609</v>
      </c>
      <c r="K83" s="62">
        <v>9266</v>
      </c>
      <c r="L83" s="62">
        <v>12399.79</v>
      </c>
      <c r="M83" s="62">
        <v>6623</v>
      </c>
      <c r="N83" s="62">
        <v>8923</v>
      </c>
    </row>
    <row r="84" spans="1:14" s="41" customFormat="1" ht="15.2" customHeight="1">
      <c r="A84" s="11"/>
      <c r="B84" s="5" t="s">
        <v>151</v>
      </c>
      <c r="C84" s="37" t="s">
        <v>153</v>
      </c>
      <c r="D84" s="16">
        <v>519497</v>
      </c>
      <c r="E84" s="30">
        <v>1.43</v>
      </c>
      <c r="F84" s="30" t="s">
        <v>177</v>
      </c>
      <c r="G84" s="17"/>
      <c r="H84" s="30"/>
      <c r="I84" s="62">
        <v>6931</v>
      </c>
      <c r="J84" s="62">
        <v>8978</v>
      </c>
      <c r="K84" s="62">
        <v>6816</v>
      </c>
      <c r="L84" s="62">
        <v>8735.65</v>
      </c>
      <c r="M84" s="62">
        <v>4680</v>
      </c>
      <c r="N84" s="62">
        <v>5898</v>
      </c>
    </row>
    <row r="85" spans="1:14" s="41" customFormat="1" ht="15.2" customHeight="1">
      <c r="A85" s="11"/>
      <c r="B85" s="5" t="s">
        <v>110</v>
      </c>
      <c r="C85" s="37" t="s">
        <v>133</v>
      </c>
      <c r="D85" s="16">
        <v>519097</v>
      </c>
      <c r="E85" s="30">
        <v>1.42</v>
      </c>
      <c r="F85" s="30" t="s">
        <v>177</v>
      </c>
      <c r="G85" s="17"/>
      <c r="H85" s="30"/>
      <c r="I85" s="62">
        <v>6842</v>
      </c>
      <c r="J85" s="62">
        <v>8746</v>
      </c>
      <c r="K85" s="62">
        <v>8634</v>
      </c>
      <c r="L85" s="62">
        <v>11191.92</v>
      </c>
      <c r="M85" s="62">
        <v>6167</v>
      </c>
      <c r="N85" s="62">
        <v>7900</v>
      </c>
    </row>
    <row r="86" spans="1:14" s="41" customFormat="1" ht="15.2" customHeight="1">
      <c r="A86" s="11" ph="1"/>
      <c r="B86" s="5" t="s" ph="1">
        <v>150</v>
      </c>
      <c r="C86" s="37" t="s" ph="1">
        <v>149</v>
      </c>
      <c r="D86" s="16" ph="1">
        <v>518773</v>
      </c>
      <c r="E86" s="30" ph="1">
        <v>1.35</v>
      </c>
      <c r="F86" s="30" t="s" ph="1">
        <v>177</v>
      </c>
      <c r="G86" s="17" ph="1"/>
      <c r="H86" s="30" ph="1"/>
      <c r="I86" s="62" ph="1">
        <v>7970</v>
      </c>
      <c r="J86" s="62" ph="1">
        <v>10064</v>
      </c>
      <c r="K86" s="62" ph="1">
        <v>8315</v>
      </c>
      <c r="L86" s="62" ph="1">
        <v>11627</v>
      </c>
      <c r="M86" s="62" ph="1">
        <v>5495</v>
      </c>
      <c r="N86" s="62" ph="1">
        <v>7837</v>
      </c>
    </row>
    <row r="87" spans="1:14" s="41" customFormat="1" ht="15.2" customHeight="1">
      <c r="A87" s="11"/>
      <c r="B87" s="5" t="s">
        <v>148</v>
      </c>
      <c r="C87" s="37" t="s">
        <v>147</v>
      </c>
      <c r="D87" s="16">
        <v>521066</v>
      </c>
      <c r="E87" s="30">
        <v>1.31</v>
      </c>
      <c r="F87" s="30" t="s">
        <v>177</v>
      </c>
      <c r="G87" s="17"/>
      <c r="H87" s="30"/>
      <c r="I87" s="62">
        <v>7498</v>
      </c>
      <c r="J87" s="62">
        <v>11076</v>
      </c>
      <c r="K87" s="62">
        <v>7721</v>
      </c>
      <c r="L87" s="62">
        <v>11555</v>
      </c>
      <c r="M87" s="62">
        <v>4973</v>
      </c>
      <c r="N87" s="62">
        <v>7101</v>
      </c>
    </row>
    <row r="88" spans="1:14" s="41" customFormat="1" ht="15.2" customHeight="1">
      <c r="A88" s="11"/>
      <c r="B88" s="5" t="s">
        <v>146</v>
      </c>
      <c r="C88" s="37" t="s">
        <v>145</v>
      </c>
      <c r="D88" s="16">
        <v>524209</v>
      </c>
      <c r="E88" s="30">
        <v>1.28</v>
      </c>
      <c r="F88" s="30" t="s">
        <v>177</v>
      </c>
      <c r="G88" s="17"/>
      <c r="H88" s="30"/>
      <c r="I88" s="62">
        <v>8600</v>
      </c>
      <c r="J88" s="62">
        <v>11778</v>
      </c>
      <c r="K88" s="62">
        <v>7117</v>
      </c>
      <c r="L88" s="62">
        <v>9506</v>
      </c>
      <c r="M88" s="62">
        <v>4329</v>
      </c>
      <c r="N88" s="62">
        <v>5674</v>
      </c>
    </row>
    <row r="89" spans="1:14" s="41" customFormat="1" ht="15.2" customHeight="1">
      <c r="A89" s="11"/>
      <c r="B89" s="5" t="s">
        <v>144</v>
      </c>
      <c r="C89" s="37" t="s">
        <v>143</v>
      </c>
      <c r="D89" s="16">
        <v>524489</v>
      </c>
      <c r="E89" s="30">
        <v>1.28</v>
      </c>
      <c r="F89" s="30" t="s">
        <v>177</v>
      </c>
      <c r="G89" s="17"/>
      <c r="H89" s="30"/>
      <c r="I89" s="62">
        <v>6083</v>
      </c>
      <c r="J89" s="62">
        <v>8037</v>
      </c>
      <c r="K89" s="62">
        <v>6315</v>
      </c>
      <c r="L89" s="62">
        <v>8416</v>
      </c>
      <c r="M89" s="62">
        <v>3969</v>
      </c>
      <c r="N89" s="62">
        <v>5220</v>
      </c>
    </row>
    <row r="90" spans="1:14" s="41" customFormat="1" ht="15.2" customHeight="1">
      <c r="A90" s="11"/>
      <c r="B90" s="5" t="s">
        <v>142</v>
      </c>
      <c r="C90" s="37" t="s">
        <v>141</v>
      </c>
      <c r="D90" s="16">
        <v>523682</v>
      </c>
      <c r="E90" s="30">
        <v>1.27</v>
      </c>
      <c r="F90" s="30">
        <v>0.24</v>
      </c>
      <c r="G90" s="17"/>
      <c r="H90" s="30"/>
      <c r="I90" s="62">
        <v>5591</v>
      </c>
      <c r="J90" s="62">
        <v>6964</v>
      </c>
      <c r="K90" s="62">
        <v>6924</v>
      </c>
      <c r="L90" s="62">
        <v>8156</v>
      </c>
      <c r="M90" s="62">
        <v>4710</v>
      </c>
      <c r="N90" s="62">
        <v>5531</v>
      </c>
    </row>
    <row r="91" spans="1:14" s="41" customFormat="1" ht="15.2" customHeight="1">
      <c r="A91" s="11"/>
      <c r="B91" s="5" t="s">
        <v>140</v>
      </c>
      <c r="C91" s="37" t="s">
        <v>139</v>
      </c>
      <c r="D91" s="16">
        <v>524200</v>
      </c>
      <c r="E91" s="30">
        <v>1.25</v>
      </c>
      <c r="F91" s="30">
        <v>0.25</v>
      </c>
      <c r="G91" s="17"/>
      <c r="H91" s="30"/>
      <c r="I91" s="62">
        <v>7056</v>
      </c>
      <c r="J91" s="62">
        <v>8273</v>
      </c>
      <c r="K91" s="62">
        <v>9707</v>
      </c>
      <c r="L91" s="62">
        <v>12140</v>
      </c>
      <c r="M91" s="62">
        <v>6290</v>
      </c>
      <c r="N91" s="62">
        <v>8074</v>
      </c>
    </row>
    <row r="92" spans="1:14" s="41" customFormat="1" ht="15.2" customHeight="1">
      <c r="A92" s="11"/>
      <c r="B92" s="5" t="s">
        <v>138</v>
      </c>
      <c r="C92" s="37" t="s">
        <v>137</v>
      </c>
      <c r="D92" s="16">
        <v>528518</v>
      </c>
      <c r="E92" s="30">
        <v>1.22</v>
      </c>
      <c r="F92" s="30">
        <v>0.26</v>
      </c>
      <c r="G92" s="17"/>
      <c r="H92" s="30"/>
      <c r="I92" s="62">
        <v>8391</v>
      </c>
      <c r="J92" s="62">
        <v>11677</v>
      </c>
      <c r="K92" s="62">
        <v>8341</v>
      </c>
      <c r="L92" s="62">
        <v>12692</v>
      </c>
      <c r="M92" s="62">
        <v>4779</v>
      </c>
      <c r="N92" s="62">
        <v>7102</v>
      </c>
    </row>
    <row r="93" spans="1:14" s="41" customFormat="1" ht="15.2" customHeight="1">
      <c r="A93" s="11"/>
      <c r="B93" s="5"/>
      <c r="D93" s="16"/>
      <c r="E93" s="30"/>
      <c r="F93" s="30"/>
      <c r="G93" s="17"/>
      <c r="H93" s="30"/>
      <c r="I93" s="62"/>
      <c r="J93" s="62"/>
      <c r="K93" s="62"/>
      <c r="L93" s="62"/>
      <c r="M93" s="62"/>
      <c r="N93" s="62"/>
    </row>
    <row r="94" spans="1:14" s="41" customFormat="1" ht="15.2" customHeight="1">
      <c r="A94" s="11">
        <v>2002</v>
      </c>
      <c r="B94" s="5" t="s">
        <v>136</v>
      </c>
      <c r="C94" s="37" t="s">
        <v>135</v>
      </c>
      <c r="D94" s="16">
        <v>531818</v>
      </c>
      <c r="E94" s="30">
        <v>1.22</v>
      </c>
      <c r="F94" s="30">
        <v>0.3</v>
      </c>
      <c r="G94" s="17"/>
      <c r="H94" s="30"/>
      <c r="I94" s="62">
        <v>8831</v>
      </c>
      <c r="J94" s="62">
        <v>11467</v>
      </c>
      <c r="K94" s="62">
        <v>9095</v>
      </c>
      <c r="L94" s="62">
        <v>12816</v>
      </c>
      <c r="M94" s="62">
        <v>5542</v>
      </c>
      <c r="N94" s="62">
        <v>7560</v>
      </c>
    </row>
    <row r="95" spans="1:14" s="41" customFormat="1" ht="15.2" customHeight="1">
      <c r="A95" s="11" ph="1"/>
      <c r="B95" s="5" t="s" ph="1">
        <v>152</v>
      </c>
      <c r="C95" s="37" t="s" ph="1">
        <v>134</v>
      </c>
      <c r="D95" s="16" ph="1">
        <v>532425</v>
      </c>
      <c r="E95" s="30" ph="1">
        <v>1.2</v>
      </c>
      <c r="F95" s="30" ph="1">
        <v>0.34</v>
      </c>
      <c r="G95" s="17" ph="1"/>
      <c r="H95" s="30" ph="1"/>
      <c r="I95" s="62" ph="1">
        <v>6204</v>
      </c>
      <c r="J95" s="62" ph="1">
        <v>7947</v>
      </c>
      <c r="K95" s="62" ph="1">
        <v>5946</v>
      </c>
      <c r="L95" s="62" ph="1">
        <v>8184</v>
      </c>
      <c r="M95" s="62" ph="1">
        <v>3856</v>
      </c>
      <c r="N95" s="62" ph="1">
        <v>5413</v>
      </c>
    </row>
    <row r="96" spans="1:14" s="41" customFormat="1" ht="15.2" customHeight="1">
      <c r="A96" s="11"/>
      <c r="B96" s="5" t="s">
        <v>154</v>
      </c>
      <c r="C96" s="37" t="s">
        <v>157</v>
      </c>
      <c r="D96" s="16">
        <v>532908</v>
      </c>
      <c r="E96" s="30">
        <v>1.18</v>
      </c>
      <c r="F96" s="30">
        <v>0.38</v>
      </c>
      <c r="G96" s="17"/>
      <c r="H96" s="30"/>
      <c r="I96" s="62">
        <v>5951</v>
      </c>
      <c r="J96" s="62">
        <v>8206</v>
      </c>
      <c r="K96" s="62">
        <v>6746</v>
      </c>
      <c r="L96" s="62">
        <v>9327</v>
      </c>
      <c r="M96" s="62">
        <v>4433</v>
      </c>
      <c r="N96" s="62">
        <v>6002</v>
      </c>
    </row>
    <row r="97" spans="1:14" s="41" customFormat="1" ht="15.2" customHeight="1">
      <c r="A97" s="11" ph="1"/>
      <c r="B97" s="5" t="s" ph="1">
        <v>151</v>
      </c>
      <c r="C97" s="37" t="s" ph="1">
        <v>153</v>
      </c>
      <c r="D97" s="16" ph="1">
        <v>533875</v>
      </c>
      <c r="E97" s="30" ph="1">
        <v>1.1599999999999999</v>
      </c>
      <c r="F97" s="30" ph="1">
        <v>0.41</v>
      </c>
      <c r="G97" s="17" ph="1"/>
      <c r="H97" s="30" ph="1"/>
      <c r="I97" s="62" ph="1">
        <v>6885</v>
      </c>
      <c r="J97" s="62" ph="1">
        <v>8816</v>
      </c>
      <c r="K97" s="62" ph="1">
        <v>8558</v>
      </c>
      <c r="L97" s="62" ph="1">
        <v>11081</v>
      </c>
      <c r="M97" s="62" ph="1">
        <v>5768</v>
      </c>
      <c r="N97" s="62" ph="1">
        <v>7440</v>
      </c>
    </row>
    <row r="98" spans="1:14" s="41" customFormat="1" ht="15.2" customHeight="1">
      <c r="A98" s="11" ph="1"/>
      <c r="B98" s="5" t="s" ph="1">
        <v>110</v>
      </c>
      <c r="C98" s="37" t="s" ph="1">
        <v>133</v>
      </c>
      <c r="D98" s="16" ph="1">
        <v>536756</v>
      </c>
      <c r="E98" s="30" ph="1">
        <v>1.1399999999999999</v>
      </c>
      <c r="F98" s="30" ph="1">
        <v>0.44</v>
      </c>
      <c r="G98" s="17" ph="1"/>
      <c r="H98" s="30" ph="1"/>
      <c r="I98" s="62" ph="1">
        <v>7993</v>
      </c>
      <c r="J98" s="62" ph="1">
        <v>10209</v>
      </c>
      <c r="K98" s="62" ph="1">
        <v>9410</v>
      </c>
      <c r="L98" s="62" ph="1">
        <v>12187</v>
      </c>
      <c r="M98" s="62" ph="1">
        <v>6219</v>
      </c>
      <c r="N98" s="62" ph="1">
        <v>8039</v>
      </c>
    </row>
    <row r="99" spans="1:14" s="41" customFormat="1" ht="15.2" customHeight="1">
      <c r="A99" s="11" ph="1"/>
      <c r="B99" s="5" t="s" ph="1">
        <v>150</v>
      </c>
      <c r="C99" s="37" t="s" ph="1">
        <v>149</v>
      </c>
      <c r="D99" s="16" ph="1">
        <v>537614</v>
      </c>
      <c r="E99" s="30" ph="1">
        <v>1.1000000000000001</v>
      </c>
      <c r="F99" s="30" ph="1">
        <v>0.46</v>
      </c>
      <c r="G99" s="17" ph="1"/>
      <c r="H99" s="30" ph="1"/>
      <c r="I99" s="62" ph="1">
        <v>8105</v>
      </c>
      <c r="J99" s="62" ph="1">
        <v>10458</v>
      </c>
      <c r="K99" s="62" ph="1">
        <v>7434</v>
      </c>
      <c r="L99" s="62" ph="1">
        <v>9402</v>
      </c>
      <c r="M99" s="62" ph="1">
        <v>4660</v>
      </c>
      <c r="N99" s="62" ph="1">
        <v>5729</v>
      </c>
    </row>
    <row r="100" spans="1:14" s="41" customFormat="1" ht="15.2" customHeight="1">
      <c r="A100" s="11" ph="1"/>
      <c r="B100" s="5" t="s" ph="1">
        <v>148</v>
      </c>
      <c r="C100" s="37" t="s" ph="1">
        <v>147</v>
      </c>
      <c r="D100" s="16" ph="1">
        <v>536906</v>
      </c>
      <c r="E100" s="30" ph="1">
        <v>1.07</v>
      </c>
      <c r="F100" s="30" ph="1">
        <v>0.45</v>
      </c>
      <c r="G100" s="17" ph="1"/>
      <c r="H100" s="30" ph="1"/>
      <c r="I100" s="62" ph="1">
        <v>6570</v>
      </c>
      <c r="J100" s="62" ph="1">
        <v>7290</v>
      </c>
      <c r="K100" s="62" ph="1">
        <v>6608</v>
      </c>
      <c r="L100" s="62" ph="1">
        <v>7409</v>
      </c>
      <c r="M100" s="62" ph="1">
        <v>4046</v>
      </c>
      <c r="N100" s="62" ph="1">
        <v>4563</v>
      </c>
    </row>
    <row r="101" spans="1:14" s="41" customFormat="1" ht="15.2" customHeight="1">
      <c r="A101" s="11" ph="1"/>
      <c r="B101" s="5" t="s" ph="1">
        <v>146</v>
      </c>
      <c r="C101" s="37" t="s" ph="1">
        <v>145</v>
      </c>
      <c r="D101" s="16" ph="1">
        <v>535372</v>
      </c>
      <c r="E101" s="30" ph="1">
        <v>1.0900000000000001</v>
      </c>
      <c r="F101" s="30" ph="1">
        <v>0.47</v>
      </c>
      <c r="G101" s="17" ph="1"/>
      <c r="H101" s="30" ph="1"/>
      <c r="I101" s="62" ph="1">
        <v>5519</v>
      </c>
      <c r="J101" s="62" ph="1">
        <v>6139</v>
      </c>
      <c r="K101" s="62" ph="1">
        <v>6202</v>
      </c>
      <c r="L101" s="62" ph="1">
        <v>7530</v>
      </c>
      <c r="M101" s="62" ph="1">
        <v>4127</v>
      </c>
      <c r="N101" s="62" ph="1">
        <v>5125</v>
      </c>
    </row>
    <row r="102" spans="1:14" s="41" customFormat="1" ht="15.2" customHeight="1">
      <c r="A102" s="11" ph="1"/>
      <c r="B102" s="5" t="s" ph="1">
        <v>144</v>
      </c>
      <c r="C102" s="37" t="s" ph="1">
        <v>143</v>
      </c>
      <c r="D102" s="16" ph="1">
        <v>537068</v>
      </c>
      <c r="E102" s="30" ph="1">
        <v>1.08</v>
      </c>
      <c r="F102" s="30" ph="1">
        <v>0.46</v>
      </c>
      <c r="G102" s="17" ph="1"/>
      <c r="H102" s="30" ph="1"/>
      <c r="I102" s="62" ph="1">
        <v>6406</v>
      </c>
      <c r="J102" s="62" ph="1">
        <v>8565</v>
      </c>
      <c r="K102" s="62" ph="1">
        <v>6808</v>
      </c>
      <c r="L102" s="62" ph="1">
        <v>9007</v>
      </c>
      <c r="M102" s="62" ph="1">
        <v>3649</v>
      </c>
      <c r="N102" s="62" ph="1">
        <v>4801</v>
      </c>
    </row>
    <row r="103" spans="1:14" s="41" customFormat="1" ht="15.2" customHeight="1">
      <c r="A103" s="11" ph="1"/>
      <c r="B103" s="5" t="s" ph="1">
        <v>142</v>
      </c>
      <c r="C103" s="37" t="s" ph="1">
        <v>141</v>
      </c>
      <c r="D103" s="16" ph="1">
        <v>535309</v>
      </c>
      <c r="E103" s="30" ph="1">
        <v>1.1100000000000001</v>
      </c>
      <c r="F103" s="30" ph="1">
        <v>0.46</v>
      </c>
      <c r="G103" s="17" ph="1"/>
      <c r="H103" s="30" ph="1"/>
      <c r="I103" s="62" ph="1">
        <v>5440</v>
      </c>
      <c r="J103" s="62" ph="1">
        <v>7167</v>
      </c>
      <c r="K103" s="62" ph="1">
        <v>6124</v>
      </c>
      <c r="L103" s="62" ph="1">
        <v>7696</v>
      </c>
      <c r="M103" s="62" ph="1">
        <v>3719</v>
      </c>
      <c r="N103" s="62" ph="1">
        <v>4553</v>
      </c>
    </row>
    <row r="104" spans="1:14" s="41" customFormat="1" ht="15.2" customHeight="1">
      <c r="A104" s="11" ph="1"/>
      <c r="B104" s="5" t="s" ph="1">
        <v>140</v>
      </c>
      <c r="C104" s="37" t="s" ph="1">
        <v>139</v>
      </c>
      <c r="D104" s="16" ph="1">
        <v>535333</v>
      </c>
      <c r="E104" s="30" ph="1">
        <v>1.1100000000000001</v>
      </c>
      <c r="F104" s="30" ph="1">
        <v>0.47</v>
      </c>
      <c r="G104" s="17" ph="1"/>
      <c r="H104" s="30" ph="1"/>
      <c r="I104" s="62" ph="1">
        <v>5415</v>
      </c>
      <c r="J104" s="62" ph="1">
        <v>6708</v>
      </c>
      <c r="K104" s="62" ph="1">
        <v>4915</v>
      </c>
      <c r="L104" s="62" ph="1">
        <v>6001</v>
      </c>
      <c r="M104" s="62" ph="1">
        <v>2758</v>
      </c>
      <c r="N104" s="62" ph="1">
        <v>3254</v>
      </c>
    </row>
    <row r="105" spans="1:14" s="41" customFormat="1" ht="15.2" customHeight="1">
      <c r="A105" s="11" ph="1"/>
      <c r="B105" s="5" t="s" ph="1">
        <v>138</v>
      </c>
      <c r="C105" s="37" t="s" ph="1">
        <v>137</v>
      </c>
      <c r="D105" s="16" ph="1">
        <v>533730</v>
      </c>
      <c r="E105" s="30" ph="1">
        <v>1.06</v>
      </c>
      <c r="F105" s="30" ph="1">
        <v>0.46</v>
      </c>
      <c r="G105" s="17" ph="1"/>
      <c r="H105" s="30" ph="1"/>
      <c r="I105" s="62" ph="1">
        <v>4422</v>
      </c>
      <c r="J105" s="62" ph="1">
        <v>5573</v>
      </c>
      <c r="K105" s="62" ph="1">
        <v>5601</v>
      </c>
      <c r="L105" s="62" ph="1">
        <v>7284</v>
      </c>
      <c r="M105" s="62" ph="1">
        <v>3683</v>
      </c>
      <c r="N105" s="62" ph="1">
        <v>4655</v>
      </c>
    </row>
    <row r="106" spans="1:14" s="41" customFormat="1" ht="15.2" customHeight="1">
      <c r="A106" s="11" ph="1"/>
      <c r="B106" s="5" ph="1"/>
      <c r="C106" s="37" ph="1"/>
      <c r="D106" s="16" ph="1"/>
      <c r="E106" s="30" ph="1"/>
      <c r="F106" s="30" ph="1"/>
      <c r="G106" s="17" ph="1"/>
      <c r="H106" s="30" ph="1"/>
      <c r="I106" s="62" ph="1"/>
      <c r="J106" s="62" ph="1"/>
      <c r="K106" s="62" ph="1"/>
      <c r="L106" s="62" ph="1"/>
      <c r="M106" s="62" ph="1"/>
      <c r="N106" s="62" ph="1"/>
    </row>
    <row r="107" spans="1:14" s="41" customFormat="1" ht="15.2" customHeight="1">
      <c r="A107" s="11">
        <v>2003</v>
      </c>
      <c r="B107" s="5" t="s">
        <v>136</v>
      </c>
      <c r="C107" s="37" t="s">
        <v>135</v>
      </c>
      <c r="D107" s="16">
        <v>533806</v>
      </c>
      <c r="E107" s="30">
        <v>1.07</v>
      </c>
      <c r="F107" s="30">
        <v>0.46</v>
      </c>
      <c r="G107" s="17"/>
      <c r="H107" s="30"/>
      <c r="I107" s="62">
        <v>5897</v>
      </c>
      <c r="J107" s="62">
        <v>7234</v>
      </c>
      <c r="K107" s="62">
        <v>5235</v>
      </c>
      <c r="L107" s="62">
        <v>6219</v>
      </c>
      <c r="M107" s="62">
        <v>2772</v>
      </c>
      <c r="N107" s="62">
        <v>3234</v>
      </c>
    </row>
    <row r="108" spans="1:14" s="41" customFormat="1" ht="15.2" customHeight="1">
      <c r="A108" s="11" ph="1"/>
      <c r="B108" s="5" t="s" ph="1">
        <v>152</v>
      </c>
      <c r="C108" s="37" t="s" ph="1">
        <v>134</v>
      </c>
      <c r="D108" s="16" ph="1">
        <v>531593</v>
      </c>
      <c r="E108" s="30" ph="1">
        <v>1.0900000000000001</v>
      </c>
      <c r="F108" s="30" ph="1">
        <v>0.46</v>
      </c>
      <c r="G108" s="17" ph="1"/>
      <c r="H108" s="30" ph="1"/>
      <c r="I108" s="62" ph="1">
        <v>3506</v>
      </c>
      <c r="J108" s="62" ph="1">
        <v>3966</v>
      </c>
      <c r="K108" s="62" ph="1">
        <v>3637</v>
      </c>
      <c r="L108" s="62" ph="1">
        <v>4159</v>
      </c>
      <c r="M108" s="62" ph="1">
        <v>2333</v>
      </c>
      <c r="N108" s="62" ph="1">
        <v>2728</v>
      </c>
    </row>
    <row r="109" spans="1:14" s="41" customFormat="1" ht="15.2" customHeight="1">
      <c r="A109" s="11" ph="1"/>
      <c r="B109" s="5" t="s" ph="1">
        <v>154</v>
      </c>
      <c r="C109" s="37" t="s" ph="1">
        <v>157</v>
      </c>
      <c r="D109" s="16" ph="1">
        <v>528567</v>
      </c>
      <c r="E109" s="30" ph="1">
        <v>1.1100000000000001</v>
      </c>
      <c r="F109" s="30" ph="1">
        <v>0.46</v>
      </c>
      <c r="G109" s="17" ph="1"/>
      <c r="H109" s="30" ph="1"/>
      <c r="I109" s="62" ph="1">
        <v>4034</v>
      </c>
      <c r="J109" s="62" ph="1">
        <v>5117</v>
      </c>
      <c r="K109" s="62" ph="1">
        <v>5191</v>
      </c>
      <c r="L109" s="62" ph="1">
        <v>6865</v>
      </c>
      <c r="M109" s="62" ph="1">
        <v>3439</v>
      </c>
      <c r="N109" s="62" ph="1">
        <v>4390</v>
      </c>
    </row>
    <row r="110" spans="1:14" s="41" customFormat="1" ht="15.2" customHeight="1">
      <c r="A110" s="11" ph="1"/>
      <c r="B110" s="5" t="s" ph="1">
        <v>151</v>
      </c>
      <c r="C110" s="37" t="s" ph="1">
        <v>153</v>
      </c>
      <c r="D110" s="16" ph="1">
        <v>528191</v>
      </c>
      <c r="E110" s="30" ph="1">
        <v>1.1399999999999999</v>
      </c>
      <c r="F110" s="30" ph="1">
        <v>0.46</v>
      </c>
      <c r="G110" s="17" ph="1"/>
      <c r="H110" s="30" ph="1"/>
      <c r="I110" s="62" ph="1">
        <v>5228</v>
      </c>
      <c r="J110" s="62" ph="1">
        <v>6467</v>
      </c>
      <c r="K110" s="62" ph="1">
        <v>4859</v>
      </c>
      <c r="L110" s="62" ph="1">
        <v>5851</v>
      </c>
      <c r="M110" s="62" ph="1">
        <v>2659</v>
      </c>
      <c r="N110" s="62" ph="1">
        <v>3149</v>
      </c>
    </row>
    <row r="111" spans="1:14" s="41" customFormat="1" ht="15.2" customHeight="1">
      <c r="A111" s="11"/>
      <c r="B111" s="5" t="s">
        <v>110</v>
      </c>
      <c r="C111" s="37" t="s">
        <v>133</v>
      </c>
      <c r="D111" s="16">
        <v>526128</v>
      </c>
      <c r="E111" s="30">
        <v>1.1599999999999999</v>
      </c>
      <c r="F111" s="30">
        <v>0.48</v>
      </c>
      <c r="G111" s="17"/>
      <c r="H111" s="30"/>
      <c r="I111" s="62">
        <v>4491</v>
      </c>
      <c r="J111" s="62">
        <v>5141</v>
      </c>
      <c r="K111" s="62">
        <v>4748</v>
      </c>
      <c r="L111" s="62">
        <v>5385</v>
      </c>
      <c r="M111" s="62">
        <v>3072</v>
      </c>
      <c r="N111" s="62">
        <v>3561</v>
      </c>
    </row>
    <row r="112" spans="1:14" s="41" customFormat="1" ht="15.2" customHeight="1">
      <c r="A112" s="11"/>
      <c r="B112" s="5" t="s">
        <v>150</v>
      </c>
      <c r="C112" s="37" t="s">
        <v>149</v>
      </c>
      <c r="D112" s="16">
        <v>523500</v>
      </c>
      <c r="E112" s="30">
        <v>1.1200000000000001</v>
      </c>
      <c r="F112" s="30">
        <v>0.53</v>
      </c>
      <c r="G112" s="17"/>
      <c r="H112" s="30"/>
      <c r="I112" s="62">
        <v>4615</v>
      </c>
      <c r="J112" s="62">
        <v>5282</v>
      </c>
      <c r="K112" s="62">
        <v>5652</v>
      </c>
      <c r="L112" s="62">
        <v>6776</v>
      </c>
      <c r="M112" s="62">
        <v>3597</v>
      </c>
      <c r="N112" s="62">
        <v>4390</v>
      </c>
    </row>
    <row r="113" spans="1:14" s="41" customFormat="1" ht="15.2" customHeight="1">
      <c r="A113" s="11"/>
      <c r="B113" s="5" t="s">
        <v>148</v>
      </c>
      <c r="C113" s="37" t="s">
        <v>147</v>
      </c>
      <c r="D113" s="16">
        <v>522166</v>
      </c>
      <c r="E113" s="30">
        <v>1.1000000000000001</v>
      </c>
      <c r="F113" s="30">
        <v>0.55000000000000004</v>
      </c>
      <c r="G113" s="17"/>
      <c r="H113" s="30"/>
      <c r="I113" s="62">
        <v>5725</v>
      </c>
      <c r="J113" s="62">
        <v>6722</v>
      </c>
      <c r="K113" s="62">
        <v>7484</v>
      </c>
      <c r="L113" s="62">
        <v>8805</v>
      </c>
      <c r="M113" s="62">
        <v>5165</v>
      </c>
      <c r="N113" s="62">
        <v>6142</v>
      </c>
    </row>
    <row r="114" spans="1:14" s="41" customFormat="1" ht="15.2" customHeight="1">
      <c r="A114" s="11"/>
      <c r="B114" s="5" t="s">
        <v>146</v>
      </c>
      <c r="C114" s="37" t="s">
        <v>145</v>
      </c>
      <c r="D114" s="16">
        <v>522429</v>
      </c>
      <c r="E114" s="30">
        <v>1.0900000000000001</v>
      </c>
      <c r="F114" s="30">
        <v>0.55000000000000004</v>
      </c>
      <c r="G114" s="17"/>
      <c r="H114" s="30"/>
      <c r="I114" s="62">
        <v>6534</v>
      </c>
      <c r="J114" s="62">
        <v>7635</v>
      </c>
      <c r="K114" s="62">
        <v>5327</v>
      </c>
      <c r="L114" s="62">
        <v>5963</v>
      </c>
      <c r="M114" s="62">
        <v>3392</v>
      </c>
      <c r="N114" s="62">
        <v>3715</v>
      </c>
    </row>
    <row r="115" spans="1:14" s="41" customFormat="1" ht="15.2" customHeight="1">
      <c r="A115" s="11"/>
      <c r="B115" s="5" t="s">
        <v>144</v>
      </c>
      <c r="C115" s="37" t="s">
        <v>143</v>
      </c>
      <c r="D115" s="16">
        <v>520698</v>
      </c>
      <c r="E115" s="30">
        <v>1.05</v>
      </c>
      <c r="F115" s="30">
        <v>0.55000000000000004</v>
      </c>
      <c r="G115" s="17"/>
      <c r="H115" s="30"/>
      <c r="I115" s="62">
        <v>5181</v>
      </c>
      <c r="J115" s="62">
        <v>5849</v>
      </c>
      <c r="K115" s="62">
        <v>5956</v>
      </c>
      <c r="L115" s="62">
        <v>7530.49</v>
      </c>
      <c r="M115" s="62">
        <v>4191</v>
      </c>
      <c r="N115" s="62">
        <v>5560</v>
      </c>
    </row>
    <row r="116" spans="1:14" s="41" customFormat="1" ht="15.2" customHeight="1">
      <c r="A116" s="11"/>
      <c r="B116" s="5" t="s">
        <v>142</v>
      </c>
      <c r="C116" s="37" t="s">
        <v>141</v>
      </c>
      <c r="D116" s="16">
        <v>521206</v>
      </c>
      <c r="E116" s="30">
        <v>0.99</v>
      </c>
      <c r="F116" s="30">
        <v>0.56000000000000005</v>
      </c>
      <c r="G116" s="17"/>
      <c r="H116" s="30"/>
      <c r="I116" s="62">
        <v>6613</v>
      </c>
      <c r="J116" s="62">
        <v>8503</v>
      </c>
      <c r="K116" s="62">
        <v>7849</v>
      </c>
      <c r="L116" s="62">
        <v>10518</v>
      </c>
      <c r="M116" s="62">
        <v>5269</v>
      </c>
      <c r="N116" s="62">
        <v>7083</v>
      </c>
    </row>
    <row r="117" spans="1:14" s="41" customFormat="1" ht="15.2" customHeight="1">
      <c r="A117" s="11"/>
      <c r="B117" s="5" t="s">
        <v>140</v>
      </c>
      <c r="C117" s="37" t="s">
        <v>139</v>
      </c>
      <c r="D117" s="16">
        <v>522300</v>
      </c>
      <c r="E117" s="30">
        <v>0.97</v>
      </c>
      <c r="F117" s="30">
        <v>0.54</v>
      </c>
      <c r="G117" s="17"/>
      <c r="H117" s="30"/>
      <c r="I117" s="62">
        <v>6852</v>
      </c>
      <c r="J117" s="62">
        <v>8935</v>
      </c>
      <c r="K117" s="62">
        <v>5989</v>
      </c>
      <c r="L117" s="62">
        <v>8121</v>
      </c>
      <c r="M117" s="62">
        <v>3806</v>
      </c>
      <c r="N117" s="62">
        <v>5227</v>
      </c>
    </row>
    <row r="118" spans="1:14" s="41" customFormat="1" ht="15.2" customHeight="1">
      <c r="A118" s="11" ph="1"/>
      <c r="B118" s="5" t="s" ph="1">
        <v>138</v>
      </c>
      <c r="C118" s="37" t="s" ph="1">
        <v>137</v>
      </c>
      <c r="D118" s="16" ph="1">
        <v>522237</v>
      </c>
      <c r="E118" s="30" ph="1">
        <v>0.86</v>
      </c>
      <c r="F118" s="30" ph="1">
        <v>0.52</v>
      </c>
      <c r="G118" s="17" ph="1"/>
      <c r="H118" s="30" ph="1"/>
      <c r="I118" s="62" ph="1">
        <v>6427</v>
      </c>
      <c r="J118" s="62" ph="1">
        <v>8631</v>
      </c>
      <c r="K118" s="62" ph="1">
        <v>6227</v>
      </c>
      <c r="L118" s="62" ph="1">
        <v>8602</v>
      </c>
      <c r="M118" s="62" ph="1">
        <v>3712</v>
      </c>
      <c r="N118" s="62" ph="1">
        <v>5046</v>
      </c>
    </row>
    <row r="119" spans="1:14" s="41" customFormat="1" ht="15.2" customHeight="1">
      <c r="A119" s="11"/>
      <c r="B119" s="5"/>
      <c r="C119" s="37"/>
      <c r="D119" s="16"/>
      <c r="E119" s="30"/>
      <c r="F119" s="30"/>
      <c r="G119" s="17"/>
      <c r="H119" s="30"/>
      <c r="I119" s="62"/>
      <c r="J119" s="62"/>
      <c r="K119" s="62"/>
      <c r="L119" s="62"/>
      <c r="M119" s="62"/>
      <c r="N119" s="62"/>
    </row>
    <row r="120" spans="1:14" s="41" customFormat="1" ht="15.2" customHeight="1">
      <c r="A120" s="11">
        <v>2004</v>
      </c>
      <c r="B120" s="5" t="s">
        <v>136</v>
      </c>
      <c r="C120" s="37" t="s">
        <v>135</v>
      </c>
      <c r="D120" s="16">
        <v>521512</v>
      </c>
      <c r="E120" s="30">
        <v>0.83</v>
      </c>
      <c r="F120" s="30">
        <v>0.51</v>
      </c>
      <c r="G120" s="17"/>
      <c r="H120" s="30"/>
      <c r="I120" s="62">
        <v>5389</v>
      </c>
      <c r="J120" s="62">
        <v>7188</v>
      </c>
      <c r="K120" s="62">
        <v>6804</v>
      </c>
      <c r="L120" s="62">
        <v>9590</v>
      </c>
      <c r="M120" s="62">
        <v>4648</v>
      </c>
      <c r="N120" s="62">
        <v>6690</v>
      </c>
    </row>
    <row r="121" spans="1:14" s="41" customFormat="1" ht="15.2" customHeight="1">
      <c r="A121" s="11"/>
      <c r="B121" s="5" t="s">
        <v>152</v>
      </c>
      <c r="C121" s="37" t="s">
        <v>134</v>
      </c>
      <c r="D121" s="16">
        <v>523221</v>
      </c>
      <c r="E121" s="30">
        <v>0.79</v>
      </c>
      <c r="F121" s="30">
        <v>0.51</v>
      </c>
      <c r="G121" s="17"/>
      <c r="H121" s="30"/>
      <c r="I121" s="62">
        <v>6467</v>
      </c>
      <c r="J121" s="62">
        <v>9455</v>
      </c>
      <c r="K121" s="62">
        <v>8041</v>
      </c>
      <c r="L121" s="62">
        <v>12626</v>
      </c>
      <c r="M121" s="62">
        <v>5495</v>
      </c>
      <c r="N121" s="62">
        <v>8710</v>
      </c>
    </row>
    <row r="122" spans="1:14" s="41" customFormat="1" ht="15.2" customHeight="1">
      <c r="A122" s="11"/>
      <c r="B122" s="5" t="s">
        <v>154</v>
      </c>
      <c r="C122" s="37" t="s">
        <v>157</v>
      </c>
      <c r="D122" s="16">
        <v>525313</v>
      </c>
      <c r="E122" s="30">
        <v>0.7</v>
      </c>
      <c r="F122" s="30">
        <v>0.49</v>
      </c>
      <c r="G122" s="17"/>
      <c r="H122" s="30"/>
      <c r="I122" s="62">
        <v>8530</v>
      </c>
      <c r="J122" s="62">
        <v>13140</v>
      </c>
      <c r="K122" s="62">
        <v>10377</v>
      </c>
      <c r="L122" s="62">
        <v>16039</v>
      </c>
      <c r="M122" s="62">
        <v>6611</v>
      </c>
      <c r="N122" s="62">
        <v>10152</v>
      </c>
    </row>
    <row r="123" spans="1:14" s="41" customFormat="1" ht="15.2" customHeight="1">
      <c r="A123" s="11"/>
      <c r="B123" s="5" t="s">
        <v>151</v>
      </c>
      <c r="C123" s="37" t="s">
        <v>153</v>
      </c>
      <c r="D123" s="16">
        <v>525793</v>
      </c>
      <c r="E123" s="30">
        <v>0.66</v>
      </c>
      <c r="F123" s="30">
        <v>0.5</v>
      </c>
      <c r="G123" s="17"/>
      <c r="H123" s="30"/>
      <c r="I123" s="62">
        <v>7857</v>
      </c>
      <c r="J123" s="62">
        <v>11526</v>
      </c>
      <c r="K123" s="62">
        <v>8161</v>
      </c>
      <c r="L123" s="62">
        <v>12399</v>
      </c>
      <c r="M123" s="62">
        <v>5235</v>
      </c>
      <c r="N123" s="62">
        <v>8046</v>
      </c>
    </row>
    <row r="124" spans="1:14" s="41" customFormat="1" ht="15.2" customHeight="1">
      <c r="A124" s="11"/>
      <c r="B124" s="5" t="s">
        <v>110</v>
      </c>
      <c r="C124" s="37" t="s">
        <v>133</v>
      </c>
      <c r="D124" s="16">
        <v>524893</v>
      </c>
      <c r="E124" s="30">
        <v>0.63</v>
      </c>
      <c r="F124" s="30">
        <v>0.49</v>
      </c>
      <c r="G124" s="17"/>
      <c r="H124" s="30"/>
      <c r="I124" s="62">
        <v>7047</v>
      </c>
      <c r="J124" s="62">
        <v>10440</v>
      </c>
      <c r="K124" s="62">
        <v>7642</v>
      </c>
      <c r="L124" s="62">
        <v>11618</v>
      </c>
      <c r="M124" s="62">
        <v>5069</v>
      </c>
      <c r="N124" s="62">
        <v>7864</v>
      </c>
    </row>
    <row r="125" spans="1:14" s="41" customFormat="1" ht="15.2" customHeight="1">
      <c r="A125" s="11"/>
      <c r="B125" s="5" t="s">
        <v>150</v>
      </c>
      <c r="C125" s="37" t="s">
        <v>149</v>
      </c>
      <c r="D125" s="16">
        <v>524218</v>
      </c>
      <c r="E125" s="30">
        <v>0.56999999999999995</v>
      </c>
      <c r="F125" s="30">
        <v>0.49</v>
      </c>
      <c r="G125" s="17"/>
      <c r="H125" s="30"/>
      <c r="I125" s="62">
        <v>7095</v>
      </c>
      <c r="J125" s="62">
        <v>10482</v>
      </c>
      <c r="K125" s="62">
        <v>7880</v>
      </c>
      <c r="L125" s="62">
        <v>11785</v>
      </c>
      <c r="M125" s="62">
        <v>5065</v>
      </c>
      <c r="N125" s="62">
        <v>7909</v>
      </c>
    </row>
    <row r="126" spans="1:14" s="41" customFormat="1" ht="15.2" customHeight="1">
      <c r="A126" s="11"/>
      <c r="B126" s="5" t="s">
        <v>148</v>
      </c>
      <c r="C126" s="37" t="s">
        <v>147</v>
      </c>
      <c r="D126" s="16">
        <v>524271</v>
      </c>
      <c r="E126" s="30">
        <v>0.54</v>
      </c>
      <c r="F126" s="30">
        <v>0.5</v>
      </c>
      <c r="G126" s="17"/>
      <c r="H126" s="30"/>
      <c r="I126" s="62">
        <v>7524</v>
      </c>
      <c r="J126" s="62">
        <v>10802</v>
      </c>
      <c r="K126" s="62">
        <v>8018</v>
      </c>
      <c r="L126" s="62">
        <v>11744</v>
      </c>
      <c r="M126" s="62">
        <v>4680</v>
      </c>
      <c r="N126" s="62">
        <v>7298</v>
      </c>
    </row>
    <row r="127" spans="1:14" s="41" customFormat="1" ht="15.2" customHeight="1">
      <c r="A127" s="11" ph="1"/>
      <c r="B127" s="5" t="s" ph="1">
        <v>146</v>
      </c>
      <c r="C127" s="37" t="s" ph="1">
        <v>145</v>
      </c>
      <c r="D127" s="16" ph="1">
        <v>523317</v>
      </c>
      <c r="E127" s="30" ph="1">
        <v>0.5</v>
      </c>
      <c r="F127" s="30" ph="1">
        <v>0.5</v>
      </c>
      <c r="G127" s="17" ph="1"/>
      <c r="H127" s="30" ph="1"/>
      <c r="I127" s="62" ph="1">
        <v>6253</v>
      </c>
      <c r="J127" s="62" ph="1">
        <v>9232</v>
      </c>
      <c r="K127" s="62" ph="1">
        <v>7477</v>
      </c>
      <c r="L127" s="62" ph="1">
        <v>11683</v>
      </c>
      <c r="M127" s="62" ph="1">
        <v>5062</v>
      </c>
      <c r="N127" s="62" ph="1">
        <v>8212</v>
      </c>
    </row>
    <row r="128" spans="1:14" s="41" customFormat="1" ht="15.2" customHeight="1">
      <c r="A128" s="11"/>
      <c r="B128" s="5" t="s">
        <v>144</v>
      </c>
      <c r="C128" s="37" t="s">
        <v>143</v>
      </c>
      <c r="D128" s="16">
        <v>523626</v>
      </c>
      <c r="E128" s="30">
        <v>0.47</v>
      </c>
      <c r="F128" s="30">
        <v>0.5</v>
      </c>
      <c r="G128" s="17"/>
      <c r="H128" s="30"/>
      <c r="I128" s="62">
        <v>7190</v>
      </c>
      <c r="J128" s="62">
        <v>11333</v>
      </c>
      <c r="K128" s="62">
        <v>7714</v>
      </c>
      <c r="L128" s="62">
        <v>12544</v>
      </c>
      <c r="M128" s="62">
        <v>4872</v>
      </c>
      <c r="N128" s="62">
        <v>7826</v>
      </c>
    </row>
    <row r="129" spans="1:15" s="41" customFormat="1" ht="15.2" customHeight="1">
      <c r="A129" s="11" ph="1"/>
      <c r="B129" s="5" t="s" ph="1">
        <v>142</v>
      </c>
      <c r="C129" s="37" t="s" ph="1">
        <v>141</v>
      </c>
      <c r="D129" s="16" ph="1">
        <v>524961</v>
      </c>
      <c r="E129" s="30" ph="1">
        <v>0.43</v>
      </c>
      <c r="F129" s="30" ph="1">
        <v>0.5</v>
      </c>
      <c r="G129" s="17" ph="1"/>
      <c r="H129" s="30" ph="1"/>
      <c r="I129" s="62" ph="1">
        <v>7307</v>
      </c>
      <c r="J129" s="62" ph="1">
        <v>12288</v>
      </c>
      <c r="K129" s="62" ph="1">
        <v>8969</v>
      </c>
      <c r="L129" s="62" ph="1">
        <v>15676</v>
      </c>
      <c r="M129" s="62" ph="1">
        <v>5837</v>
      </c>
      <c r="N129" s="62" ph="1">
        <v>10099</v>
      </c>
    </row>
    <row r="130" spans="1:15" s="41" customFormat="1" ht="15.2" customHeight="1">
      <c r="A130" s="11" ph="1"/>
      <c r="B130" s="5" t="s" ph="1">
        <v>140</v>
      </c>
      <c r="C130" s="37" t="s" ph="1">
        <v>139</v>
      </c>
      <c r="D130" s="16" ph="1">
        <v>527034</v>
      </c>
      <c r="E130" s="30" ph="1">
        <v>0.4</v>
      </c>
      <c r="F130" s="30" ph="1">
        <v>0.48</v>
      </c>
      <c r="G130" s="17" ph="1"/>
      <c r="H130" s="30" ph="1"/>
      <c r="I130" s="62" ph="1">
        <v>8535</v>
      </c>
      <c r="J130" s="62" ph="1">
        <v>13881</v>
      </c>
      <c r="K130" s="62" ph="1">
        <v>9249</v>
      </c>
      <c r="L130" s="62" ph="1">
        <v>14881</v>
      </c>
      <c r="M130" s="62" ph="1">
        <v>5922</v>
      </c>
      <c r="N130" s="62" ph="1">
        <v>9665</v>
      </c>
    </row>
    <row r="131" spans="1:15" s="48" customFormat="1" ht="15.2" customHeight="1">
      <c r="A131" s="61" ph="1"/>
      <c r="B131" s="20" t="s" ph="1">
        <v>138</v>
      </c>
      <c r="C131" s="47" t="s" ph="1">
        <v>137</v>
      </c>
      <c r="D131" s="16" ph="1">
        <v>527868</v>
      </c>
      <c r="E131" s="30" ph="1">
        <v>0.38</v>
      </c>
      <c r="F131" s="30" ph="1">
        <v>0.47</v>
      </c>
      <c r="G131" s="17" ph="1"/>
      <c r="H131" s="30" ph="1"/>
      <c r="I131" s="16" ph="1">
        <v>8919</v>
      </c>
      <c r="J131" s="16" ph="1">
        <v>13781</v>
      </c>
      <c r="K131" s="16" ph="1">
        <v>9152</v>
      </c>
      <c r="L131" s="16" ph="1">
        <v>15135</v>
      </c>
      <c r="M131" s="16" ph="1">
        <v>5731</v>
      </c>
      <c r="N131" s="16" ph="1">
        <v>9639</v>
      </c>
      <c r="O131" s="41"/>
    </row>
    <row r="132" spans="1:15" s="48" customFormat="1" ht="15.2" customHeight="1">
      <c r="A132" s="61" ph="1"/>
      <c r="B132" s="20" ph="1"/>
      <c r="C132" s="47" ph="1"/>
      <c r="D132" s="16" ph="1"/>
      <c r="E132" s="30" ph="1"/>
      <c r="F132" s="30" ph="1"/>
      <c r="G132" s="17" ph="1"/>
      <c r="H132" s="30" ph="1"/>
      <c r="I132" s="16" ph="1"/>
      <c r="J132" s="16" ph="1"/>
      <c r="K132" s="16" ph="1"/>
      <c r="L132" s="16" ph="1"/>
      <c r="M132" s="16" ph="1"/>
      <c r="N132" s="16" ph="1"/>
      <c r="O132" s="41"/>
    </row>
    <row r="133" spans="1:15" s="48" customFormat="1" ht="15.2" customHeight="1">
      <c r="A133" s="11" ph="1">
        <v>2005</v>
      </c>
      <c r="B133" s="5" t="s" ph="1">
        <v>136</v>
      </c>
      <c r="C133" s="37" t="s" ph="1">
        <v>135</v>
      </c>
      <c r="D133" s="16" ph="1">
        <v>529012</v>
      </c>
      <c r="E133" s="30" ph="1">
        <v>0.36</v>
      </c>
      <c r="F133" s="30" ph="1">
        <v>0.45</v>
      </c>
      <c r="G133" s="17" ph="1"/>
      <c r="H133" s="30" ph="1"/>
      <c r="I133" s="16" ph="1">
        <v>8060</v>
      </c>
      <c r="J133" s="16" ph="1">
        <v>12427</v>
      </c>
      <c r="K133" s="16" ph="1">
        <v>9026</v>
      </c>
      <c r="L133" s="16" ph="1">
        <v>14780</v>
      </c>
      <c r="M133" s="16" ph="1">
        <v>5744</v>
      </c>
      <c r="N133" s="16" ph="1">
        <v>10125</v>
      </c>
      <c r="O133" s="41"/>
    </row>
    <row r="134" spans="1:15" s="48" customFormat="1" ht="15.2" customHeight="1">
      <c r="A134" s="11" ph="1"/>
      <c r="B134" s="5" t="s" ph="1">
        <v>152</v>
      </c>
      <c r="C134" s="37" t="s" ph="1">
        <v>134</v>
      </c>
      <c r="D134" s="16" ph="1">
        <v>531890</v>
      </c>
      <c r="E134" s="30" ph="1">
        <v>0.33</v>
      </c>
      <c r="F134" s="30" ph="1">
        <v>0.44</v>
      </c>
      <c r="G134" s="17" ph="1"/>
      <c r="H134" s="30" ph="1"/>
      <c r="I134" s="16" ph="1">
        <v>7490</v>
      </c>
      <c r="J134" s="16" ph="1">
        <v>12789</v>
      </c>
      <c r="K134" s="16" ph="1">
        <v>7582</v>
      </c>
      <c r="L134" s="16" ph="1">
        <v>13131</v>
      </c>
      <c r="M134" s="16" ph="1">
        <v>4925</v>
      </c>
      <c r="N134" s="16" ph="1">
        <v>8662</v>
      </c>
      <c r="O134" s="41"/>
    </row>
    <row r="135" spans="1:15" s="48" customFormat="1" ht="15.2" customHeight="1">
      <c r="A135" s="11" ph="1"/>
      <c r="B135" s="5" t="s" ph="1">
        <v>154</v>
      </c>
      <c r="C135" s="37" t="s" ph="1">
        <v>157</v>
      </c>
      <c r="D135" s="16" ph="1">
        <v>533240</v>
      </c>
      <c r="E135" s="30" ph="1">
        <v>0.28999999999999998</v>
      </c>
      <c r="F135" s="30" ph="1">
        <v>0.42</v>
      </c>
      <c r="G135" s="17" ph="1"/>
      <c r="H135" s="30" ph="1"/>
      <c r="I135" s="16" ph="1">
        <v>8136</v>
      </c>
      <c r="J135" s="16" ph="1">
        <v>13623</v>
      </c>
      <c r="K135" s="16" ph="1">
        <v>10779</v>
      </c>
      <c r="L135" s="16" ph="1">
        <v>19016</v>
      </c>
      <c r="M135" s="16" ph="1">
        <v>7570</v>
      </c>
      <c r="N135" s="16" ph="1">
        <v>13587</v>
      </c>
      <c r="O135" s="41"/>
    </row>
    <row r="136" spans="1:15" s="48" customFormat="1" ht="15.2" customHeight="1">
      <c r="A136" s="11" ph="1"/>
      <c r="B136" s="5" t="s" ph="1">
        <v>151</v>
      </c>
      <c r="C136" s="37" t="s" ph="1">
        <v>153</v>
      </c>
      <c r="D136" s="16" ph="1">
        <v>536971</v>
      </c>
      <c r="E136" s="30" ph="1">
        <v>0.26</v>
      </c>
      <c r="F136" s="30" ph="1">
        <v>0.41</v>
      </c>
      <c r="G136" s="17" ph="1"/>
      <c r="H136" s="30" ph="1"/>
      <c r="I136" s="16" ph="1">
        <v>10061</v>
      </c>
      <c r="J136" s="16" ph="1">
        <v>17790</v>
      </c>
      <c r="K136" s="16" ph="1">
        <v>13073</v>
      </c>
      <c r="L136" s="16" ph="1">
        <v>22370</v>
      </c>
      <c r="M136" s="16" ph="1">
        <v>9120</v>
      </c>
      <c r="N136" s="16" ph="1">
        <v>15393</v>
      </c>
      <c r="O136" s="41"/>
    </row>
    <row r="137" spans="1:15" s="48" customFormat="1" ht="15.2" customHeight="1">
      <c r="A137" s="11" ph="1"/>
      <c r="B137" s="5" t="s" ph="1">
        <v>110</v>
      </c>
      <c r="C137" s="37" t="s" ph="1">
        <v>133</v>
      </c>
      <c r="D137" s="16" ph="1">
        <v>540311</v>
      </c>
      <c r="E137" s="30" ph="1">
        <v>0.24</v>
      </c>
      <c r="F137" s="30" ph="1">
        <v>0.4</v>
      </c>
      <c r="G137" s="17" ph="1"/>
      <c r="H137" s="30" ph="1"/>
      <c r="I137" s="16" ph="1">
        <v>11032</v>
      </c>
      <c r="J137" s="16" ph="1">
        <v>18260</v>
      </c>
      <c r="K137" s="16" ph="1">
        <v>10425</v>
      </c>
      <c r="L137" s="16" ph="1">
        <v>16971</v>
      </c>
      <c r="M137" s="16" ph="1">
        <v>6798</v>
      </c>
      <c r="N137" s="16" ph="1">
        <v>11237</v>
      </c>
      <c r="O137" s="41"/>
    </row>
    <row r="138" spans="1:15" s="48" customFormat="1" ht="15.2" customHeight="1">
      <c r="A138" s="11" ph="1"/>
      <c r="B138" s="5" t="s" ph="1">
        <v>150</v>
      </c>
      <c r="C138" s="37" t="s" ph="1">
        <v>149</v>
      </c>
      <c r="D138" s="16" ph="1">
        <v>543319</v>
      </c>
      <c r="E138" s="30" ph="1">
        <v>0.22</v>
      </c>
      <c r="F138" s="30" ph="1">
        <v>0.38</v>
      </c>
      <c r="G138" s="17" ph="1"/>
      <c r="H138" s="30" ph="1"/>
      <c r="I138" s="16" ph="1">
        <v>10216</v>
      </c>
      <c r="J138" s="16" ph="1">
        <v>16712</v>
      </c>
      <c r="K138" s="16" ph="1">
        <v>9066</v>
      </c>
      <c r="L138" s="16" ph="1">
        <v>14831</v>
      </c>
      <c r="M138" s="16" ph="1">
        <v>5517</v>
      </c>
      <c r="N138" s="16" ph="1">
        <v>9101</v>
      </c>
      <c r="O138" s="41"/>
    </row>
    <row r="139" spans="1:15" s="48" customFormat="1" ht="15.2" customHeight="1">
      <c r="A139" s="11"/>
      <c r="B139" s="5" t="s">
        <v>148</v>
      </c>
      <c r="C139" s="37" t="s">
        <v>147</v>
      </c>
      <c r="D139" s="16">
        <v>542020</v>
      </c>
      <c r="E139" s="30">
        <v>0.22</v>
      </c>
      <c r="F139" s="30">
        <v>0.37</v>
      </c>
      <c r="G139" s="17"/>
      <c r="H139" s="30"/>
      <c r="I139" s="16">
        <v>6896</v>
      </c>
      <c r="J139" s="16">
        <v>10955</v>
      </c>
      <c r="K139" s="16">
        <v>6343</v>
      </c>
      <c r="L139" s="16">
        <v>9930</v>
      </c>
      <c r="M139" s="16">
        <v>4311</v>
      </c>
      <c r="N139" s="16">
        <v>6817</v>
      </c>
      <c r="O139" s="41"/>
    </row>
    <row r="140" spans="1:15" s="48" customFormat="1" ht="15.2" customHeight="1">
      <c r="A140" s="11" ph="1"/>
      <c r="B140" s="5" t="s" ph="1">
        <v>146</v>
      </c>
      <c r="C140" s="37" t="s" ph="1">
        <v>145</v>
      </c>
      <c r="D140" s="16" ph="1">
        <v>540093</v>
      </c>
      <c r="E140" s="30" ph="1">
        <v>0.19</v>
      </c>
      <c r="F140" s="30" ph="1">
        <v>0.37</v>
      </c>
      <c r="G140" s="17" ph="1"/>
      <c r="H140" s="30" ph="1"/>
      <c r="I140" s="16" ph="1">
        <v>5808</v>
      </c>
      <c r="J140" s="16" ph="1">
        <v>8601</v>
      </c>
      <c r="K140" s="16" ph="1">
        <v>6525</v>
      </c>
      <c r="L140" s="16" ph="1">
        <v>9991</v>
      </c>
      <c r="M140" s="16" ph="1">
        <v>4463</v>
      </c>
      <c r="N140" s="16" ph="1">
        <v>7094</v>
      </c>
      <c r="O140" s="41"/>
    </row>
    <row r="141" spans="1:15" s="48" customFormat="1" ht="15.2" customHeight="1">
      <c r="A141" s="11" ph="1"/>
      <c r="B141" s="5" t="s" ph="1">
        <v>144</v>
      </c>
      <c r="C141" s="37" t="s" ph="1">
        <v>143</v>
      </c>
      <c r="D141" s="16" ph="1">
        <v>538566</v>
      </c>
      <c r="E141" s="30" ph="1">
        <v>0.18</v>
      </c>
      <c r="F141" s="30" ph="1">
        <v>0.36</v>
      </c>
      <c r="G141" s="17" ph="1"/>
      <c r="H141" s="30" ph="1"/>
      <c r="I141" s="16" ph="1">
        <v>5560</v>
      </c>
      <c r="J141" s="16" ph="1">
        <v>8525</v>
      </c>
      <c r="K141" s="16" ph="1">
        <v>6151</v>
      </c>
      <c r="L141" s="16" ph="1">
        <v>9831</v>
      </c>
      <c r="M141" s="16" ph="1">
        <v>4142</v>
      </c>
      <c r="N141" s="16" ph="1">
        <v>6574</v>
      </c>
      <c r="O141" s="41"/>
    </row>
    <row r="142" spans="1:15" s="48" customFormat="1" ht="15.2" customHeight="1">
      <c r="A142" s="11" ph="1"/>
      <c r="B142" s="5" t="s" ph="1">
        <v>142</v>
      </c>
      <c r="C142" s="37" t="s" ph="1">
        <v>141</v>
      </c>
      <c r="D142" s="16" ph="1">
        <v>536789</v>
      </c>
      <c r="E142" s="30" ph="1">
        <v>0.19</v>
      </c>
      <c r="F142" s="30" ph="1">
        <v>0.35</v>
      </c>
      <c r="G142" s="17" ph="1"/>
      <c r="H142" s="30" ph="1"/>
      <c r="I142" s="16" ph="1">
        <v>5114</v>
      </c>
      <c r="J142" s="16" ph="1">
        <v>7847</v>
      </c>
      <c r="K142" s="16" ph="1">
        <v>5982</v>
      </c>
      <c r="L142" s="16" ph="1">
        <v>9626</v>
      </c>
      <c r="M142" s="16" ph="1">
        <v>4047</v>
      </c>
      <c r="N142" s="16" ph="1">
        <v>6466</v>
      </c>
      <c r="O142" s="41"/>
    </row>
    <row r="143" spans="1:15" s="48" customFormat="1" ht="15.2" customHeight="1">
      <c r="A143" s="11"/>
      <c r="B143" s="5" t="s">
        <v>140</v>
      </c>
      <c r="C143" s="37" t="s">
        <v>139</v>
      </c>
      <c r="D143" s="16">
        <v>535207</v>
      </c>
      <c r="E143" s="30">
        <v>0.18</v>
      </c>
      <c r="F143" s="30">
        <v>0.35</v>
      </c>
      <c r="G143" s="17"/>
      <c r="H143" s="30"/>
      <c r="I143" s="16">
        <v>5094</v>
      </c>
      <c r="J143" s="16">
        <v>7776</v>
      </c>
      <c r="K143" s="16">
        <v>5592</v>
      </c>
      <c r="L143" s="16">
        <v>8726</v>
      </c>
      <c r="M143" s="16">
        <v>3729</v>
      </c>
      <c r="N143" s="16">
        <v>5933</v>
      </c>
      <c r="O143" s="41"/>
    </row>
    <row r="144" spans="1:15" s="48" customFormat="1" ht="15.2" customHeight="1">
      <c r="A144" s="11"/>
      <c r="B144" s="5" t="s">
        <v>138</v>
      </c>
      <c r="C144" s="47" t="s">
        <v>137</v>
      </c>
      <c r="D144" s="16">
        <v>533069</v>
      </c>
      <c r="E144" s="30">
        <v>0.19</v>
      </c>
      <c r="F144" s="30">
        <v>0.35</v>
      </c>
      <c r="G144" s="17"/>
      <c r="H144" s="30"/>
      <c r="I144" s="16">
        <v>4927</v>
      </c>
      <c r="J144" s="16">
        <v>7509</v>
      </c>
      <c r="K144" s="16">
        <v>4989</v>
      </c>
      <c r="L144" s="16">
        <v>7676</v>
      </c>
      <c r="M144" s="16">
        <v>3279</v>
      </c>
      <c r="N144" s="16">
        <v>5253</v>
      </c>
      <c r="O144" s="41"/>
    </row>
    <row r="145" spans="1:15" s="48" customFormat="1" ht="15.2" customHeight="1">
      <c r="A145" s="11"/>
      <c r="B145" s="5"/>
      <c r="C145" s="47"/>
      <c r="D145" s="16"/>
      <c r="E145" s="30"/>
      <c r="F145" s="30"/>
      <c r="G145" s="17"/>
      <c r="H145" s="30"/>
      <c r="I145" s="16"/>
      <c r="J145" s="16"/>
      <c r="K145" s="16"/>
      <c r="L145" s="16"/>
      <c r="M145" s="16"/>
      <c r="N145" s="16"/>
      <c r="O145" s="41"/>
    </row>
    <row r="146" spans="1:15" s="48" customFormat="1" ht="15.2" customHeight="1">
      <c r="A146" s="11">
        <v>2006</v>
      </c>
      <c r="B146" s="5" t="s">
        <v>136</v>
      </c>
      <c r="C146" s="47" t="s">
        <v>135</v>
      </c>
      <c r="D146" s="16">
        <v>531887</v>
      </c>
      <c r="E146" s="30">
        <v>0.19</v>
      </c>
      <c r="F146" s="30">
        <v>0.34</v>
      </c>
      <c r="G146" s="17"/>
      <c r="H146" s="30"/>
      <c r="I146" s="16">
        <v>4011</v>
      </c>
      <c r="J146" s="16">
        <v>5985</v>
      </c>
      <c r="K146" s="16">
        <v>4842</v>
      </c>
      <c r="L146" s="16">
        <v>7557</v>
      </c>
      <c r="M146" s="16">
        <v>3410</v>
      </c>
      <c r="N146" s="16">
        <v>5593</v>
      </c>
      <c r="O146" s="41"/>
    </row>
    <row r="147" spans="1:15" s="48" customFormat="1" ht="15.2" customHeight="1">
      <c r="A147" s="11"/>
      <c r="B147" s="5" t="s">
        <v>152</v>
      </c>
      <c r="C147" s="37" t="s">
        <v>134</v>
      </c>
      <c r="D147" s="16">
        <v>531144</v>
      </c>
      <c r="E147" s="30">
        <v>0.2</v>
      </c>
      <c r="F147" s="30">
        <v>0.34</v>
      </c>
      <c r="G147" s="17"/>
      <c r="H147" s="30"/>
      <c r="I147" s="16">
        <v>4581</v>
      </c>
      <c r="J147" s="16">
        <v>7503</v>
      </c>
      <c r="K147" s="16">
        <v>4677</v>
      </c>
      <c r="L147" s="16">
        <v>7735</v>
      </c>
      <c r="M147" s="16">
        <v>3064</v>
      </c>
      <c r="N147" s="16">
        <v>5300</v>
      </c>
      <c r="O147" s="41"/>
    </row>
    <row r="148" spans="1:15" s="48" customFormat="1" ht="15.2" customHeight="1">
      <c r="A148" s="11"/>
      <c r="B148" s="5" t="s">
        <v>154</v>
      </c>
      <c r="C148" s="37" t="s">
        <v>157</v>
      </c>
      <c r="D148" s="16">
        <v>528536</v>
      </c>
      <c r="E148" s="30">
        <v>0.19</v>
      </c>
      <c r="F148" s="30">
        <v>0.34</v>
      </c>
      <c r="G148" s="17"/>
      <c r="H148" s="30"/>
      <c r="I148" s="16">
        <v>4808</v>
      </c>
      <c r="J148" s="16">
        <v>7486</v>
      </c>
      <c r="K148" s="16">
        <v>7520</v>
      </c>
      <c r="L148" s="16">
        <v>12611</v>
      </c>
      <c r="M148" s="16">
        <v>4911</v>
      </c>
      <c r="N148" s="16">
        <v>8669</v>
      </c>
      <c r="O148" s="41"/>
    </row>
    <row r="149" spans="1:15" s="48" customFormat="1" ht="15.2" customHeight="1">
      <c r="A149" s="11"/>
      <c r="B149" s="5" t="s">
        <v>151</v>
      </c>
      <c r="C149" s="37" t="s">
        <v>153</v>
      </c>
      <c r="D149" s="16">
        <v>527021</v>
      </c>
      <c r="E149" s="30">
        <v>0.19</v>
      </c>
      <c r="F149" s="30">
        <v>0.33</v>
      </c>
      <c r="G149" s="17"/>
      <c r="H149" s="30"/>
      <c r="I149" s="16">
        <v>5626</v>
      </c>
      <c r="J149" s="16">
        <v>8890</v>
      </c>
      <c r="K149" s="16">
        <v>6774</v>
      </c>
      <c r="L149" s="16">
        <v>11467</v>
      </c>
      <c r="M149" s="16">
        <v>4237</v>
      </c>
      <c r="N149" s="16">
        <v>7498</v>
      </c>
      <c r="O149" s="41"/>
    </row>
    <row r="150" spans="1:15" s="48" customFormat="1" ht="15.2" customHeight="1">
      <c r="A150" s="11"/>
      <c r="B150" s="5" t="s">
        <v>110</v>
      </c>
      <c r="C150" s="37" t="s">
        <v>133</v>
      </c>
      <c r="D150" s="16">
        <v>525924</v>
      </c>
      <c r="E150" s="30">
        <v>0.2</v>
      </c>
      <c r="F150" s="30">
        <v>0.33</v>
      </c>
      <c r="G150" s="17"/>
      <c r="H150" s="30"/>
      <c r="I150" s="16">
        <v>6205</v>
      </c>
      <c r="J150" s="16">
        <v>10035</v>
      </c>
      <c r="K150" s="16">
        <v>7944</v>
      </c>
      <c r="L150" s="16">
        <v>13728</v>
      </c>
      <c r="M150" s="16">
        <v>5282</v>
      </c>
      <c r="N150" s="16">
        <v>9728</v>
      </c>
      <c r="O150" s="41"/>
    </row>
    <row r="151" spans="1:15" s="48" customFormat="1" ht="15.2" customHeight="1">
      <c r="A151" s="11"/>
      <c r="B151" s="5" t="s">
        <v>169</v>
      </c>
      <c r="C151" s="37" t="s">
        <v>149</v>
      </c>
      <c r="D151" s="16">
        <v>527292</v>
      </c>
      <c r="E151" s="30">
        <v>0.2</v>
      </c>
      <c r="F151" s="30">
        <v>0.31</v>
      </c>
      <c r="G151" s="17"/>
      <c r="H151" s="30"/>
      <c r="I151" s="16">
        <v>7644</v>
      </c>
      <c r="J151" s="16">
        <v>12495</v>
      </c>
      <c r="K151" s="16">
        <v>7387</v>
      </c>
      <c r="L151" s="16">
        <v>12853</v>
      </c>
      <c r="M151" s="16">
        <v>4423</v>
      </c>
      <c r="N151" s="16">
        <v>8072</v>
      </c>
      <c r="O151" s="41"/>
    </row>
    <row r="152" spans="1:15" s="48" customFormat="1" ht="15.2" customHeight="1">
      <c r="A152" s="11"/>
      <c r="B152" s="5" t="s">
        <v>148</v>
      </c>
      <c r="C152" s="37" t="s">
        <v>147</v>
      </c>
      <c r="D152" s="16">
        <v>527577</v>
      </c>
      <c r="E152" s="30">
        <v>0.2</v>
      </c>
      <c r="F152" s="30">
        <v>0.3</v>
      </c>
      <c r="G152" s="17"/>
      <c r="H152" s="30"/>
      <c r="I152" s="16">
        <v>5739</v>
      </c>
      <c r="J152" s="16">
        <v>10419</v>
      </c>
      <c r="K152" s="16">
        <v>5754</v>
      </c>
      <c r="L152" s="16">
        <v>9711</v>
      </c>
      <c r="M152" s="16">
        <v>3699</v>
      </c>
      <c r="N152" s="16">
        <v>6252</v>
      </c>
      <c r="O152" s="41"/>
    </row>
    <row r="153" spans="1:15" s="48" customFormat="1" ht="15.2" customHeight="1">
      <c r="A153" s="11"/>
      <c r="B153" s="5" t="s">
        <v>146</v>
      </c>
      <c r="C153" s="37" t="s">
        <v>145</v>
      </c>
      <c r="D153" s="16">
        <v>526401</v>
      </c>
      <c r="E153" s="30">
        <v>0.2</v>
      </c>
      <c r="F153" s="30">
        <v>0.28999999999999998</v>
      </c>
      <c r="G153" s="17"/>
      <c r="H153" s="30"/>
      <c r="I153" s="16">
        <v>5242</v>
      </c>
      <c r="J153" s="16">
        <v>8429</v>
      </c>
      <c r="K153" s="16">
        <v>7338</v>
      </c>
      <c r="L153" s="16">
        <v>12682</v>
      </c>
      <c r="M153" s="16">
        <v>5239</v>
      </c>
      <c r="N153" s="16">
        <v>9208</v>
      </c>
      <c r="O153" s="41"/>
    </row>
    <row r="154" spans="1:15" s="48" customFormat="1" ht="15.2" customHeight="1">
      <c r="A154" s="11"/>
      <c r="B154" s="5" t="s">
        <v>144</v>
      </c>
      <c r="C154" s="37" t="s">
        <v>143</v>
      </c>
      <c r="D154" s="16">
        <v>526076</v>
      </c>
      <c r="E154" s="30">
        <v>0.2</v>
      </c>
      <c r="F154" s="30">
        <v>0.28999999999999998</v>
      </c>
      <c r="G154" s="17"/>
      <c r="H154" s="30"/>
      <c r="I154" s="16">
        <v>5923</v>
      </c>
      <c r="J154" s="16">
        <v>9712</v>
      </c>
      <c r="K154" s="16">
        <v>6780</v>
      </c>
      <c r="L154" s="16">
        <v>11532</v>
      </c>
      <c r="M154" s="16">
        <v>4824</v>
      </c>
      <c r="N154" s="16">
        <v>8360</v>
      </c>
      <c r="O154" s="41"/>
    </row>
    <row r="155" spans="1:15" s="48" customFormat="1" ht="15.2" customHeight="1">
      <c r="A155" s="11"/>
      <c r="B155" s="5" t="s">
        <v>142</v>
      </c>
      <c r="C155" s="37" t="s">
        <v>141</v>
      </c>
      <c r="D155" s="16">
        <v>526007</v>
      </c>
      <c r="E155" s="30">
        <v>0.21</v>
      </c>
      <c r="F155" s="30">
        <v>0.28000000000000003</v>
      </c>
      <c r="G155" s="17"/>
      <c r="H155" s="30"/>
      <c r="I155" s="16">
        <v>5971</v>
      </c>
      <c r="J155" s="16">
        <v>9665</v>
      </c>
      <c r="K155" s="16">
        <v>6727</v>
      </c>
      <c r="L155" s="16">
        <v>11759</v>
      </c>
      <c r="M155" s="16">
        <v>4647</v>
      </c>
      <c r="N155" s="16">
        <v>8382</v>
      </c>
      <c r="O155" s="41"/>
    </row>
    <row r="156" spans="1:15" s="48" customFormat="1" ht="15.2" customHeight="1">
      <c r="A156" s="11"/>
      <c r="B156" s="5" t="s">
        <v>140</v>
      </c>
      <c r="C156" s="37" t="s">
        <v>139</v>
      </c>
      <c r="D156" s="16">
        <v>526204</v>
      </c>
      <c r="E156" s="30">
        <v>0.19</v>
      </c>
      <c r="F156" s="30">
        <v>0.28000000000000003</v>
      </c>
      <c r="G156" s="17"/>
      <c r="H156" s="30"/>
      <c r="I156" s="16">
        <v>6291</v>
      </c>
      <c r="J156" s="16">
        <v>10526</v>
      </c>
      <c r="K156" s="16">
        <v>8326</v>
      </c>
      <c r="L156" s="16">
        <v>15669</v>
      </c>
      <c r="M156" s="16">
        <v>5776</v>
      </c>
      <c r="N156" s="16">
        <v>11394</v>
      </c>
      <c r="O156" s="41"/>
    </row>
    <row r="157" spans="1:15" s="48" customFormat="1" ht="15.2" customHeight="1">
      <c r="A157" s="11"/>
      <c r="B157" s="5" t="s">
        <v>138</v>
      </c>
      <c r="C157" s="47" t="s">
        <v>137</v>
      </c>
      <c r="D157" s="16">
        <v>529358</v>
      </c>
      <c r="E157" s="30">
        <v>0.2</v>
      </c>
      <c r="F157" s="30">
        <v>0.26</v>
      </c>
      <c r="G157" s="17"/>
      <c r="H157" s="30"/>
      <c r="I157" s="16">
        <v>7732</v>
      </c>
      <c r="J157" s="16">
        <v>13972</v>
      </c>
      <c r="K157" s="16">
        <v>7599</v>
      </c>
      <c r="L157" s="16">
        <v>13333</v>
      </c>
      <c r="M157" s="16">
        <v>4774</v>
      </c>
      <c r="N157" s="16">
        <v>7944</v>
      </c>
      <c r="O157" s="41"/>
    </row>
    <row r="158" spans="1:15" s="48" customFormat="1" ht="15.2" customHeight="1">
      <c r="A158" s="11"/>
      <c r="B158" s="5"/>
      <c r="C158" s="47"/>
      <c r="D158" s="16"/>
      <c r="E158" s="30"/>
      <c r="F158" s="30"/>
      <c r="G158" s="17"/>
      <c r="H158" s="30"/>
      <c r="I158" s="16"/>
      <c r="J158" s="16"/>
      <c r="K158" s="16"/>
      <c r="L158" s="16"/>
      <c r="M158" s="16"/>
      <c r="N158" s="16"/>
      <c r="O158" s="41"/>
    </row>
    <row r="159" spans="1:15" s="48" customFormat="1" ht="15.2" customHeight="1">
      <c r="A159" s="11">
        <v>2007</v>
      </c>
      <c r="B159" s="5" t="s">
        <v>136</v>
      </c>
      <c r="C159" s="47" t="s">
        <v>135</v>
      </c>
      <c r="D159" s="16">
        <v>530208</v>
      </c>
      <c r="E159" s="30">
        <v>0.18</v>
      </c>
      <c r="F159" s="30">
        <v>0.26</v>
      </c>
      <c r="G159" s="17"/>
      <c r="H159" s="30"/>
      <c r="I159" s="16">
        <v>7020</v>
      </c>
      <c r="J159" s="16">
        <v>11263</v>
      </c>
      <c r="K159" s="16">
        <v>7393</v>
      </c>
      <c r="L159" s="16">
        <v>12478</v>
      </c>
      <c r="M159" s="16">
        <v>4862</v>
      </c>
      <c r="N159" s="16">
        <v>8535</v>
      </c>
      <c r="O159" s="41"/>
    </row>
    <row r="160" spans="1:15" s="48" customFormat="1" ht="15.2" customHeight="1">
      <c r="A160" s="11"/>
      <c r="B160" s="5" t="s">
        <v>152</v>
      </c>
      <c r="C160" s="37" t="s">
        <v>134</v>
      </c>
      <c r="D160" s="16">
        <v>529448</v>
      </c>
      <c r="E160" s="30">
        <v>0.18</v>
      </c>
      <c r="F160" s="30">
        <v>0.27</v>
      </c>
      <c r="G160" s="17"/>
      <c r="H160" s="30"/>
      <c r="I160" s="16">
        <v>4731</v>
      </c>
      <c r="J160" s="16">
        <v>7826</v>
      </c>
      <c r="K160" s="16">
        <v>6244</v>
      </c>
      <c r="L160" s="16">
        <v>10357</v>
      </c>
      <c r="M160" s="16">
        <v>4869</v>
      </c>
      <c r="N160" s="16">
        <v>8077</v>
      </c>
      <c r="O160" s="41"/>
    </row>
    <row r="161" spans="1:15" s="48" customFormat="1" ht="15.2" customHeight="1">
      <c r="A161" s="11"/>
      <c r="B161" s="5" t="s">
        <v>154</v>
      </c>
      <c r="C161" s="37" t="s">
        <v>157</v>
      </c>
      <c r="D161" s="16">
        <v>530401</v>
      </c>
      <c r="E161" s="30">
        <v>0.17</v>
      </c>
      <c r="F161" s="30">
        <v>0.26</v>
      </c>
      <c r="G161" s="17"/>
      <c r="H161" s="30"/>
      <c r="I161" s="16">
        <v>7201</v>
      </c>
      <c r="J161" s="16">
        <v>12140</v>
      </c>
      <c r="K161" s="16">
        <v>9198</v>
      </c>
      <c r="L161" s="16">
        <v>16298</v>
      </c>
      <c r="M161" s="16">
        <v>6397</v>
      </c>
      <c r="N161" s="16">
        <v>11308</v>
      </c>
      <c r="O161" s="41"/>
    </row>
    <row r="162" spans="1:15" s="48" customFormat="1" ht="15.2" customHeight="1">
      <c r="A162" s="11"/>
      <c r="B162" s="5" t="s">
        <v>151</v>
      </c>
      <c r="C162" s="37" t="s">
        <v>153</v>
      </c>
      <c r="D162" s="16">
        <v>530973</v>
      </c>
      <c r="E162" s="30">
        <v>0.17</v>
      </c>
      <c r="F162" s="30">
        <v>0.26</v>
      </c>
      <c r="G162" s="17"/>
      <c r="H162" s="30"/>
      <c r="I162" s="16">
        <v>6429</v>
      </c>
      <c r="J162" s="16">
        <v>10753</v>
      </c>
      <c r="K162" s="16">
        <v>8230</v>
      </c>
      <c r="L162" s="16">
        <v>14457</v>
      </c>
      <c r="M162" s="16">
        <v>5996</v>
      </c>
      <c r="N162" s="16">
        <v>10536</v>
      </c>
      <c r="O162" s="41"/>
    </row>
    <row r="163" spans="1:15" s="48" customFormat="1" ht="15.2" customHeight="1">
      <c r="A163" s="11"/>
      <c r="B163" s="5" t="s">
        <v>110</v>
      </c>
      <c r="C163" s="37" t="s">
        <v>133</v>
      </c>
      <c r="D163" s="16">
        <v>532451</v>
      </c>
      <c r="E163" s="30">
        <v>0.16</v>
      </c>
      <c r="F163" s="30">
        <v>0.25</v>
      </c>
      <c r="G163" s="17"/>
      <c r="H163" s="30"/>
      <c r="I163" s="16">
        <v>8651</v>
      </c>
      <c r="J163" s="16">
        <v>13936</v>
      </c>
      <c r="K163" s="16">
        <v>10335</v>
      </c>
      <c r="L163" s="16">
        <v>17737</v>
      </c>
      <c r="M163" s="16">
        <v>7105</v>
      </c>
      <c r="N163" s="16">
        <v>12421</v>
      </c>
      <c r="O163" s="41"/>
    </row>
    <row r="164" spans="1:15" s="48" customFormat="1" ht="15.2" customHeight="1">
      <c r="A164" s="11"/>
      <c r="B164" s="5" t="s">
        <v>169</v>
      </c>
      <c r="C164" s="37" t="s">
        <v>149</v>
      </c>
      <c r="D164" s="16">
        <v>536032</v>
      </c>
      <c r="E164" s="30">
        <v>0.16</v>
      </c>
      <c r="F164" s="30">
        <v>0.24</v>
      </c>
      <c r="G164" s="17"/>
      <c r="H164" s="30"/>
      <c r="I164" s="16">
        <v>9291</v>
      </c>
      <c r="J164" s="16">
        <v>16367</v>
      </c>
      <c r="K164" s="16">
        <v>9482</v>
      </c>
      <c r="L164" s="16">
        <v>17311</v>
      </c>
      <c r="M164" s="16">
        <v>6345</v>
      </c>
      <c r="N164" s="16">
        <v>11401</v>
      </c>
      <c r="O164" s="41"/>
    </row>
    <row r="165" spans="1:15" s="48" customFormat="1" ht="15.2" customHeight="1">
      <c r="A165" s="11"/>
      <c r="B165" s="5" t="s">
        <v>148</v>
      </c>
      <c r="C165" s="37" t="s">
        <v>147</v>
      </c>
      <c r="D165" s="16">
        <v>538583</v>
      </c>
      <c r="E165" s="30">
        <v>0.14000000000000001</v>
      </c>
      <c r="F165" s="30">
        <v>0.23</v>
      </c>
      <c r="G165" s="17"/>
      <c r="H165" s="30"/>
      <c r="I165" s="16">
        <v>8304</v>
      </c>
      <c r="J165" s="16">
        <v>14154</v>
      </c>
      <c r="K165" s="16">
        <v>9812</v>
      </c>
      <c r="L165" s="16">
        <v>17425</v>
      </c>
      <c r="M165" s="16">
        <v>6885</v>
      </c>
      <c r="N165" s="16">
        <v>12369</v>
      </c>
      <c r="O165" s="41"/>
    </row>
    <row r="166" spans="1:15" s="48" customFormat="1" ht="15.2" customHeight="1">
      <c r="A166" s="11"/>
      <c r="B166" s="5" t="s">
        <v>146</v>
      </c>
      <c r="C166" s="37" t="s">
        <v>145</v>
      </c>
      <c r="D166" s="16">
        <v>542340</v>
      </c>
      <c r="E166" s="30">
        <v>0.13</v>
      </c>
      <c r="F166" s="30">
        <v>0.23</v>
      </c>
      <c r="G166" s="17"/>
      <c r="H166" s="30"/>
      <c r="I166" s="16">
        <v>8903</v>
      </c>
      <c r="J166" s="16">
        <v>16123</v>
      </c>
      <c r="K166" s="16">
        <v>10824</v>
      </c>
      <c r="L166" s="16">
        <v>19323</v>
      </c>
      <c r="M166" s="16">
        <v>7676</v>
      </c>
      <c r="N166" s="16">
        <v>13641</v>
      </c>
      <c r="O166" s="41"/>
    </row>
    <row r="167" spans="1:15" s="48" customFormat="1" ht="15.2" customHeight="1">
      <c r="A167" s="11"/>
      <c r="B167" s="5" t="s">
        <v>144</v>
      </c>
      <c r="C167" s="37" t="s">
        <v>143</v>
      </c>
      <c r="D167" s="16">
        <v>545800</v>
      </c>
      <c r="E167" s="30">
        <v>0.13</v>
      </c>
      <c r="F167" s="30">
        <v>0.23</v>
      </c>
      <c r="G167" s="17"/>
      <c r="H167" s="30"/>
      <c r="I167" s="16">
        <v>8348</v>
      </c>
      <c r="J167" s="16">
        <v>14962</v>
      </c>
      <c r="K167" s="16">
        <v>8465</v>
      </c>
      <c r="L167" s="16">
        <v>15096</v>
      </c>
      <c r="M167" s="16">
        <v>6036</v>
      </c>
      <c r="N167" s="16">
        <v>10486</v>
      </c>
      <c r="O167" s="41"/>
    </row>
    <row r="168" spans="1:15" s="48" customFormat="1" ht="15.2" customHeight="1">
      <c r="A168" s="11"/>
      <c r="B168" s="5" t="s">
        <v>165</v>
      </c>
      <c r="C168" s="37" t="s">
        <v>141</v>
      </c>
      <c r="D168" s="16">
        <v>549485</v>
      </c>
      <c r="E168" s="30">
        <v>0.12</v>
      </c>
      <c r="F168" s="30">
        <v>0.21</v>
      </c>
      <c r="G168" s="17"/>
      <c r="H168" s="30"/>
      <c r="I168" s="16">
        <v>9000</v>
      </c>
      <c r="J168" s="16">
        <v>15915</v>
      </c>
      <c r="K168" s="16">
        <v>11986</v>
      </c>
      <c r="L168" s="16">
        <v>22947</v>
      </c>
      <c r="M168" s="16">
        <v>8509</v>
      </c>
      <c r="N168" s="16">
        <v>16632</v>
      </c>
      <c r="O168" s="41"/>
    </row>
    <row r="169" spans="1:15" s="48" customFormat="1" ht="15.2" customHeight="1">
      <c r="A169" s="11"/>
      <c r="B169" s="5" t="s">
        <v>172</v>
      </c>
      <c r="C169" s="37" t="s">
        <v>155</v>
      </c>
      <c r="D169" s="16">
        <v>554623</v>
      </c>
      <c r="E169" s="30">
        <v>0.11</v>
      </c>
      <c r="F169" s="30">
        <v>0.2</v>
      </c>
      <c r="G169" s="17"/>
      <c r="H169" s="30"/>
      <c r="I169" s="16">
        <v>9833</v>
      </c>
      <c r="J169" s="16">
        <v>18696</v>
      </c>
      <c r="K169" s="16">
        <v>13911</v>
      </c>
      <c r="L169" s="16">
        <v>27660</v>
      </c>
      <c r="M169" s="16">
        <v>10088</v>
      </c>
      <c r="N169" s="16">
        <v>20105</v>
      </c>
      <c r="O169" s="41"/>
    </row>
    <row r="170" spans="1:15" s="48" customFormat="1" ht="15.2" customHeight="1">
      <c r="A170" s="11"/>
      <c r="B170" s="5" t="s">
        <v>138</v>
      </c>
      <c r="C170" s="47" t="s">
        <v>137</v>
      </c>
      <c r="D170" s="16">
        <v>557855</v>
      </c>
      <c r="E170" s="30">
        <v>0.11</v>
      </c>
      <c r="F170" s="30">
        <v>0.2</v>
      </c>
      <c r="G170" s="17"/>
      <c r="H170" s="30"/>
      <c r="I170" s="16">
        <v>10910</v>
      </c>
      <c r="J170" s="16">
        <v>21373</v>
      </c>
      <c r="K170" s="16">
        <v>11226</v>
      </c>
      <c r="L170" s="16">
        <v>22795</v>
      </c>
      <c r="M170" s="16">
        <v>7609</v>
      </c>
      <c r="N170" s="16">
        <v>15178</v>
      </c>
      <c r="O170" s="41"/>
    </row>
    <row r="171" spans="1:15" s="48" customFormat="1" ht="15.2" customHeight="1">
      <c r="A171" s="11"/>
      <c r="B171" s="5"/>
      <c r="C171" s="47"/>
      <c r="D171" s="16"/>
      <c r="E171" s="30"/>
      <c r="F171" s="30"/>
      <c r="G171" s="17"/>
      <c r="H171" s="30"/>
      <c r="I171" s="16"/>
      <c r="J171" s="16"/>
      <c r="K171" s="16"/>
      <c r="L171" s="16"/>
      <c r="M171" s="16"/>
      <c r="N171" s="16"/>
      <c r="O171" s="41"/>
    </row>
    <row r="172" spans="1:15" s="48" customFormat="1" ht="15.2" customHeight="1">
      <c r="A172" s="11">
        <v>2008</v>
      </c>
      <c r="B172" s="5" t="s">
        <v>136</v>
      </c>
      <c r="C172" s="47" t="s">
        <v>135</v>
      </c>
      <c r="D172" s="16">
        <v>565391</v>
      </c>
      <c r="E172" s="30">
        <v>0.09</v>
      </c>
      <c r="F172" s="30">
        <v>0.19</v>
      </c>
      <c r="G172" s="17"/>
      <c r="H172" s="30"/>
      <c r="I172" s="16">
        <v>11673</v>
      </c>
      <c r="J172" s="16">
        <v>23614</v>
      </c>
      <c r="K172" s="16">
        <v>14126</v>
      </c>
      <c r="L172" s="16">
        <v>29442</v>
      </c>
      <c r="M172" s="16">
        <v>9631</v>
      </c>
      <c r="N172" s="16">
        <v>20144</v>
      </c>
      <c r="O172" s="41"/>
    </row>
    <row r="173" spans="1:15" s="48" customFormat="1" ht="15.2" customHeight="1">
      <c r="A173" s="11"/>
      <c r="B173" s="5" t="s">
        <v>163</v>
      </c>
      <c r="C173" s="37" t="s">
        <v>134</v>
      </c>
      <c r="D173" s="16">
        <v>569862</v>
      </c>
      <c r="E173" s="30">
        <v>0.1</v>
      </c>
      <c r="F173" s="30">
        <v>0.18</v>
      </c>
      <c r="G173" s="17"/>
      <c r="H173" s="30"/>
      <c r="I173" s="16">
        <v>9422</v>
      </c>
      <c r="J173" s="16">
        <v>18356</v>
      </c>
      <c r="K173" s="16">
        <v>11260</v>
      </c>
      <c r="L173" s="16">
        <v>23487</v>
      </c>
      <c r="M173" s="16">
        <v>7669</v>
      </c>
      <c r="N173" s="16">
        <v>16279</v>
      </c>
      <c r="O173" s="41"/>
    </row>
    <row r="174" spans="1:15" s="48" customFormat="1" ht="15.2" customHeight="1">
      <c r="A174" s="11"/>
      <c r="B174" s="5" t="s">
        <v>161</v>
      </c>
      <c r="C174" s="47" t="s">
        <v>157</v>
      </c>
      <c r="D174" s="16">
        <v>574794</v>
      </c>
      <c r="E174" s="30">
        <v>0.09</v>
      </c>
      <c r="F174" s="30">
        <v>0.17</v>
      </c>
      <c r="G174" s="17"/>
      <c r="H174" s="30"/>
      <c r="I174" s="16">
        <v>9634</v>
      </c>
      <c r="J174" s="16">
        <v>20616</v>
      </c>
      <c r="K174" s="16">
        <v>11056</v>
      </c>
      <c r="L174" s="16">
        <v>24704</v>
      </c>
      <c r="M174" s="16">
        <v>7571</v>
      </c>
      <c r="N174" s="16">
        <v>17004</v>
      </c>
      <c r="O174" s="41"/>
    </row>
    <row r="175" spans="1:15" s="48" customFormat="1" ht="15.2" customHeight="1">
      <c r="A175" s="11"/>
      <c r="B175" s="5" t="s">
        <v>151</v>
      </c>
      <c r="C175" s="37" t="s">
        <v>153</v>
      </c>
      <c r="D175" s="16">
        <v>581191</v>
      </c>
      <c r="E175" s="30">
        <v>0.08</v>
      </c>
      <c r="F175" s="30">
        <v>0.16</v>
      </c>
      <c r="G175" s="17"/>
      <c r="H175" s="30"/>
      <c r="I175" s="16">
        <v>9486</v>
      </c>
      <c r="J175" s="16">
        <v>20362</v>
      </c>
      <c r="K175" s="16">
        <v>11514</v>
      </c>
      <c r="L175" s="16">
        <v>24177</v>
      </c>
      <c r="M175" s="16">
        <v>7437</v>
      </c>
      <c r="N175" s="16">
        <v>15236</v>
      </c>
      <c r="O175" s="41"/>
    </row>
    <row r="176" spans="1:15" s="48" customFormat="1" ht="15.2" customHeight="1">
      <c r="A176" s="11"/>
      <c r="B176" s="5" t="s">
        <v>110</v>
      </c>
      <c r="C176" s="47" t="s">
        <v>133</v>
      </c>
      <c r="D176" s="16">
        <v>585596</v>
      </c>
      <c r="E176" s="30">
        <v>7.0000000000000007E-2</v>
      </c>
      <c r="F176" s="30">
        <v>0.15</v>
      </c>
      <c r="G176" s="17"/>
      <c r="H176" s="30"/>
      <c r="I176" s="16">
        <v>8679</v>
      </c>
      <c r="J176" s="16">
        <v>17243</v>
      </c>
      <c r="K176" s="16">
        <v>10825</v>
      </c>
      <c r="L176" s="16">
        <v>21431</v>
      </c>
      <c r="M176" s="16">
        <v>7579</v>
      </c>
      <c r="N176" s="16">
        <v>14981</v>
      </c>
      <c r="O176" s="41"/>
    </row>
    <row r="177" spans="1:15" s="48" customFormat="1" ht="15.2" customHeight="1">
      <c r="A177" s="11"/>
      <c r="B177" s="5" t="s">
        <v>169</v>
      </c>
      <c r="C177" s="47" t="s">
        <v>149</v>
      </c>
      <c r="D177" s="16">
        <v>589702</v>
      </c>
      <c r="E177" s="30">
        <v>0.06</v>
      </c>
      <c r="F177" s="30">
        <v>0.15</v>
      </c>
      <c r="G177" s="17"/>
      <c r="H177" s="30"/>
      <c r="I177" s="16">
        <v>8479</v>
      </c>
      <c r="J177" s="16">
        <v>16716</v>
      </c>
      <c r="K177" s="16">
        <v>10993</v>
      </c>
      <c r="L177" s="16">
        <v>22103</v>
      </c>
      <c r="M177" s="16">
        <v>7682</v>
      </c>
      <c r="N177" s="16">
        <v>15433</v>
      </c>
      <c r="O177" s="41"/>
    </row>
    <row r="178" spans="1:15" s="48" customFormat="1" ht="15.2" customHeight="1">
      <c r="A178" s="11"/>
      <c r="B178" s="5" t="s">
        <v>168</v>
      </c>
      <c r="C178" s="37" t="s">
        <v>147</v>
      </c>
      <c r="D178" s="16">
        <v>594091</v>
      </c>
      <c r="E178" s="30">
        <v>0.05</v>
      </c>
      <c r="F178" s="30">
        <v>0.15</v>
      </c>
      <c r="G178" s="17"/>
      <c r="H178" s="30"/>
      <c r="I178" s="16">
        <v>9439</v>
      </c>
      <c r="J178" s="16">
        <v>17318</v>
      </c>
      <c r="K178" s="16">
        <v>9323</v>
      </c>
      <c r="L178" s="16">
        <v>18429</v>
      </c>
      <c r="M178" s="16">
        <v>5973</v>
      </c>
      <c r="N178" s="16">
        <v>11992</v>
      </c>
      <c r="O178" s="41"/>
    </row>
    <row r="179" spans="1:15" s="48" customFormat="1" ht="15.2" customHeight="1">
      <c r="A179" s="11"/>
      <c r="B179" s="5" t="s">
        <v>174</v>
      </c>
      <c r="C179" s="47" t="s">
        <v>145</v>
      </c>
      <c r="D179" s="16">
        <v>595519</v>
      </c>
      <c r="E179" s="30">
        <v>0.05</v>
      </c>
      <c r="F179" s="30">
        <v>0.14000000000000001</v>
      </c>
      <c r="G179" s="17"/>
      <c r="H179" s="30"/>
      <c r="I179" s="16">
        <v>6160</v>
      </c>
      <c r="J179" s="16">
        <v>12197</v>
      </c>
      <c r="K179" s="16">
        <v>6796</v>
      </c>
      <c r="L179" s="16">
        <v>13459</v>
      </c>
      <c r="M179" s="16">
        <v>4665</v>
      </c>
      <c r="N179" s="16">
        <v>8994</v>
      </c>
      <c r="O179" s="41"/>
    </row>
    <row r="180" spans="1:15" s="48" customFormat="1" ht="15.2" customHeight="1">
      <c r="A180" s="11"/>
      <c r="B180" s="5" t="s">
        <v>144</v>
      </c>
      <c r="C180" s="37" t="s">
        <v>143</v>
      </c>
      <c r="D180" s="16">
        <v>596724</v>
      </c>
      <c r="E180" s="30">
        <v>0.05</v>
      </c>
      <c r="F180" s="30">
        <v>0.14000000000000001</v>
      </c>
      <c r="G180" s="17"/>
      <c r="H180" s="30"/>
      <c r="I180" s="16">
        <v>6045</v>
      </c>
      <c r="J180" s="16">
        <v>11641</v>
      </c>
      <c r="K180" s="16">
        <v>7444</v>
      </c>
      <c r="L180" s="16">
        <v>14513</v>
      </c>
      <c r="M180" s="16">
        <v>5026</v>
      </c>
      <c r="N180" s="16">
        <v>9859</v>
      </c>
      <c r="O180" s="41"/>
    </row>
    <row r="181" spans="1:15" s="48" customFormat="1" ht="15.2" customHeight="1">
      <c r="A181" s="11"/>
      <c r="B181" s="5" t="s">
        <v>165</v>
      </c>
      <c r="C181" s="37" t="s">
        <v>141</v>
      </c>
      <c r="D181" s="16">
        <v>599973</v>
      </c>
      <c r="E181" s="30">
        <v>0.05</v>
      </c>
      <c r="F181" s="30">
        <v>0.13</v>
      </c>
      <c r="G181" s="17"/>
      <c r="H181" s="30"/>
      <c r="I181" s="16">
        <v>5864</v>
      </c>
      <c r="J181" s="16">
        <v>11344</v>
      </c>
      <c r="K181" s="16">
        <v>6890</v>
      </c>
      <c r="L181" s="16">
        <v>13658</v>
      </c>
      <c r="M181" s="16">
        <v>4481</v>
      </c>
      <c r="N181" s="16">
        <v>8889</v>
      </c>
      <c r="O181" s="41"/>
    </row>
    <row r="182" spans="1:15" s="48" customFormat="1" ht="15.2" customHeight="1">
      <c r="A182" s="11"/>
      <c r="B182" s="5" t="s">
        <v>172</v>
      </c>
      <c r="C182" s="37" t="s">
        <v>139</v>
      </c>
      <c r="D182" s="16">
        <v>599998</v>
      </c>
      <c r="E182" s="30">
        <v>0.05</v>
      </c>
      <c r="F182" s="30">
        <v>0.13</v>
      </c>
      <c r="G182" s="17"/>
      <c r="H182" s="30"/>
      <c r="I182" s="16">
        <v>4287</v>
      </c>
      <c r="J182" s="16">
        <v>8121</v>
      </c>
      <c r="K182" s="16">
        <v>4554</v>
      </c>
      <c r="L182" s="16">
        <v>8476</v>
      </c>
      <c r="M182" s="16">
        <v>3100</v>
      </c>
      <c r="N182" s="16">
        <v>5701</v>
      </c>
      <c r="O182" s="41"/>
    </row>
    <row r="183" spans="1:15" s="48" customFormat="1" ht="15.2" customHeight="1">
      <c r="A183" s="11"/>
      <c r="B183" s="5" t="s">
        <v>138</v>
      </c>
      <c r="C183" s="47" t="s">
        <v>137</v>
      </c>
      <c r="D183" s="16">
        <v>587631</v>
      </c>
      <c r="E183" s="30">
        <v>0.05</v>
      </c>
      <c r="F183" s="30">
        <v>0.14000000000000001</v>
      </c>
      <c r="G183" s="17"/>
      <c r="H183" s="30"/>
      <c r="I183" s="16">
        <v>3642</v>
      </c>
      <c r="J183" s="16">
        <v>7226</v>
      </c>
      <c r="K183" s="16">
        <v>5405</v>
      </c>
      <c r="L183" s="16">
        <v>10408</v>
      </c>
      <c r="M183" s="16">
        <v>3973</v>
      </c>
      <c r="N183" s="16">
        <v>7679</v>
      </c>
      <c r="O183" s="41"/>
    </row>
    <row r="184" spans="1:15" s="48" customFormat="1" ht="15.2" customHeight="1">
      <c r="A184" s="11"/>
      <c r="B184" s="5"/>
      <c r="C184" s="47"/>
      <c r="D184" s="16"/>
      <c r="E184" s="30"/>
      <c r="F184" s="30"/>
      <c r="G184" s="17"/>
      <c r="H184" s="30"/>
      <c r="I184" s="16"/>
      <c r="J184" s="16"/>
      <c r="K184" s="16"/>
      <c r="L184" s="16"/>
      <c r="M184" s="16"/>
      <c r="N184" s="16"/>
      <c r="O184" s="41"/>
    </row>
    <row r="185" spans="1:15" s="48" customFormat="1" ht="15.2" customHeight="1">
      <c r="A185" s="11">
        <v>2009</v>
      </c>
      <c r="B185" s="5" t="s">
        <v>136</v>
      </c>
      <c r="C185" s="47" t="s">
        <v>135</v>
      </c>
      <c r="D185" s="16">
        <v>587195</v>
      </c>
      <c r="E185" s="30">
        <v>0.05</v>
      </c>
      <c r="F185" s="30">
        <v>0.14000000000000001</v>
      </c>
      <c r="G185" s="17"/>
      <c r="H185" s="30"/>
      <c r="I185" s="16">
        <v>3282</v>
      </c>
      <c r="J185" s="16">
        <v>6145</v>
      </c>
      <c r="K185" s="16">
        <v>5834</v>
      </c>
      <c r="L185" s="16">
        <v>11240</v>
      </c>
      <c r="M185" s="16">
        <v>4608</v>
      </c>
      <c r="N185" s="16">
        <v>8812</v>
      </c>
      <c r="O185" s="41"/>
    </row>
    <row r="186" spans="1:15" s="48" customFormat="1" ht="15.2" customHeight="1">
      <c r="A186" s="11"/>
      <c r="B186" s="5" t="s">
        <v>163</v>
      </c>
      <c r="C186" s="37" t="s">
        <v>134</v>
      </c>
      <c r="D186" s="16">
        <v>587132</v>
      </c>
      <c r="E186" s="30">
        <v>0.06</v>
      </c>
      <c r="F186" s="30">
        <v>0.13</v>
      </c>
      <c r="G186" s="17"/>
      <c r="H186" s="30"/>
      <c r="I186" s="16">
        <v>3925</v>
      </c>
      <c r="J186" s="16">
        <v>7110</v>
      </c>
      <c r="K186" s="16">
        <v>5765</v>
      </c>
      <c r="L186" s="16">
        <v>11410</v>
      </c>
      <c r="M186" s="16">
        <v>4607</v>
      </c>
      <c r="N186" s="16">
        <v>9161</v>
      </c>
      <c r="O186" s="41"/>
    </row>
    <row r="187" spans="1:15" s="48" customFormat="1" ht="15.2" customHeight="1">
      <c r="A187" s="11"/>
      <c r="B187" s="5" t="s">
        <v>161</v>
      </c>
      <c r="C187" s="47" t="s">
        <v>157</v>
      </c>
      <c r="D187" s="16">
        <v>586742</v>
      </c>
      <c r="E187" s="30">
        <v>0.05</v>
      </c>
      <c r="F187" s="30">
        <v>0.13</v>
      </c>
      <c r="G187" s="17"/>
      <c r="H187" s="30"/>
      <c r="I187" s="16">
        <v>4462</v>
      </c>
      <c r="J187" s="16">
        <v>8922</v>
      </c>
      <c r="K187" s="16">
        <v>8213</v>
      </c>
      <c r="L187" s="16">
        <v>16661</v>
      </c>
      <c r="M187" s="16">
        <v>6664</v>
      </c>
      <c r="N187" s="16">
        <v>13491</v>
      </c>
      <c r="O187" s="41"/>
    </row>
    <row r="188" spans="1:15" s="48" customFormat="1" ht="15.2" customHeight="1">
      <c r="A188" s="11"/>
      <c r="B188" s="5" t="s">
        <v>151</v>
      </c>
      <c r="C188" s="37" t="s">
        <v>153</v>
      </c>
      <c r="D188" s="16">
        <v>588810</v>
      </c>
      <c r="E188" s="30">
        <v>0.05</v>
      </c>
      <c r="F188" s="30">
        <v>0.13</v>
      </c>
      <c r="G188" s="17"/>
      <c r="H188" s="30"/>
      <c r="I188" s="16">
        <v>5589</v>
      </c>
      <c r="J188" s="16">
        <v>10643</v>
      </c>
      <c r="K188" s="16">
        <v>10783</v>
      </c>
      <c r="L188" s="16">
        <v>21898</v>
      </c>
      <c r="M188" s="16">
        <v>8776</v>
      </c>
      <c r="N188" s="16">
        <v>17924</v>
      </c>
      <c r="O188" s="41"/>
    </row>
    <row r="189" spans="1:15" s="48" customFormat="1" ht="15.2" customHeight="1">
      <c r="A189" s="11"/>
      <c r="B189" s="5" t="s">
        <v>110</v>
      </c>
      <c r="C189" s="47" t="s">
        <v>133</v>
      </c>
      <c r="D189" s="16">
        <v>593790</v>
      </c>
      <c r="E189" s="30">
        <v>0.05</v>
      </c>
      <c r="F189" s="30">
        <v>0.13</v>
      </c>
      <c r="G189" s="17"/>
      <c r="H189" s="30"/>
      <c r="I189" s="16">
        <v>7674</v>
      </c>
      <c r="J189" s="16">
        <v>15163</v>
      </c>
      <c r="K189" s="16">
        <v>13248</v>
      </c>
      <c r="L189" s="16">
        <v>28125</v>
      </c>
      <c r="M189" s="16">
        <v>10117</v>
      </c>
      <c r="N189" s="16">
        <v>21380</v>
      </c>
      <c r="O189" s="41"/>
    </row>
    <row r="190" spans="1:15" s="48" customFormat="1" ht="15.2" customHeight="1">
      <c r="A190" s="11"/>
      <c r="B190" s="5" t="s">
        <v>169</v>
      </c>
      <c r="C190" s="47" t="s">
        <v>149</v>
      </c>
      <c r="D190" s="16">
        <v>601089</v>
      </c>
      <c r="E190" s="30">
        <v>0.05</v>
      </c>
      <c r="F190" s="30">
        <v>0.12</v>
      </c>
      <c r="G190" s="17"/>
      <c r="H190" s="30"/>
      <c r="I190" s="16">
        <v>10219</v>
      </c>
      <c r="J190" s="16">
        <v>20385</v>
      </c>
      <c r="K190" s="16">
        <v>17105</v>
      </c>
      <c r="L190" s="16">
        <v>38395</v>
      </c>
      <c r="M190" s="16">
        <v>12681</v>
      </c>
      <c r="N190" s="16">
        <v>29178</v>
      </c>
      <c r="O190" s="41"/>
    </row>
    <row r="191" spans="1:15" s="48" customFormat="1" ht="15.2" customHeight="1">
      <c r="A191" s="11"/>
      <c r="B191" s="5" t="s">
        <v>168</v>
      </c>
      <c r="C191" s="37" t="s">
        <v>147</v>
      </c>
      <c r="D191" s="16">
        <v>612476</v>
      </c>
      <c r="E191" s="30">
        <v>0.06</v>
      </c>
      <c r="F191" s="30">
        <v>0.12</v>
      </c>
      <c r="G191" s="17"/>
      <c r="H191" s="30"/>
      <c r="I191" s="16">
        <v>11873</v>
      </c>
      <c r="J191" s="16">
        <v>25988</v>
      </c>
      <c r="K191" s="16">
        <v>16407</v>
      </c>
      <c r="L191" s="16">
        <v>37261</v>
      </c>
      <c r="M191" s="16">
        <v>11662</v>
      </c>
      <c r="N191" s="16">
        <v>26477</v>
      </c>
      <c r="O191" s="41"/>
    </row>
    <row r="192" spans="1:15" s="48" customFormat="1" ht="15.2" customHeight="1">
      <c r="A192" s="11"/>
      <c r="B192" s="5" t="s">
        <v>174</v>
      </c>
      <c r="C192" s="47" t="s">
        <v>145</v>
      </c>
      <c r="D192" s="16">
        <v>617972</v>
      </c>
      <c r="E192" s="30">
        <v>0.05</v>
      </c>
      <c r="F192" s="30">
        <v>0.11</v>
      </c>
      <c r="G192" s="17"/>
      <c r="H192" s="30"/>
      <c r="I192" s="16">
        <v>9762</v>
      </c>
      <c r="J192" s="16">
        <v>19942</v>
      </c>
      <c r="K192" s="16">
        <v>15339</v>
      </c>
      <c r="L192" s="16">
        <v>34213</v>
      </c>
      <c r="M192" s="16">
        <v>12161</v>
      </c>
      <c r="N192" s="16">
        <v>27715</v>
      </c>
      <c r="O192" s="41"/>
    </row>
    <row r="193" spans="1:16" s="48" customFormat="1" ht="15.2" customHeight="1">
      <c r="A193" s="11"/>
      <c r="B193" s="5" t="s">
        <v>144</v>
      </c>
      <c r="C193" s="37" t="s">
        <v>143</v>
      </c>
      <c r="D193" s="16">
        <v>625991</v>
      </c>
      <c r="E193" s="30">
        <v>0.05</v>
      </c>
      <c r="F193" s="30">
        <v>0.11</v>
      </c>
      <c r="G193" s="17"/>
      <c r="H193" s="30"/>
      <c r="I193" s="16">
        <v>10912</v>
      </c>
      <c r="J193" s="16">
        <v>23339</v>
      </c>
      <c r="K193" s="16">
        <v>14950</v>
      </c>
      <c r="L193" s="16">
        <v>33341</v>
      </c>
      <c r="M193" s="16">
        <v>11614</v>
      </c>
      <c r="N193" s="16">
        <v>26321</v>
      </c>
      <c r="O193" s="41"/>
    </row>
    <row r="194" spans="1:16" s="48" customFormat="1" ht="15.2" customHeight="1">
      <c r="A194" s="11"/>
      <c r="B194" s="5" t="s">
        <v>165</v>
      </c>
      <c r="C194" s="37" t="s">
        <v>141</v>
      </c>
      <c r="D194" s="16">
        <v>631574</v>
      </c>
      <c r="E194" s="30">
        <v>0.04</v>
      </c>
      <c r="F194" s="30">
        <v>0.1</v>
      </c>
      <c r="G194" s="17"/>
      <c r="H194" s="30"/>
      <c r="I194" s="16">
        <v>10076</v>
      </c>
      <c r="J194" s="16">
        <v>21129</v>
      </c>
      <c r="K194" s="16">
        <v>12934</v>
      </c>
      <c r="L194" s="16">
        <v>28969</v>
      </c>
      <c r="M194" s="16">
        <v>10217</v>
      </c>
      <c r="N194" s="16">
        <v>23578</v>
      </c>
      <c r="O194" s="41"/>
    </row>
    <row r="195" spans="1:16" s="48" customFormat="1" ht="15.2" customHeight="1">
      <c r="A195" s="11"/>
      <c r="B195" s="5" t="s">
        <v>172</v>
      </c>
      <c r="C195" s="37" t="s">
        <v>139</v>
      </c>
      <c r="D195" s="16">
        <v>637011</v>
      </c>
      <c r="E195" s="30">
        <v>0.04</v>
      </c>
      <c r="F195" s="30">
        <v>0.1</v>
      </c>
      <c r="G195" s="17"/>
      <c r="H195" s="30"/>
      <c r="I195" s="16">
        <v>9592</v>
      </c>
      <c r="J195" s="16">
        <v>20873</v>
      </c>
      <c r="K195" s="16">
        <v>11201</v>
      </c>
      <c r="L195" s="16">
        <v>25750</v>
      </c>
      <c r="M195" s="16">
        <v>8645</v>
      </c>
      <c r="N195" s="16">
        <v>20344</v>
      </c>
      <c r="O195" s="41"/>
    </row>
    <row r="196" spans="1:16" s="48" customFormat="1" ht="15.2" customHeight="1">
      <c r="A196" s="11"/>
      <c r="B196" s="5" t="s">
        <v>138</v>
      </c>
      <c r="C196" s="47" t="s">
        <v>137</v>
      </c>
      <c r="D196" s="16">
        <v>640942</v>
      </c>
      <c r="E196" s="30">
        <v>0.03</v>
      </c>
      <c r="F196" s="30">
        <v>0.09</v>
      </c>
      <c r="G196" s="17"/>
      <c r="H196" s="30"/>
      <c r="I196" s="16">
        <v>9187</v>
      </c>
      <c r="J196" s="16">
        <v>19656</v>
      </c>
      <c r="K196" s="16">
        <v>11106</v>
      </c>
      <c r="L196" s="16">
        <v>24153</v>
      </c>
      <c r="M196" s="16">
        <v>8743</v>
      </c>
      <c r="N196" s="16">
        <v>19573</v>
      </c>
      <c r="O196" s="41"/>
    </row>
    <row r="197" spans="1:16" s="54" customFormat="1" ht="15.2" customHeight="1">
      <c r="A197" s="60"/>
      <c r="B197" s="59"/>
      <c r="C197" s="58"/>
      <c r="D197" s="55"/>
      <c r="E197" s="56"/>
      <c r="F197" s="56"/>
      <c r="G197" s="57"/>
      <c r="H197" s="56"/>
      <c r="I197" s="55"/>
      <c r="J197" s="55"/>
      <c r="K197" s="55"/>
      <c r="L197" s="55"/>
      <c r="M197" s="55"/>
      <c r="N197" s="55"/>
      <c r="O197" s="41"/>
    </row>
    <row r="198" spans="1:16" s="48" customFormat="1" ht="15.2" customHeight="1">
      <c r="A198" s="11">
        <v>2010</v>
      </c>
      <c r="B198" s="5" t="s">
        <v>136</v>
      </c>
      <c r="C198" s="47" t="s">
        <v>135</v>
      </c>
      <c r="D198" s="16">
        <v>645333</v>
      </c>
      <c r="E198" s="30">
        <v>0.03</v>
      </c>
      <c r="F198" s="30">
        <v>0.09</v>
      </c>
      <c r="G198" s="17"/>
      <c r="H198" s="30"/>
      <c r="I198" s="16">
        <v>7746</v>
      </c>
      <c r="J198" s="16">
        <v>17339</v>
      </c>
      <c r="K198" s="16">
        <v>13316</v>
      </c>
      <c r="L198" s="16">
        <v>29551</v>
      </c>
      <c r="M198" s="16">
        <v>11240</v>
      </c>
      <c r="N198" s="16">
        <v>24895</v>
      </c>
      <c r="O198" s="41"/>
    </row>
    <row r="199" spans="1:16" s="48" customFormat="1" ht="15.2" customHeight="1">
      <c r="A199" s="11"/>
      <c r="B199" s="5" t="s">
        <v>163</v>
      </c>
      <c r="C199" s="37" t="s">
        <v>134</v>
      </c>
      <c r="D199" s="16">
        <v>650697</v>
      </c>
      <c r="E199" s="30">
        <v>0.03</v>
      </c>
      <c r="F199" s="30">
        <v>0.08</v>
      </c>
      <c r="G199" s="17"/>
      <c r="H199" s="30"/>
      <c r="I199" s="16">
        <v>7831</v>
      </c>
      <c r="J199" s="16">
        <v>17082</v>
      </c>
      <c r="K199" s="16">
        <v>12037</v>
      </c>
      <c r="L199" s="16">
        <v>26565</v>
      </c>
      <c r="M199" s="16">
        <v>10320</v>
      </c>
      <c r="N199" s="16">
        <v>23000</v>
      </c>
      <c r="O199" s="41"/>
    </row>
    <row r="200" spans="1:16" s="48" customFormat="1" ht="15.2" customHeight="1">
      <c r="A200" s="11"/>
      <c r="B200" s="5" t="s">
        <v>161</v>
      </c>
      <c r="C200" s="47" t="s">
        <v>157</v>
      </c>
      <c r="D200" s="16">
        <v>658268</v>
      </c>
      <c r="E200" s="30">
        <v>0.03</v>
      </c>
      <c r="F200" s="30">
        <v>7.0000000000000007E-2</v>
      </c>
      <c r="G200" s="17"/>
      <c r="H200" s="30"/>
      <c r="I200" s="16">
        <v>13071</v>
      </c>
      <c r="J200" s="16">
        <v>27385</v>
      </c>
      <c r="K200" s="16">
        <v>16281</v>
      </c>
      <c r="L200" s="16">
        <v>36856</v>
      </c>
      <c r="M200" s="16">
        <v>12362</v>
      </c>
      <c r="N200" s="16">
        <v>28698</v>
      </c>
      <c r="O200" s="41"/>
    </row>
    <row r="201" spans="1:16" s="48" customFormat="1" ht="15.2" customHeight="1">
      <c r="A201" s="11"/>
      <c r="B201" s="5" t="s">
        <v>151</v>
      </c>
      <c r="C201" s="47" t="s">
        <v>153</v>
      </c>
      <c r="D201" s="16">
        <v>665629</v>
      </c>
      <c r="E201" s="30">
        <v>0.03</v>
      </c>
      <c r="F201" s="30">
        <v>0.06</v>
      </c>
      <c r="G201" s="17"/>
      <c r="H201" s="30"/>
      <c r="I201" s="16">
        <v>10933</v>
      </c>
      <c r="J201" s="16">
        <v>25675</v>
      </c>
      <c r="K201" s="16">
        <v>15907</v>
      </c>
      <c r="L201" s="16">
        <v>37725</v>
      </c>
      <c r="M201" s="16">
        <v>12556</v>
      </c>
      <c r="N201" s="16">
        <v>30199</v>
      </c>
      <c r="O201" s="41"/>
    </row>
    <row r="202" spans="1:16" s="48" customFormat="1" ht="15.2" customHeight="1">
      <c r="A202" s="11"/>
      <c r="B202" s="5" t="s">
        <v>110</v>
      </c>
      <c r="C202" s="37" t="s">
        <v>133</v>
      </c>
      <c r="D202" s="16">
        <v>675590</v>
      </c>
      <c r="E202" s="30">
        <v>0.03</v>
      </c>
      <c r="F202" s="30">
        <v>0.06</v>
      </c>
      <c r="G202" s="51"/>
      <c r="H202" s="18"/>
      <c r="I202" s="19">
        <v>12509</v>
      </c>
      <c r="J202" s="19">
        <v>28929</v>
      </c>
      <c r="K202" s="19">
        <v>16164</v>
      </c>
      <c r="L202" s="19">
        <v>37779</v>
      </c>
      <c r="M202" s="19">
        <v>11981</v>
      </c>
      <c r="N202" s="19">
        <v>27745</v>
      </c>
      <c r="O202" s="41"/>
    </row>
    <row r="203" spans="1:16" s="48" customFormat="1" ht="15.2" customHeight="1">
      <c r="A203" s="11"/>
      <c r="B203" s="5" t="s">
        <v>169</v>
      </c>
      <c r="C203" s="47" t="s">
        <v>149</v>
      </c>
      <c r="D203" s="16">
        <v>679545</v>
      </c>
      <c r="E203" s="30">
        <v>0.03</v>
      </c>
      <c r="F203" s="30">
        <v>0.05</v>
      </c>
      <c r="G203" s="51"/>
      <c r="H203" s="18"/>
      <c r="I203" s="19">
        <v>13521</v>
      </c>
      <c r="J203" s="19">
        <v>30817</v>
      </c>
      <c r="K203" s="19">
        <v>15345</v>
      </c>
      <c r="L203" s="19">
        <v>35418</v>
      </c>
      <c r="M203" s="19">
        <v>11187</v>
      </c>
      <c r="N203" s="19">
        <v>25818</v>
      </c>
      <c r="O203" s="41"/>
    </row>
    <row r="204" spans="1:16" s="48" customFormat="1" ht="15.2" customHeight="1">
      <c r="A204" s="11"/>
      <c r="B204" s="5" t="s">
        <v>168</v>
      </c>
      <c r="C204" s="37" t="s">
        <v>147</v>
      </c>
      <c r="D204" s="16">
        <v>693204</v>
      </c>
      <c r="E204" s="30">
        <v>0.02</v>
      </c>
      <c r="F204" s="30">
        <v>0.05</v>
      </c>
      <c r="G204" s="53"/>
      <c r="H204" s="52"/>
      <c r="I204" s="19">
        <v>11331</v>
      </c>
      <c r="J204" s="19">
        <v>25928</v>
      </c>
      <c r="K204" s="19">
        <v>16837</v>
      </c>
      <c r="L204" s="19">
        <v>40842</v>
      </c>
      <c r="M204" s="19">
        <v>13037</v>
      </c>
      <c r="N204" s="19">
        <v>32055</v>
      </c>
      <c r="O204" s="41"/>
      <c r="P204" s="48" t="s">
        <v>176</v>
      </c>
    </row>
    <row r="205" spans="1:16" s="48" customFormat="1" ht="15.2" customHeight="1">
      <c r="A205" s="11"/>
      <c r="B205" s="20" t="s">
        <v>174</v>
      </c>
      <c r="C205" s="47" t="s">
        <v>145</v>
      </c>
      <c r="D205" s="16">
        <v>706671</v>
      </c>
      <c r="E205" s="30">
        <v>0.02</v>
      </c>
      <c r="F205" s="30">
        <v>0.05</v>
      </c>
      <c r="G205" s="51"/>
      <c r="H205" s="18"/>
      <c r="I205" s="19">
        <v>13540</v>
      </c>
      <c r="J205" s="19">
        <v>33145</v>
      </c>
      <c r="K205" s="19">
        <v>17114</v>
      </c>
      <c r="L205" s="19">
        <v>40317</v>
      </c>
      <c r="M205" s="19">
        <v>12455</v>
      </c>
      <c r="N205" s="19">
        <v>28768</v>
      </c>
      <c r="O205" s="41"/>
    </row>
    <row r="206" spans="1:16" s="48" customFormat="1" ht="15.2" customHeight="1">
      <c r="A206" s="11"/>
      <c r="B206" s="20" t="s">
        <v>166</v>
      </c>
      <c r="C206" s="47" t="s">
        <v>175</v>
      </c>
      <c r="D206" s="16">
        <v>718699</v>
      </c>
      <c r="E206" s="30">
        <v>0.02</v>
      </c>
      <c r="F206" s="30">
        <v>0.04</v>
      </c>
      <c r="G206" s="18"/>
      <c r="H206" s="50"/>
      <c r="I206" s="19">
        <v>14525</v>
      </c>
      <c r="J206" s="19">
        <v>33942</v>
      </c>
      <c r="K206" s="19">
        <v>13835</v>
      </c>
      <c r="L206" s="19">
        <v>31497</v>
      </c>
      <c r="M206" s="19">
        <v>9159</v>
      </c>
      <c r="N206" s="19">
        <v>20699</v>
      </c>
      <c r="O206" s="41"/>
    </row>
    <row r="207" spans="1:16" s="48" customFormat="1" ht="15.2" customHeight="1">
      <c r="A207" s="11"/>
      <c r="B207" s="5" t="s">
        <v>165</v>
      </c>
      <c r="C207" s="37" t="s">
        <v>141</v>
      </c>
      <c r="D207" s="16">
        <v>723004</v>
      </c>
      <c r="E207" s="30">
        <v>0.02</v>
      </c>
      <c r="F207" s="30">
        <v>0.04</v>
      </c>
      <c r="G207" s="18"/>
      <c r="H207" s="50"/>
      <c r="I207" s="19">
        <v>10840</v>
      </c>
      <c r="J207" s="19">
        <v>25088</v>
      </c>
      <c r="K207" s="19">
        <v>13257</v>
      </c>
      <c r="L207" s="19">
        <v>30797</v>
      </c>
      <c r="M207" s="19">
        <v>10105</v>
      </c>
      <c r="N207" s="19">
        <v>23122</v>
      </c>
      <c r="O207" s="41"/>
    </row>
    <row r="208" spans="1:16" s="48" customFormat="1" ht="15.2" customHeight="1">
      <c r="A208" s="11"/>
      <c r="B208" s="5" t="s">
        <v>172</v>
      </c>
      <c r="C208" s="37" t="s">
        <v>139</v>
      </c>
      <c r="D208" s="16">
        <v>731328</v>
      </c>
      <c r="E208" s="30">
        <v>0.02</v>
      </c>
      <c r="F208" s="30">
        <v>0.04</v>
      </c>
      <c r="G208" s="18"/>
      <c r="H208" s="50"/>
      <c r="I208" s="19">
        <v>12130</v>
      </c>
      <c r="J208" s="19">
        <v>27873</v>
      </c>
      <c r="K208" s="19">
        <v>16230</v>
      </c>
      <c r="L208" s="19">
        <v>37576</v>
      </c>
      <c r="M208" s="19">
        <v>12131</v>
      </c>
      <c r="N208" s="19">
        <v>27735</v>
      </c>
      <c r="O208" s="41"/>
    </row>
    <row r="209" spans="1:15" s="48" customFormat="1" ht="15" customHeight="1">
      <c r="A209" s="11"/>
      <c r="B209" s="5" t="s">
        <v>138</v>
      </c>
      <c r="C209" s="47" t="s">
        <v>137</v>
      </c>
      <c r="D209" s="16">
        <v>740253</v>
      </c>
      <c r="E209" s="30">
        <v>0.01</v>
      </c>
      <c r="F209" s="30">
        <v>0.04</v>
      </c>
      <c r="G209" s="18"/>
      <c r="H209" s="50"/>
      <c r="I209" s="19">
        <v>14016</v>
      </c>
      <c r="J209" s="19">
        <v>31013</v>
      </c>
      <c r="K209" s="19">
        <v>12879</v>
      </c>
      <c r="L209" s="19">
        <v>28940</v>
      </c>
      <c r="M209" s="19">
        <v>8679</v>
      </c>
      <c r="N209" s="19">
        <v>19730</v>
      </c>
      <c r="O209" s="41"/>
    </row>
    <row r="210" spans="1:15" s="48" customFormat="1" ht="15.2" customHeight="1">
      <c r="A210" s="11"/>
      <c r="B210" s="5"/>
      <c r="C210" s="47"/>
      <c r="D210" s="16"/>
      <c r="E210" s="30"/>
      <c r="F210" s="30"/>
      <c r="G210" s="18"/>
      <c r="H210" s="50"/>
      <c r="I210" s="19"/>
      <c r="J210" s="19"/>
      <c r="K210" s="19"/>
      <c r="L210" s="19"/>
      <c r="M210" s="19"/>
      <c r="N210" s="19"/>
      <c r="O210" s="41"/>
    </row>
    <row r="211" spans="1:15" s="48" customFormat="1" ht="15.2" customHeight="1">
      <c r="A211" s="11">
        <v>2011</v>
      </c>
      <c r="B211" s="5" t="s">
        <v>136</v>
      </c>
      <c r="C211" s="47" t="s">
        <v>135</v>
      </c>
      <c r="D211" s="16">
        <v>745805</v>
      </c>
      <c r="E211" s="30">
        <v>0.01</v>
      </c>
      <c r="F211" s="30">
        <v>0.04</v>
      </c>
      <c r="G211" s="30"/>
      <c r="H211" s="49"/>
      <c r="I211" s="16">
        <v>9728</v>
      </c>
      <c r="J211" s="16">
        <v>21721</v>
      </c>
      <c r="K211" s="16">
        <v>12351</v>
      </c>
      <c r="L211" s="16">
        <v>28002</v>
      </c>
      <c r="M211" s="16">
        <v>9827</v>
      </c>
      <c r="N211" s="16">
        <v>22770</v>
      </c>
      <c r="O211" s="41"/>
    </row>
    <row r="212" spans="1:15" s="48" customFormat="1" ht="15.2" customHeight="1">
      <c r="A212" s="11"/>
      <c r="B212" s="5" t="s">
        <v>163</v>
      </c>
      <c r="C212" s="37" t="s">
        <v>134</v>
      </c>
      <c r="D212" s="16">
        <v>755830</v>
      </c>
      <c r="E212" s="30">
        <v>0.01</v>
      </c>
      <c r="F212" s="30">
        <v>0.04</v>
      </c>
      <c r="G212" s="30"/>
      <c r="H212" s="49"/>
      <c r="I212" s="16">
        <v>8049</v>
      </c>
      <c r="J212" s="16">
        <v>18263</v>
      </c>
      <c r="K212" s="16">
        <v>12538</v>
      </c>
      <c r="L212" s="16">
        <v>30312</v>
      </c>
      <c r="M212" s="16">
        <v>10350</v>
      </c>
      <c r="N212" s="16">
        <v>25142</v>
      </c>
      <c r="O212" s="41"/>
    </row>
    <row r="213" spans="1:15" s="48" customFormat="1" ht="15.2" customHeight="1">
      <c r="A213" s="11"/>
      <c r="B213" s="5" t="s">
        <v>161</v>
      </c>
      <c r="C213" s="47" t="s">
        <v>157</v>
      </c>
      <c r="D213" s="16">
        <v>761682</v>
      </c>
      <c r="E213" s="30">
        <v>0.01</v>
      </c>
      <c r="F213" s="30">
        <v>0.03</v>
      </c>
      <c r="G213" s="30"/>
      <c r="H213" s="49"/>
      <c r="I213" s="16">
        <v>12993</v>
      </c>
      <c r="J213" s="16">
        <v>30596</v>
      </c>
      <c r="K213" s="16">
        <v>17207</v>
      </c>
      <c r="L213" s="16">
        <v>43504</v>
      </c>
      <c r="M213" s="16">
        <v>13050</v>
      </c>
      <c r="N213" s="16">
        <v>33320</v>
      </c>
      <c r="O213" s="41"/>
    </row>
    <row r="214" spans="1:15" s="48" customFormat="1" ht="15.2" customHeight="1">
      <c r="A214" s="11"/>
      <c r="B214" s="5" t="s">
        <v>151</v>
      </c>
      <c r="C214" s="47" t="s">
        <v>153</v>
      </c>
      <c r="D214" s="16">
        <v>770217</v>
      </c>
      <c r="E214" s="30">
        <v>0.02</v>
      </c>
      <c r="F214" s="30">
        <v>0.03</v>
      </c>
      <c r="G214" s="30"/>
      <c r="H214" s="49"/>
      <c r="I214" s="16">
        <v>10957</v>
      </c>
      <c r="J214" s="16">
        <v>26904</v>
      </c>
      <c r="K214" s="16">
        <v>10872</v>
      </c>
      <c r="L214" s="16">
        <v>27552</v>
      </c>
      <c r="M214" s="16">
        <v>8380</v>
      </c>
      <c r="N214" s="16">
        <v>20993</v>
      </c>
      <c r="O214" s="41"/>
    </row>
    <row r="215" spans="1:15" s="48" customFormat="1" ht="15.2" customHeight="1">
      <c r="A215" s="11"/>
      <c r="B215" s="5" t="s">
        <v>110</v>
      </c>
      <c r="C215" s="37" t="s">
        <v>133</v>
      </c>
      <c r="D215" s="16">
        <v>780060</v>
      </c>
      <c r="E215" s="30">
        <v>0.01</v>
      </c>
      <c r="F215" s="30">
        <v>0.03</v>
      </c>
      <c r="G215" s="30"/>
      <c r="H215" s="49"/>
      <c r="I215" s="16">
        <v>10403</v>
      </c>
      <c r="J215" s="16">
        <v>26532</v>
      </c>
      <c r="K215" s="16">
        <v>12493</v>
      </c>
      <c r="L215" s="16">
        <v>31633</v>
      </c>
      <c r="M215" s="16">
        <v>9729</v>
      </c>
      <c r="N215" s="16">
        <v>24578</v>
      </c>
      <c r="O215" s="41"/>
    </row>
    <row r="216" spans="1:15" s="48" customFormat="1" ht="15.2" customHeight="1">
      <c r="A216" s="11"/>
      <c r="B216" s="5" t="s">
        <v>169</v>
      </c>
      <c r="C216" s="47" t="s">
        <v>149</v>
      </c>
      <c r="D216" s="16">
        <v>788198</v>
      </c>
      <c r="E216" s="30">
        <v>0.01</v>
      </c>
      <c r="F216" s="30">
        <v>0.03</v>
      </c>
      <c r="G216" s="30"/>
      <c r="H216" s="49"/>
      <c r="I216" s="16">
        <v>10097</v>
      </c>
      <c r="J216" s="16">
        <v>24048</v>
      </c>
      <c r="K216" s="16">
        <v>10726</v>
      </c>
      <c r="L216" s="16">
        <v>26560</v>
      </c>
      <c r="M216" s="16">
        <v>7738</v>
      </c>
      <c r="N216" s="16">
        <v>19584</v>
      </c>
      <c r="O216" s="41"/>
    </row>
    <row r="217" spans="1:15" s="48" customFormat="1" ht="15.2" customHeight="1">
      <c r="A217" s="11"/>
      <c r="B217" s="5" t="s">
        <v>148</v>
      </c>
      <c r="C217" s="47" t="s">
        <v>147</v>
      </c>
      <c r="D217" s="16">
        <v>794279</v>
      </c>
      <c r="E217" s="30">
        <v>0.01</v>
      </c>
      <c r="F217" s="30">
        <v>0.03</v>
      </c>
      <c r="G217" s="30"/>
      <c r="H217" s="49"/>
      <c r="I217" s="16">
        <v>8119</v>
      </c>
      <c r="J217" s="16">
        <v>20210</v>
      </c>
      <c r="K217" s="16">
        <v>7177</v>
      </c>
      <c r="L217" s="16">
        <v>17620</v>
      </c>
      <c r="M217" s="16">
        <v>5236</v>
      </c>
      <c r="N217" s="16">
        <v>12951</v>
      </c>
      <c r="O217" s="41"/>
    </row>
    <row r="218" spans="1:15" s="48" customFormat="1" ht="15.2" customHeight="1">
      <c r="A218" s="11"/>
      <c r="B218" s="5" t="s">
        <v>174</v>
      </c>
      <c r="C218" s="47" t="s">
        <v>145</v>
      </c>
      <c r="D218" s="16">
        <v>797072</v>
      </c>
      <c r="E218" s="30">
        <v>0.01</v>
      </c>
      <c r="F218" s="30">
        <v>0.03</v>
      </c>
      <c r="G218" s="17"/>
      <c r="H218" s="30"/>
      <c r="I218" s="16">
        <v>6327</v>
      </c>
      <c r="J218" s="16">
        <v>14749</v>
      </c>
      <c r="K218" s="16">
        <v>6780</v>
      </c>
      <c r="L218" s="16">
        <v>15797</v>
      </c>
      <c r="M218" s="16">
        <v>5003</v>
      </c>
      <c r="N218" s="16">
        <v>11915</v>
      </c>
      <c r="O218" s="41"/>
    </row>
    <row r="219" spans="1:15" s="48" customFormat="1" ht="15.2" customHeight="1">
      <c r="A219" s="11"/>
      <c r="B219" s="5" t="s">
        <v>166</v>
      </c>
      <c r="C219" s="37" t="s">
        <v>143</v>
      </c>
      <c r="D219" s="16">
        <v>799390</v>
      </c>
      <c r="E219" s="30">
        <v>0.01</v>
      </c>
      <c r="F219" s="30">
        <v>0.03</v>
      </c>
      <c r="G219" s="17"/>
      <c r="H219" s="30"/>
      <c r="I219" s="16">
        <v>5816</v>
      </c>
      <c r="J219" s="16">
        <v>13811</v>
      </c>
      <c r="K219" s="16">
        <v>6063</v>
      </c>
      <c r="L219" s="16">
        <v>14607</v>
      </c>
      <c r="M219" s="16">
        <v>4430</v>
      </c>
      <c r="N219" s="16">
        <v>10693</v>
      </c>
      <c r="O219" s="41"/>
    </row>
    <row r="220" spans="1:15" s="48" customFormat="1" ht="15.2" customHeight="1">
      <c r="A220" s="11"/>
      <c r="B220" s="5" t="s">
        <v>142</v>
      </c>
      <c r="C220" s="37" t="s">
        <v>141</v>
      </c>
      <c r="D220" s="16">
        <v>801085</v>
      </c>
      <c r="E220" s="30">
        <v>0.01</v>
      </c>
      <c r="F220" s="30">
        <v>0.02</v>
      </c>
      <c r="G220" s="17"/>
      <c r="H220" s="30"/>
      <c r="I220" s="16">
        <v>5020</v>
      </c>
      <c r="J220" s="16">
        <v>11486</v>
      </c>
      <c r="K220" s="16">
        <v>5439</v>
      </c>
      <c r="L220" s="16">
        <v>12468</v>
      </c>
      <c r="M220" s="16">
        <v>3831</v>
      </c>
      <c r="N220" s="16">
        <v>9042</v>
      </c>
      <c r="O220" s="41"/>
    </row>
    <row r="221" spans="1:15" s="48" customFormat="1" ht="15.2" customHeight="1">
      <c r="A221" s="11"/>
      <c r="B221" s="5" t="s">
        <v>140</v>
      </c>
      <c r="C221" s="37" t="s">
        <v>139</v>
      </c>
      <c r="D221" s="16">
        <v>802329</v>
      </c>
      <c r="E221" s="30">
        <v>0.01</v>
      </c>
      <c r="F221" s="30">
        <v>0.02</v>
      </c>
      <c r="G221" s="30"/>
      <c r="H221" s="49"/>
      <c r="I221" s="16">
        <v>4498</v>
      </c>
      <c r="J221" s="16">
        <v>10564</v>
      </c>
      <c r="K221" s="16">
        <v>4885</v>
      </c>
      <c r="L221" s="16">
        <v>11883</v>
      </c>
      <c r="M221" s="16">
        <v>3662</v>
      </c>
      <c r="N221" s="16">
        <v>8791</v>
      </c>
      <c r="O221" s="41"/>
    </row>
    <row r="222" spans="1:15" s="48" customFormat="1" ht="15.2" customHeight="1">
      <c r="A222" s="11"/>
      <c r="B222" s="5" t="s">
        <v>138</v>
      </c>
      <c r="C222" s="37" t="s">
        <v>137</v>
      </c>
      <c r="D222" s="16">
        <v>801074</v>
      </c>
      <c r="E222" s="30">
        <v>0.01</v>
      </c>
      <c r="F222" s="30">
        <v>0.02</v>
      </c>
      <c r="G222" s="30"/>
      <c r="H222" s="49"/>
      <c r="I222" s="16">
        <v>3847</v>
      </c>
      <c r="J222" s="16">
        <v>8891</v>
      </c>
      <c r="K222" s="16">
        <v>4158</v>
      </c>
      <c r="L222" s="16">
        <v>10362</v>
      </c>
      <c r="M222" s="16">
        <v>3113</v>
      </c>
      <c r="N222" s="16">
        <v>7906</v>
      </c>
      <c r="O222" s="41"/>
    </row>
    <row r="223" spans="1:15" s="48" customFormat="1" ht="15.2" customHeight="1">
      <c r="A223" s="11"/>
      <c r="B223" s="5"/>
      <c r="C223" s="37"/>
      <c r="D223" s="16"/>
      <c r="E223" s="30"/>
      <c r="F223" s="30"/>
      <c r="G223" s="30"/>
      <c r="H223" s="49"/>
      <c r="I223" s="16"/>
      <c r="J223" s="16"/>
      <c r="K223" s="16"/>
      <c r="L223" s="16"/>
      <c r="M223" s="16"/>
      <c r="N223" s="16"/>
      <c r="O223" s="41"/>
    </row>
    <row r="224" spans="1:15" s="48" customFormat="1" ht="15.2" customHeight="1">
      <c r="A224" s="11">
        <v>2012</v>
      </c>
      <c r="B224" s="5" t="s">
        <v>136</v>
      </c>
      <c r="C224" s="47" t="s">
        <v>135</v>
      </c>
      <c r="D224" s="16">
        <v>799773</v>
      </c>
      <c r="E224" s="30">
        <v>0.01</v>
      </c>
      <c r="F224" s="30">
        <v>0.02</v>
      </c>
      <c r="G224" s="17"/>
      <c r="H224" s="30"/>
      <c r="I224" s="16">
        <v>2684</v>
      </c>
      <c r="J224" s="16">
        <v>6078</v>
      </c>
      <c r="K224" s="16">
        <v>3975</v>
      </c>
      <c r="L224" s="16">
        <v>9970</v>
      </c>
      <c r="M224" s="16">
        <v>3277</v>
      </c>
      <c r="N224" s="16">
        <v>8467</v>
      </c>
      <c r="O224" s="41"/>
    </row>
    <row r="225" spans="1:15" s="48" customFormat="1" ht="15.2" customHeight="1">
      <c r="A225" s="11"/>
      <c r="B225" s="5" t="s">
        <v>152</v>
      </c>
      <c r="C225" s="47" t="s">
        <v>134</v>
      </c>
      <c r="D225" s="16">
        <v>799796</v>
      </c>
      <c r="E225" s="30">
        <v>0.01</v>
      </c>
      <c r="F225" s="30">
        <v>0.02</v>
      </c>
      <c r="G225" s="17"/>
      <c r="H225" s="30"/>
      <c r="I225" s="16">
        <v>3209</v>
      </c>
      <c r="J225" s="16">
        <v>7645</v>
      </c>
      <c r="K225" s="16">
        <v>5836</v>
      </c>
      <c r="L225" s="16">
        <v>14364</v>
      </c>
      <c r="M225" s="16">
        <v>4829</v>
      </c>
      <c r="N225" s="16">
        <v>12012</v>
      </c>
      <c r="O225" s="41"/>
    </row>
    <row r="226" spans="1:15" s="48" customFormat="1" ht="15.2" customHeight="1">
      <c r="A226" s="11"/>
      <c r="B226" s="5" t="s">
        <v>154</v>
      </c>
      <c r="C226" s="37" t="s">
        <v>157</v>
      </c>
      <c r="D226" s="16">
        <v>803277</v>
      </c>
      <c r="E226" s="30">
        <v>0.01</v>
      </c>
      <c r="F226" s="30">
        <v>0.02</v>
      </c>
      <c r="G226" s="17"/>
      <c r="H226" s="30"/>
      <c r="I226" s="16">
        <v>4774</v>
      </c>
      <c r="J226" s="16">
        <v>11223</v>
      </c>
      <c r="K226" s="16">
        <v>11414</v>
      </c>
      <c r="L226" s="16">
        <v>28078</v>
      </c>
      <c r="M226" s="16">
        <v>9589</v>
      </c>
      <c r="N226" s="16">
        <v>24032</v>
      </c>
      <c r="O226" s="41"/>
    </row>
    <row r="227" spans="1:15" s="48" customFormat="1" ht="15.2" customHeight="1">
      <c r="A227" s="11"/>
      <c r="B227" s="5" t="s">
        <v>151</v>
      </c>
      <c r="C227" s="47" t="s">
        <v>153</v>
      </c>
      <c r="D227" s="16">
        <v>809560</v>
      </c>
      <c r="E227" s="30">
        <v>0.01</v>
      </c>
      <c r="F227" s="30">
        <v>0.01</v>
      </c>
      <c r="G227" s="30"/>
      <c r="H227" s="49"/>
      <c r="I227" s="16">
        <v>7367</v>
      </c>
      <c r="J227" s="16">
        <v>17439</v>
      </c>
      <c r="K227" s="16">
        <v>10046</v>
      </c>
      <c r="L227" s="16">
        <v>25368</v>
      </c>
      <c r="M227" s="16">
        <v>7975</v>
      </c>
      <c r="N227" s="16">
        <v>20495</v>
      </c>
      <c r="O227" s="41"/>
    </row>
    <row r="228" spans="1:15" s="48" customFormat="1" ht="15.2" customHeight="1">
      <c r="A228" s="11"/>
      <c r="B228" s="5" t="s">
        <v>170</v>
      </c>
      <c r="C228" s="47" t="s">
        <v>173</v>
      </c>
      <c r="D228" s="16">
        <v>815855</v>
      </c>
      <c r="E228" s="30">
        <v>0.01</v>
      </c>
      <c r="F228" s="30">
        <v>0.01</v>
      </c>
      <c r="G228" s="17"/>
      <c r="H228" s="30"/>
      <c r="I228" s="16">
        <v>8088</v>
      </c>
      <c r="J228" s="16">
        <v>19454</v>
      </c>
      <c r="K228" s="16">
        <v>10388</v>
      </c>
      <c r="L228" s="16">
        <v>26678</v>
      </c>
      <c r="M228" s="16">
        <v>8019</v>
      </c>
      <c r="N228" s="16">
        <v>20968</v>
      </c>
      <c r="O228" s="41"/>
    </row>
    <row r="229" spans="1:15" s="41" customFormat="1" ht="15.2" customHeight="1">
      <c r="A229" s="11"/>
      <c r="B229" s="5" t="s">
        <v>150</v>
      </c>
      <c r="C229" s="5" t="s">
        <v>149</v>
      </c>
      <c r="D229" s="16">
        <v>823531</v>
      </c>
      <c r="E229" s="30">
        <v>0.01</v>
      </c>
      <c r="F229" s="30">
        <v>0.01</v>
      </c>
      <c r="G229" s="17"/>
      <c r="H229" s="30"/>
      <c r="I229" s="16">
        <v>8048</v>
      </c>
      <c r="J229" s="16">
        <v>20150</v>
      </c>
      <c r="K229" s="16">
        <v>8164</v>
      </c>
      <c r="L229" s="16">
        <v>21247</v>
      </c>
      <c r="M229" s="16">
        <v>5984</v>
      </c>
      <c r="N229" s="16">
        <v>15929</v>
      </c>
    </row>
    <row r="230" spans="1:15" s="41" customFormat="1" ht="15.2" customHeight="1">
      <c r="A230" s="11"/>
      <c r="B230" s="5" t="s">
        <v>148</v>
      </c>
      <c r="C230" s="5" t="s">
        <v>147</v>
      </c>
      <c r="D230" s="16">
        <v>828244</v>
      </c>
      <c r="E230" s="30">
        <v>0.01</v>
      </c>
      <c r="F230" s="30">
        <v>0.01</v>
      </c>
      <c r="G230" s="17"/>
      <c r="H230" s="30"/>
      <c r="I230" s="16">
        <v>6584</v>
      </c>
      <c r="J230" s="16">
        <v>16112</v>
      </c>
      <c r="K230" s="16">
        <v>7472</v>
      </c>
      <c r="L230" s="16">
        <v>19536</v>
      </c>
      <c r="M230" s="16">
        <v>5878</v>
      </c>
      <c r="N230" s="16">
        <v>15875</v>
      </c>
    </row>
    <row r="231" spans="1:15" s="41" customFormat="1" ht="15.2" customHeight="1">
      <c r="A231" s="11"/>
      <c r="B231" s="5" t="s">
        <v>146</v>
      </c>
      <c r="C231" s="5" t="s">
        <v>145</v>
      </c>
      <c r="D231" s="16">
        <v>833933</v>
      </c>
      <c r="E231" s="30">
        <v>0.01</v>
      </c>
      <c r="F231" s="30">
        <v>0.01</v>
      </c>
      <c r="G231" s="17"/>
      <c r="H231" s="30"/>
      <c r="I231" s="16">
        <v>6459</v>
      </c>
      <c r="J231" s="16">
        <v>16414</v>
      </c>
      <c r="K231" s="16">
        <v>9594</v>
      </c>
      <c r="L231" s="16">
        <v>25206</v>
      </c>
      <c r="M231" s="16">
        <v>7612</v>
      </c>
      <c r="N231" s="16">
        <v>20368</v>
      </c>
    </row>
    <row r="232" spans="1:15" s="41" customFormat="1" ht="15.2" customHeight="1">
      <c r="A232" s="11"/>
      <c r="B232" s="5" t="s">
        <v>144</v>
      </c>
      <c r="C232" s="5" t="s">
        <v>143</v>
      </c>
      <c r="D232" s="16">
        <v>842014</v>
      </c>
      <c r="E232" s="30">
        <v>0.01</v>
      </c>
      <c r="F232" s="30">
        <v>0.01</v>
      </c>
      <c r="G232" s="17"/>
      <c r="H232" s="30"/>
      <c r="I232" s="16">
        <v>7239</v>
      </c>
      <c r="J232" s="16">
        <v>18284</v>
      </c>
      <c r="K232" s="16">
        <v>8621</v>
      </c>
      <c r="L232" s="16">
        <v>22401</v>
      </c>
      <c r="M232" s="16">
        <v>6695</v>
      </c>
      <c r="N232" s="16">
        <v>17970</v>
      </c>
    </row>
    <row r="233" spans="1:15" s="41" customFormat="1" ht="15.2" customHeight="1">
      <c r="A233" s="11"/>
      <c r="B233" s="5" t="s">
        <v>142</v>
      </c>
      <c r="C233" s="5" t="s">
        <v>141</v>
      </c>
      <c r="D233" s="16">
        <v>848123</v>
      </c>
      <c r="E233" s="30">
        <v>0.01</v>
      </c>
      <c r="F233" s="30">
        <v>0.01</v>
      </c>
      <c r="G233" s="17"/>
      <c r="H233" s="30"/>
      <c r="I233" s="16">
        <v>7524</v>
      </c>
      <c r="J233" s="16">
        <v>19032</v>
      </c>
      <c r="K233" s="16">
        <v>8828</v>
      </c>
      <c r="L233" s="16">
        <v>24708</v>
      </c>
      <c r="M233" s="16">
        <v>6891</v>
      </c>
      <c r="N233" s="16">
        <v>19781</v>
      </c>
    </row>
    <row r="234" spans="1:15" s="41" customFormat="1" ht="15.2" customHeight="1">
      <c r="A234" s="11"/>
      <c r="B234" s="5" t="s">
        <v>172</v>
      </c>
      <c r="C234" s="5" t="s">
        <v>139</v>
      </c>
      <c r="D234" s="16">
        <v>856884</v>
      </c>
      <c r="E234" s="30">
        <v>0.01</v>
      </c>
      <c r="F234" s="30">
        <v>0.01</v>
      </c>
      <c r="G234" s="17"/>
      <c r="H234" s="30"/>
      <c r="I234" s="16">
        <v>7893</v>
      </c>
      <c r="J234" s="16">
        <v>21158</v>
      </c>
      <c r="K234" s="16">
        <v>8593</v>
      </c>
      <c r="L234" s="16">
        <v>24147</v>
      </c>
      <c r="M234" s="16">
        <v>6225</v>
      </c>
      <c r="N234" s="16">
        <v>18061</v>
      </c>
    </row>
    <row r="235" spans="1:15" s="41" customFormat="1" ht="15.2" customHeight="1">
      <c r="A235" s="11"/>
      <c r="B235" s="5" t="s">
        <v>138</v>
      </c>
      <c r="C235" s="5" t="s">
        <v>137</v>
      </c>
      <c r="D235" s="16">
        <v>868286</v>
      </c>
      <c r="E235" s="30">
        <v>0.02</v>
      </c>
      <c r="F235" s="30">
        <v>0.01</v>
      </c>
      <c r="G235" s="17"/>
      <c r="H235" s="30"/>
      <c r="I235" s="16">
        <v>6874</v>
      </c>
      <c r="J235" s="16">
        <v>18865</v>
      </c>
      <c r="K235" s="16">
        <v>5583</v>
      </c>
      <c r="L235" s="16">
        <v>15187</v>
      </c>
      <c r="M235" s="16">
        <v>3962</v>
      </c>
      <c r="N235" s="16">
        <v>11182</v>
      </c>
    </row>
    <row r="236" spans="1:15" s="41" customFormat="1" ht="15.2" customHeight="1">
      <c r="A236" s="11"/>
      <c r="B236" s="5"/>
      <c r="C236" s="5"/>
      <c r="D236" s="16"/>
      <c r="E236" s="30"/>
      <c r="F236" s="30"/>
      <c r="G236" s="17"/>
      <c r="H236" s="30"/>
      <c r="I236" s="16"/>
      <c r="J236" s="16"/>
      <c r="K236" s="16"/>
      <c r="L236" s="16"/>
      <c r="M236" s="16"/>
      <c r="N236" s="16"/>
    </row>
    <row r="237" spans="1:15" s="41" customFormat="1" ht="15.2" customHeight="1">
      <c r="A237" s="11">
        <v>2013</v>
      </c>
      <c r="B237" s="5" t="s">
        <v>136</v>
      </c>
      <c r="C237" s="5" t="s">
        <v>135</v>
      </c>
      <c r="D237" s="16">
        <v>873725</v>
      </c>
      <c r="E237" s="30">
        <v>0.01</v>
      </c>
      <c r="F237" s="30">
        <v>0.01</v>
      </c>
      <c r="G237" s="17"/>
      <c r="H237" s="30"/>
      <c r="I237" s="16">
        <v>5997</v>
      </c>
      <c r="J237" s="16">
        <v>15861</v>
      </c>
      <c r="K237" s="16">
        <v>7738</v>
      </c>
      <c r="L237" s="16">
        <v>21244</v>
      </c>
      <c r="M237" s="16">
        <v>5828</v>
      </c>
      <c r="N237" s="16">
        <v>16538</v>
      </c>
    </row>
    <row r="238" spans="1:15" s="41" customFormat="1" ht="15.2" customHeight="1">
      <c r="A238" s="11"/>
      <c r="B238" s="5" t="s">
        <v>152</v>
      </c>
      <c r="C238" s="5" t="s">
        <v>134</v>
      </c>
      <c r="D238" s="16">
        <v>877017</v>
      </c>
      <c r="E238" s="30">
        <v>0.01</v>
      </c>
      <c r="F238" s="30">
        <v>0.01</v>
      </c>
      <c r="G238" s="17"/>
      <c r="H238" s="30"/>
      <c r="I238" s="16">
        <v>4641</v>
      </c>
      <c r="J238" s="16">
        <v>12212</v>
      </c>
      <c r="K238" s="16">
        <v>6498</v>
      </c>
      <c r="L238" s="16">
        <v>18638</v>
      </c>
      <c r="M238" s="16">
        <v>5297</v>
      </c>
      <c r="N238" s="16">
        <v>15671</v>
      </c>
    </row>
    <row r="239" spans="1:15" s="41" customFormat="1" ht="15.2" customHeight="1">
      <c r="A239" s="11"/>
      <c r="B239" s="5" t="s">
        <v>154</v>
      </c>
      <c r="C239" s="5" t="s">
        <v>157</v>
      </c>
      <c r="D239" s="16">
        <v>884088</v>
      </c>
      <c r="E239" s="30">
        <v>0.01</v>
      </c>
      <c r="F239" s="30">
        <v>0</v>
      </c>
      <c r="G239" s="17"/>
      <c r="H239" s="30"/>
      <c r="I239" s="16">
        <v>6673</v>
      </c>
      <c r="J239" s="16">
        <v>18567</v>
      </c>
      <c r="K239" s="16">
        <v>7526</v>
      </c>
      <c r="L239" s="16">
        <v>21639</v>
      </c>
      <c r="M239" s="16">
        <v>5535</v>
      </c>
      <c r="N239" s="16">
        <v>16250</v>
      </c>
    </row>
    <row r="240" spans="1:15" s="41" customFormat="1" ht="15.2" customHeight="1">
      <c r="A240" s="11"/>
      <c r="B240" s="5" t="s">
        <v>151</v>
      </c>
      <c r="C240" s="5" t="s">
        <v>153</v>
      </c>
      <c r="D240" s="16">
        <v>887902</v>
      </c>
      <c r="E240" s="30">
        <v>0.01</v>
      </c>
      <c r="F240" s="30">
        <v>0</v>
      </c>
      <c r="G240" s="17"/>
      <c r="H240" s="30"/>
      <c r="I240" s="16">
        <v>5439</v>
      </c>
      <c r="J240" s="16">
        <v>14965</v>
      </c>
      <c r="K240" s="16">
        <v>5860</v>
      </c>
      <c r="L240" s="16">
        <v>16217</v>
      </c>
      <c r="M240" s="16">
        <v>4427</v>
      </c>
      <c r="N240" s="16">
        <v>12516</v>
      </c>
    </row>
    <row r="241" spans="1:15" s="41" customFormat="1" ht="15.2" customHeight="1">
      <c r="A241" s="11"/>
      <c r="B241" s="5" t="s">
        <v>170</v>
      </c>
      <c r="C241" s="5" t="s">
        <v>173</v>
      </c>
      <c r="D241" s="16">
        <v>892686</v>
      </c>
      <c r="E241" s="30">
        <v>0.02</v>
      </c>
      <c r="F241" s="30">
        <v>0</v>
      </c>
      <c r="G241" s="17"/>
      <c r="H241" s="30"/>
      <c r="I241" s="16">
        <v>5234</v>
      </c>
      <c r="J241" s="16">
        <v>14463</v>
      </c>
      <c r="K241" s="16">
        <v>5796</v>
      </c>
      <c r="L241" s="16">
        <v>15469</v>
      </c>
      <c r="M241" s="16">
        <v>4374</v>
      </c>
      <c r="N241" s="16">
        <v>12040</v>
      </c>
    </row>
    <row r="242" spans="1:15" s="41" customFormat="1" ht="15.2" customHeight="1">
      <c r="A242" s="11"/>
      <c r="B242" s="5" t="s">
        <v>150</v>
      </c>
      <c r="C242" s="5" t="s">
        <v>149</v>
      </c>
      <c r="D242" s="16">
        <v>896927</v>
      </c>
      <c r="E242" s="30">
        <v>0.02</v>
      </c>
      <c r="F242" s="30">
        <v>0</v>
      </c>
      <c r="G242" s="17"/>
      <c r="H242" s="30"/>
      <c r="I242" s="16">
        <v>4753</v>
      </c>
      <c r="J242" s="16">
        <v>12822</v>
      </c>
      <c r="K242" s="16">
        <v>5925</v>
      </c>
      <c r="L242" s="16">
        <v>15651</v>
      </c>
      <c r="M242" s="16">
        <v>4571</v>
      </c>
      <c r="N242" s="16">
        <v>12426</v>
      </c>
    </row>
    <row r="243" spans="1:15" s="41" customFormat="1" ht="15.2" customHeight="1">
      <c r="A243" s="11"/>
      <c r="B243" s="5" t="s">
        <v>148</v>
      </c>
      <c r="C243" s="5" t="s">
        <v>147</v>
      </c>
      <c r="D243" s="16">
        <v>898394</v>
      </c>
      <c r="E243" s="30">
        <v>0.02</v>
      </c>
      <c r="F243" s="30">
        <v>0</v>
      </c>
      <c r="G243" s="17"/>
      <c r="H243" s="30"/>
      <c r="I243" s="16">
        <v>4770</v>
      </c>
      <c r="J243" s="16">
        <v>12199</v>
      </c>
      <c r="K243" s="16">
        <v>6140</v>
      </c>
      <c r="L243" s="16">
        <v>15842</v>
      </c>
      <c r="M243" s="16">
        <v>4489</v>
      </c>
      <c r="N243" s="16">
        <v>11931</v>
      </c>
    </row>
    <row r="244" spans="1:15" s="41" customFormat="1" ht="15.2" customHeight="1">
      <c r="A244" s="11"/>
      <c r="B244" s="5" t="s">
        <v>146</v>
      </c>
      <c r="C244" s="5" t="s">
        <v>145</v>
      </c>
      <c r="D244" s="16">
        <v>899576</v>
      </c>
      <c r="E244" s="30">
        <v>0.02</v>
      </c>
      <c r="F244" s="30">
        <v>0</v>
      </c>
      <c r="G244" s="17"/>
      <c r="H244" s="30"/>
      <c r="I244" s="16">
        <v>4552</v>
      </c>
      <c r="J244" s="16">
        <v>11476</v>
      </c>
      <c r="K244" s="16">
        <v>5399</v>
      </c>
      <c r="L244" s="16">
        <v>14493</v>
      </c>
      <c r="M244" s="16">
        <v>4089</v>
      </c>
      <c r="N244" s="16">
        <v>11371</v>
      </c>
    </row>
    <row r="245" spans="1:15" s="41" customFormat="1" ht="15.2" customHeight="1">
      <c r="A245" s="11"/>
      <c r="B245" s="5" t="s">
        <v>144</v>
      </c>
      <c r="C245" s="5" t="s">
        <v>143</v>
      </c>
      <c r="D245" s="16">
        <v>900283</v>
      </c>
      <c r="E245" s="30">
        <v>0.02</v>
      </c>
      <c r="F245" s="30">
        <v>0</v>
      </c>
      <c r="G245" s="17"/>
      <c r="H245" s="30"/>
      <c r="I245" s="16">
        <v>4512</v>
      </c>
      <c r="J245" s="16">
        <v>11627</v>
      </c>
      <c r="K245" s="16">
        <v>4904</v>
      </c>
      <c r="L245" s="16">
        <v>13516</v>
      </c>
      <c r="M245" s="16">
        <v>3719</v>
      </c>
      <c r="N245" s="16">
        <v>10527</v>
      </c>
    </row>
    <row r="246" spans="1:15" s="41" customFormat="1" ht="15.2" customHeight="1">
      <c r="A246" s="11"/>
      <c r="B246" s="5" t="s">
        <v>142</v>
      </c>
      <c r="C246" s="5" t="s">
        <v>141</v>
      </c>
      <c r="D246" s="16">
        <v>901894</v>
      </c>
      <c r="E246" s="30">
        <v>0.01</v>
      </c>
      <c r="F246" s="30">
        <v>0</v>
      </c>
      <c r="G246" s="17"/>
      <c r="H246" s="30"/>
      <c r="I246" s="16">
        <v>4264</v>
      </c>
      <c r="J246" s="16">
        <v>11207</v>
      </c>
      <c r="K246" s="16">
        <v>5535</v>
      </c>
      <c r="L246" s="16">
        <v>14915</v>
      </c>
      <c r="M246" s="16">
        <v>4220</v>
      </c>
      <c r="N246" s="16">
        <v>11571</v>
      </c>
    </row>
    <row r="247" spans="1:15" s="41" customFormat="1" ht="15.2" customHeight="1">
      <c r="A247" s="11"/>
      <c r="B247" s="5" t="s">
        <v>172</v>
      </c>
      <c r="C247" s="5" t="s">
        <v>139</v>
      </c>
      <c r="D247" s="16">
        <v>903633</v>
      </c>
      <c r="E247" s="30">
        <v>0.02</v>
      </c>
      <c r="F247" s="30">
        <v>0</v>
      </c>
      <c r="G247" s="17"/>
      <c r="H247" s="30"/>
      <c r="I247" s="16">
        <v>4259</v>
      </c>
      <c r="J247" s="16">
        <v>11162</v>
      </c>
      <c r="K247" s="16">
        <v>5241</v>
      </c>
      <c r="L247" s="16">
        <v>14602</v>
      </c>
      <c r="M247" s="16">
        <v>4044</v>
      </c>
      <c r="N247" s="16">
        <v>11559</v>
      </c>
    </row>
    <row r="248" spans="1:15" s="41" customFormat="1" ht="15.2" customHeight="1">
      <c r="A248" s="11"/>
      <c r="B248" s="5" t="s">
        <v>164</v>
      </c>
      <c r="C248" s="5" t="s">
        <v>137</v>
      </c>
      <c r="D248" s="16">
        <v>904579</v>
      </c>
      <c r="E248" s="30">
        <v>0.02</v>
      </c>
      <c r="F248" s="30">
        <v>0</v>
      </c>
      <c r="G248" s="17"/>
      <c r="H248" s="30"/>
      <c r="I248" s="16">
        <v>4478</v>
      </c>
      <c r="J248" s="16">
        <v>12043</v>
      </c>
      <c r="K248" s="16">
        <v>4862</v>
      </c>
      <c r="L248" s="16">
        <v>13773</v>
      </c>
      <c r="M248" s="16">
        <v>3633</v>
      </c>
      <c r="N248" s="16">
        <v>10710</v>
      </c>
    </row>
    <row r="249" spans="1:15" s="45" customFormat="1" ht="15.2" customHeight="1">
      <c r="A249" s="11"/>
      <c r="B249" s="5"/>
      <c r="C249" s="5"/>
      <c r="D249" s="16"/>
      <c r="E249" s="30"/>
      <c r="F249" s="30"/>
      <c r="G249" s="17"/>
      <c r="H249" s="30"/>
      <c r="I249" s="16"/>
      <c r="J249" s="16"/>
      <c r="K249" s="16"/>
      <c r="L249" s="16"/>
      <c r="M249" s="16"/>
      <c r="N249" s="16"/>
      <c r="O249" s="41"/>
    </row>
    <row r="250" spans="1:15" s="41" customFormat="1" ht="15.2" customHeight="1">
      <c r="A250" s="11">
        <v>2014</v>
      </c>
      <c r="B250" s="5" t="s">
        <v>136</v>
      </c>
      <c r="C250" s="5" t="s">
        <v>135</v>
      </c>
      <c r="D250" s="16">
        <v>906327</v>
      </c>
      <c r="E250" s="30">
        <v>0.02</v>
      </c>
      <c r="F250" s="30">
        <v>0</v>
      </c>
      <c r="G250" s="17"/>
      <c r="H250" s="30"/>
      <c r="I250" s="16">
        <v>4117</v>
      </c>
      <c r="J250" s="16">
        <v>11297</v>
      </c>
      <c r="K250" s="16">
        <v>5799</v>
      </c>
      <c r="L250" s="16">
        <v>17265</v>
      </c>
      <c r="M250" s="16">
        <v>4504</v>
      </c>
      <c r="N250" s="16">
        <v>14079</v>
      </c>
    </row>
    <row r="251" spans="1:15" s="45" customFormat="1" ht="15.2" customHeight="1">
      <c r="A251" s="11"/>
      <c r="B251" s="5" t="s">
        <v>152</v>
      </c>
      <c r="C251" s="5" t="s">
        <v>134</v>
      </c>
      <c r="D251" s="16">
        <v>910720</v>
      </c>
      <c r="E251" s="30">
        <v>0.02</v>
      </c>
      <c r="F251" s="30">
        <v>0</v>
      </c>
      <c r="G251" s="17"/>
      <c r="H251" s="30"/>
      <c r="I251" s="16">
        <v>4212</v>
      </c>
      <c r="J251" s="16">
        <v>12399</v>
      </c>
      <c r="K251" s="16">
        <v>5103</v>
      </c>
      <c r="L251" s="16">
        <v>15578</v>
      </c>
      <c r="M251" s="16">
        <v>4108</v>
      </c>
      <c r="N251" s="16">
        <v>12663</v>
      </c>
      <c r="O251" s="41"/>
    </row>
    <row r="252" spans="1:15" s="45" customFormat="1" ht="15.2" customHeight="1">
      <c r="A252" s="11"/>
      <c r="B252" s="5" t="s">
        <v>161</v>
      </c>
      <c r="C252" s="5" t="s">
        <v>157</v>
      </c>
      <c r="D252" s="16">
        <v>914593</v>
      </c>
      <c r="E252" s="30">
        <v>0.02</v>
      </c>
      <c r="F252" s="30">
        <v>0</v>
      </c>
      <c r="G252" s="17"/>
      <c r="H252" s="30"/>
      <c r="I252" s="16">
        <v>4470</v>
      </c>
      <c r="J252" s="16">
        <v>13488</v>
      </c>
      <c r="K252" s="16">
        <v>6249</v>
      </c>
      <c r="L252" s="16">
        <v>19264</v>
      </c>
      <c r="M252" s="16">
        <v>4919</v>
      </c>
      <c r="N252" s="16">
        <v>15278</v>
      </c>
      <c r="O252" s="41"/>
    </row>
    <row r="253" spans="1:15" s="45" customFormat="1" ht="15.2" customHeight="1">
      <c r="A253" s="11"/>
      <c r="B253" s="5" t="s">
        <v>171</v>
      </c>
      <c r="C253" s="37" t="s">
        <v>156</v>
      </c>
      <c r="D253" s="16">
        <v>922218</v>
      </c>
      <c r="E253" s="30">
        <v>0.02</v>
      </c>
      <c r="F253" s="30">
        <v>0</v>
      </c>
      <c r="G253" s="17"/>
      <c r="H253" s="30"/>
      <c r="I253" s="16">
        <v>5494</v>
      </c>
      <c r="J253" s="16">
        <v>15950</v>
      </c>
      <c r="K253" s="16">
        <v>6326</v>
      </c>
      <c r="L253" s="16">
        <v>19645</v>
      </c>
      <c r="M253" s="16">
        <v>4893</v>
      </c>
      <c r="N253" s="16">
        <v>15557</v>
      </c>
      <c r="O253" s="41"/>
    </row>
    <row r="254" spans="1:15" s="45" customFormat="1" ht="15.2" customHeight="1">
      <c r="A254" s="11"/>
      <c r="B254" s="5" t="s">
        <v>170</v>
      </c>
      <c r="C254" s="5" t="s">
        <v>133</v>
      </c>
      <c r="D254" s="16">
        <v>927980</v>
      </c>
      <c r="E254" s="30">
        <v>0.02</v>
      </c>
      <c r="F254" s="30">
        <v>0</v>
      </c>
      <c r="G254" s="17"/>
      <c r="H254" s="30"/>
      <c r="I254" s="16">
        <v>5201</v>
      </c>
      <c r="J254" s="16">
        <v>16322</v>
      </c>
      <c r="K254" s="16">
        <v>7444</v>
      </c>
      <c r="L254" s="16">
        <v>22749</v>
      </c>
      <c r="M254" s="16">
        <v>6024</v>
      </c>
      <c r="N254" s="16">
        <v>18599</v>
      </c>
      <c r="O254" s="41"/>
    </row>
    <row r="255" spans="1:15" s="45" customFormat="1" ht="15.2" customHeight="1">
      <c r="A255" s="11"/>
      <c r="B255" s="5" t="s">
        <v>169</v>
      </c>
      <c r="C255" s="5" t="s">
        <v>149</v>
      </c>
      <c r="D255" s="16">
        <v>934078</v>
      </c>
      <c r="E255" s="30">
        <v>0.02</v>
      </c>
      <c r="F255" s="30">
        <v>0</v>
      </c>
      <c r="G255" s="17"/>
      <c r="H255" s="30"/>
      <c r="I255" s="16">
        <v>5699</v>
      </c>
      <c r="J255" s="16">
        <v>17585</v>
      </c>
      <c r="K255" s="16">
        <v>7990</v>
      </c>
      <c r="L255" s="16">
        <v>25047</v>
      </c>
      <c r="M255" s="16">
        <v>6526</v>
      </c>
      <c r="N255" s="16">
        <v>20466</v>
      </c>
      <c r="O255" s="41"/>
    </row>
    <row r="256" spans="1:15" s="45" customFormat="1" ht="15.2" customHeight="1">
      <c r="A256" s="11"/>
      <c r="B256" s="5" t="s">
        <v>168</v>
      </c>
      <c r="C256" s="5" t="s">
        <v>167</v>
      </c>
      <c r="D256" s="16">
        <v>940029</v>
      </c>
      <c r="E256" s="30">
        <v>0.03</v>
      </c>
      <c r="F256" s="30">
        <v>0</v>
      </c>
      <c r="G256" s="17"/>
      <c r="H256" s="30"/>
      <c r="I256" s="16">
        <v>6296</v>
      </c>
      <c r="J256" s="16">
        <v>18627</v>
      </c>
      <c r="K256" s="16">
        <v>8995</v>
      </c>
      <c r="L256" s="16">
        <v>28286</v>
      </c>
      <c r="M256" s="16">
        <v>7459</v>
      </c>
      <c r="N256" s="16">
        <v>23859</v>
      </c>
      <c r="O256" s="41"/>
    </row>
    <row r="257" spans="1:15" s="45" customFormat="1" ht="15.2" customHeight="1">
      <c r="A257" s="11"/>
      <c r="B257" s="5" t="s">
        <v>146</v>
      </c>
      <c r="C257" s="37" t="s">
        <v>145</v>
      </c>
      <c r="D257" s="16">
        <v>946630</v>
      </c>
      <c r="E257" s="30">
        <v>0.03</v>
      </c>
      <c r="F257" s="30">
        <v>0</v>
      </c>
      <c r="G257" s="17"/>
      <c r="H257" s="30"/>
      <c r="I257" s="16">
        <v>6305</v>
      </c>
      <c r="J257" s="16">
        <v>18895</v>
      </c>
      <c r="K257" s="16">
        <v>8680</v>
      </c>
      <c r="L257" s="16">
        <v>27381</v>
      </c>
      <c r="M257" s="16">
        <v>7287</v>
      </c>
      <c r="N257" s="16">
        <v>23350</v>
      </c>
      <c r="O257" s="41"/>
    </row>
    <row r="258" spans="1:15" s="45" customFormat="1" ht="15.2" customHeight="1">
      <c r="A258" s="11"/>
      <c r="B258" s="5" t="s">
        <v>166</v>
      </c>
      <c r="C258" s="5" t="s">
        <v>143</v>
      </c>
      <c r="D258" s="16">
        <v>956467</v>
      </c>
      <c r="E258" s="30">
        <v>0.02</v>
      </c>
      <c r="F258" s="30">
        <v>0</v>
      </c>
      <c r="G258" s="17"/>
      <c r="H258" s="30"/>
      <c r="I258" s="16">
        <v>7561</v>
      </c>
      <c r="J258" s="16">
        <v>23344</v>
      </c>
      <c r="K258" s="16">
        <v>8104</v>
      </c>
      <c r="L258" s="16">
        <v>26569</v>
      </c>
      <c r="M258" s="16">
        <v>6428</v>
      </c>
      <c r="N258" s="16">
        <v>21635</v>
      </c>
      <c r="O258" s="41"/>
    </row>
    <row r="259" spans="1:15" s="45" customFormat="1" ht="15.2" customHeight="1">
      <c r="A259" s="11"/>
      <c r="B259" s="5" t="s">
        <v>165</v>
      </c>
      <c r="C259" s="5" t="s">
        <v>141</v>
      </c>
      <c r="D259" s="16">
        <v>966784</v>
      </c>
      <c r="E259" s="30">
        <v>0.02</v>
      </c>
      <c r="F259" s="30">
        <v>0</v>
      </c>
      <c r="G259" s="17"/>
      <c r="H259" s="30"/>
      <c r="I259" s="16">
        <v>7072</v>
      </c>
      <c r="J259" s="16">
        <v>23105</v>
      </c>
      <c r="K259" s="16">
        <v>8494</v>
      </c>
      <c r="L259" s="16">
        <v>28383</v>
      </c>
      <c r="M259" s="16">
        <v>6765</v>
      </c>
      <c r="N259" s="16">
        <v>23066</v>
      </c>
      <c r="O259" s="41"/>
    </row>
    <row r="260" spans="1:15" s="45" customFormat="1" ht="15.2" customHeight="1">
      <c r="A260" s="11"/>
      <c r="B260" s="5" t="s">
        <v>140</v>
      </c>
      <c r="C260" s="5" t="s">
        <v>139</v>
      </c>
      <c r="D260" s="16">
        <v>976040</v>
      </c>
      <c r="E260" s="30">
        <v>0.02</v>
      </c>
      <c r="F260" s="30">
        <v>0</v>
      </c>
      <c r="G260" s="17"/>
      <c r="H260" s="30"/>
      <c r="I260" s="16">
        <v>6294</v>
      </c>
      <c r="J260" s="16">
        <v>20886</v>
      </c>
      <c r="K260" s="16">
        <v>7258</v>
      </c>
      <c r="L260" s="16">
        <v>23821</v>
      </c>
      <c r="M260" s="16">
        <v>5924</v>
      </c>
      <c r="N260" s="16">
        <v>19749</v>
      </c>
      <c r="O260" s="41"/>
    </row>
    <row r="261" spans="1:15" s="45" customFormat="1" ht="15.2" customHeight="1">
      <c r="A261" s="11"/>
      <c r="B261" s="5" t="s">
        <v>164</v>
      </c>
      <c r="C261" s="5" t="s">
        <v>137</v>
      </c>
      <c r="D261" s="16">
        <v>984539</v>
      </c>
      <c r="E261" s="30">
        <v>0.03</v>
      </c>
      <c r="F261" s="30">
        <v>0</v>
      </c>
      <c r="G261" s="17"/>
      <c r="H261" s="30"/>
      <c r="I261" s="16">
        <v>6889</v>
      </c>
      <c r="J261" s="16">
        <v>21933</v>
      </c>
      <c r="K261" s="16">
        <v>7606</v>
      </c>
      <c r="L261" s="16">
        <v>24993</v>
      </c>
      <c r="M261" s="16">
        <v>6019</v>
      </c>
      <c r="N261" s="16">
        <v>20187</v>
      </c>
      <c r="O261" s="41"/>
    </row>
    <row r="262" spans="1:15" s="45" customFormat="1" ht="15.2" customHeight="1">
      <c r="A262" s="11"/>
      <c r="B262" s="5"/>
      <c r="C262" s="5"/>
      <c r="D262" s="16"/>
      <c r="E262" s="30"/>
      <c r="F262" s="30"/>
      <c r="G262" s="17"/>
      <c r="H262" s="30"/>
      <c r="I262" s="16"/>
      <c r="J262" s="16"/>
      <c r="K262" s="16"/>
      <c r="L262" s="16"/>
      <c r="M262" s="16"/>
      <c r="N262" s="16"/>
      <c r="O262" s="41"/>
    </row>
    <row r="263" spans="1:15" s="45" customFormat="1" ht="15.2" customHeight="1">
      <c r="A263" s="11">
        <v>2015</v>
      </c>
      <c r="B263" s="5" t="s">
        <v>159</v>
      </c>
      <c r="C263" s="5" t="s">
        <v>135</v>
      </c>
      <c r="D263" s="16">
        <v>993064</v>
      </c>
      <c r="E263" s="30">
        <v>0.03</v>
      </c>
      <c r="F263" s="30">
        <v>0</v>
      </c>
      <c r="G263" s="17"/>
      <c r="H263" s="30"/>
      <c r="I263" s="16">
        <v>6483</v>
      </c>
      <c r="J263" s="16">
        <v>21342</v>
      </c>
      <c r="K263" s="16">
        <v>9103</v>
      </c>
      <c r="L263" s="16">
        <v>30341</v>
      </c>
      <c r="M263" s="16">
        <v>7337</v>
      </c>
      <c r="N263" s="16">
        <v>24776</v>
      </c>
      <c r="O263" s="41"/>
    </row>
    <row r="264" spans="1:15" s="45" customFormat="1" ht="15.2" customHeight="1">
      <c r="A264" s="11"/>
      <c r="B264" s="5" t="s">
        <v>163</v>
      </c>
      <c r="C264" s="37" t="s">
        <v>162</v>
      </c>
      <c r="D264" s="16">
        <v>998023</v>
      </c>
      <c r="E264" s="30">
        <v>0.03</v>
      </c>
      <c r="F264" s="30">
        <v>0</v>
      </c>
      <c r="G264" s="17"/>
      <c r="H264" s="30"/>
      <c r="I264" s="16">
        <v>5106</v>
      </c>
      <c r="J264" s="16">
        <v>16041</v>
      </c>
      <c r="K264" s="16">
        <v>8147</v>
      </c>
      <c r="L264" s="16">
        <v>26656</v>
      </c>
      <c r="M264" s="16">
        <v>7001</v>
      </c>
      <c r="N264" s="16">
        <v>23301</v>
      </c>
      <c r="O264" s="41"/>
    </row>
    <row r="265" spans="1:15" s="45" customFormat="1" ht="15.2" customHeight="1">
      <c r="A265" s="11"/>
      <c r="B265" s="5" t="s">
        <v>161</v>
      </c>
      <c r="C265" s="5" t="s">
        <v>157</v>
      </c>
      <c r="D265" s="16">
        <v>1011675</v>
      </c>
      <c r="E265" s="30">
        <v>0.03</v>
      </c>
      <c r="F265" s="30">
        <v>0</v>
      </c>
      <c r="G265" s="17"/>
      <c r="H265" s="30"/>
      <c r="I265" s="16">
        <v>8898</v>
      </c>
      <c r="J265" s="16">
        <v>29195</v>
      </c>
      <c r="K265" s="16">
        <v>8183</v>
      </c>
      <c r="L265" s="16">
        <v>28060</v>
      </c>
      <c r="M265" s="16">
        <v>6041</v>
      </c>
      <c r="N265" s="16">
        <v>21098</v>
      </c>
      <c r="O265" s="41"/>
    </row>
    <row r="266" spans="1:15" s="45" customFormat="1" ht="15.2" customHeight="1">
      <c r="A266" s="11"/>
      <c r="B266" s="5" t="s">
        <v>151</v>
      </c>
      <c r="C266" s="5" t="s">
        <v>153</v>
      </c>
      <c r="D266" s="16">
        <v>1018719</v>
      </c>
      <c r="E266" s="30">
        <v>0.03</v>
      </c>
      <c r="F266" s="30">
        <v>0</v>
      </c>
      <c r="G266" s="17"/>
      <c r="H266" s="30"/>
      <c r="I266" s="16">
        <v>6189</v>
      </c>
      <c r="J266" s="16">
        <v>20598</v>
      </c>
      <c r="K266" s="16">
        <v>6690</v>
      </c>
      <c r="L266" s="16">
        <v>22767</v>
      </c>
      <c r="M266" s="16">
        <v>5310</v>
      </c>
      <c r="N266" s="16">
        <v>18377</v>
      </c>
      <c r="O266" s="41"/>
    </row>
    <row r="267" spans="1:15" s="45" customFormat="1" ht="15.2" customHeight="1">
      <c r="A267" s="11"/>
      <c r="B267" s="5" t="s">
        <v>110</v>
      </c>
      <c r="C267" s="5" t="s">
        <v>133</v>
      </c>
      <c r="D267" s="16">
        <v>1024970</v>
      </c>
      <c r="E267" s="30">
        <v>0.03</v>
      </c>
      <c r="F267" s="30">
        <v>0</v>
      </c>
      <c r="G267" s="17"/>
      <c r="H267" s="30"/>
      <c r="I267" s="16">
        <v>5570</v>
      </c>
      <c r="J267" s="16">
        <v>18525</v>
      </c>
      <c r="K267" s="16">
        <v>7952</v>
      </c>
      <c r="L267" s="16">
        <v>26631</v>
      </c>
      <c r="M267" s="16">
        <v>6581</v>
      </c>
      <c r="N267" s="16">
        <v>22450</v>
      </c>
      <c r="O267" s="41"/>
    </row>
    <row r="268" spans="1:15" s="45" customFormat="1" ht="15.2" customHeight="1">
      <c r="A268" s="11"/>
      <c r="B268" s="5" t="s">
        <v>150</v>
      </c>
      <c r="C268" s="5" t="s">
        <v>149</v>
      </c>
      <c r="D268" s="16">
        <v>1030495</v>
      </c>
      <c r="E268" s="30">
        <v>0.03</v>
      </c>
      <c r="F268" s="30">
        <v>0</v>
      </c>
      <c r="G268" s="17"/>
      <c r="H268" s="30"/>
      <c r="I268" s="16">
        <v>5852</v>
      </c>
      <c r="J268" s="16">
        <v>19284</v>
      </c>
      <c r="K268" s="16">
        <v>8785</v>
      </c>
      <c r="L268" s="16">
        <v>29864</v>
      </c>
      <c r="M268" s="16">
        <v>6961</v>
      </c>
      <c r="N268" s="16">
        <v>24054</v>
      </c>
      <c r="O268" s="41"/>
    </row>
    <row r="269" spans="1:15" s="45" customFormat="1" ht="15.2" customHeight="1">
      <c r="A269" s="11"/>
      <c r="B269" s="5" t="s">
        <v>148</v>
      </c>
      <c r="C269" s="5" t="s">
        <v>147</v>
      </c>
      <c r="D269" s="16">
        <v>1044241</v>
      </c>
      <c r="E269" s="30">
        <v>0.03</v>
      </c>
      <c r="F269" s="30">
        <v>0</v>
      </c>
      <c r="G269" s="17"/>
      <c r="H269" s="30"/>
      <c r="I269" s="16">
        <v>8170</v>
      </c>
      <c r="J269" s="16">
        <v>27694</v>
      </c>
      <c r="K269" s="16">
        <v>8112</v>
      </c>
      <c r="L269" s="16">
        <v>27238</v>
      </c>
      <c r="M269" s="16">
        <v>6281</v>
      </c>
      <c r="N269" s="16">
        <v>21665</v>
      </c>
      <c r="O269" s="41"/>
    </row>
    <row r="270" spans="1:15" s="45" customFormat="1" ht="15.2" customHeight="1">
      <c r="A270" s="11"/>
      <c r="B270" s="5" t="s">
        <v>146</v>
      </c>
      <c r="C270" s="5" t="s">
        <v>145</v>
      </c>
      <c r="D270" s="16">
        <v>1054932</v>
      </c>
      <c r="E270" s="30">
        <v>0.03</v>
      </c>
      <c r="F270" s="30">
        <v>0</v>
      </c>
      <c r="G270" s="17"/>
      <c r="H270" s="30"/>
      <c r="I270" s="16">
        <v>7025</v>
      </c>
      <c r="J270" s="16">
        <v>23467</v>
      </c>
      <c r="K270" s="16">
        <v>6981</v>
      </c>
      <c r="L270" s="16">
        <v>24026</v>
      </c>
      <c r="M270" s="16">
        <v>5481</v>
      </c>
      <c r="N270" s="16">
        <v>19483</v>
      </c>
      <c r="O270" s="41"/>
    </row>
    <row r="271" spans="1:15" s="45" customFormat="1" ht="15.2" customHeight="1">
      <c r="A271" s="11"/>
      <c r="B271" s="5" t="s">
        <v>144</v>
      </c>
      <c r="C271" s="5" t="s">
        <v>143</v>
      </c>
      <c r="D271" s="16">
        <v>1062242</v>
      </c>
      <c r="E271" s="30">
        <v>0.03</v>
      </c>
      <c r="F271" s="30">
        <v>0</v>
      </c>
      <c r="G271" s="17"/>
      <c r="H271" s="30"/>
      <c r="I271" s="16">
        <v>6186</v>
      </c>
      <c r="J271" s="16">
        <v>20321</v>
      </c>
      <c r="K271" s="16">
        <v>6154</v>
      </c>
      <c r="L271" s="16">
        <v>21069</v>
      </c>
      <c r="M271" s="16">
        <v>4648</v>
      </c>
      <c r="N271" s="16">
        <v>16527</v>
      </c>
      <c r="O271" s="41"/>
    </row>
    <row r="272" spans="1:15" s="45" customFormat="1" ht="15.2" customHeight="1">
      <c r="A272" s="11"/>
      <c r="B272" s="5" t="s">
        <v>142</v>
      </c>
      <c r="C272" s="5" t="s">
        <v>141</v>
      </c>
      <c r="D272" s="16">
        <v>1068257</v>
      </c>
      <c r="E272" s="30">
        <v>0.03</v>
      </c>
      <c r="F272" s="30">
        <v>0</v>
      </c>
      <c r="G272" s="17"/>
      <c r="H272" s="30"/>
      <c r="I272" s="16">
        <v>5416</v>
      </c>
      <c r="J272" s="16">
        <v>18828</v>
      </c>
      <c r="K272" s="16">
        <v>5125</v>
      </c>
      <c r="L272" s="16">
        <v>16996</v>
      </c>
      <c r="M272" s="16">
        <v>3792</v>
      </c>
      <c r="N272" s="16">
        <v>12972</v>
      </c>
      <c r="O272" s="41"/>
    </row>
    <row r="273" spans="1:15" s="45" customFormat="1" ht="15.2" customHeight="1">
      <c r="A273" s="11"/>
      <c r="B273" s="5" t="s">
        <v>140</v>
      </c>
      <c r="C273" s="5" t="s">
        <v>139</v>
      </c>
      <c r="D273" s="16">
        <v>1072369</v>
      </c>
      <c r="E273" s="30">
        <v>0.03</v>
      </c>
      <c r="F273" s="30">
        <v>0</v>
      </c>
      <c r="G273" s="17"/>
      <c r="H273" s="30"/>
      <c r="I273" s="16">
        <v>4664</v>
      </c>
      <c r="J273" s="16">
        <v>15631</v>
      </c>
      <c r="K273" s="16">
        <v>4649</v>
      </c>
      <c r="L273" s="16">
        <v>15413</v>
      </c>
      <c r="M273" s="16">
        <v>3435</v>
      </c>
      <c r="N273" s="16">
        <v>11641</v>
      </c>
      <c r="O273" s="41"/>
    </row>
    <row r="274" spans="1:15" s="45" customFormat="1" ht="15.2" customHeight="1">
      <c r="A274" s="11"/>
      <c r="B274" s="5" t="s">
        <v>138</v>
      </c>
      <c r="C274" s="5" t="s">
        <v>160</v>
      </c>
      <c r="D274" s="16">
        <v>1073632</v>
      </c>
      <c r="E274" s="30">
        <v>0.03</v>
      </c>
      <c r="F274" s="30">
        <v>0</v>
      </c>
      <c r="G274" s="17"/>
      <c r="H274" s="30"/>
      <c r="I274" s="16">
        <v>3887</v>
      </c>
      <c r="J274" s="16">
        <v>12883</v>
      </c>
      <c r="K274" s="16">
        <v>4829</v>
      </c>
      <c r="L274" s="16">
        <v>15890</v>
      </c>
      <c r="M274" s="16">
        <v>3747</v>
      </c>
      <c r="N274" s="16">
        <v>12539</v>
      </c>
      <c r="O274" s="41"/>
    </row>
    <row r="275" spans="1:15" s="45" customFormat="1" ht="15.2" customHeight="1">
      <c r="A275" s="11"/>
      <c r="B275" s="5"/>
      <c r="C275" s="5"/>
      <c r="D275" s="16"/>
      <c r="E275" s="30"/>
      <c r="F275" s="30"/>
      <c r="G275" s="17"/>
      <c r="H275" s="30"/>
      <c r="I275" s="16"/>
      <c r="J275" s="16"/>
      <c r="K275" s="16"/>
      <c r="L275" s="16"/>
      <c r="M275" s="16"/>
      <c r="N275" s="16"/>
      <c r="O275" s="41"/>
    </row>
    <row r="276" spans="1:15" s="45" customFormat="1" ht="15.2" customHeight="1">
      <c r="A276" s="11">
        <v>2016</v>
      </c>
      <c r="B276" s="5" t="s">
        <v>159</v>
      </c>
      <c r="C276" s="5" t="s">
        <v>158</v>
      </c>
      <c r="D276" s="16">
        <v>1075654</v>
      </c>
      <c r="E276" s="30">
        <v>0.03</v>
      </c>
      <c r="F276" s="30">
        <v>0</v>
      </c>
      <c r="G276" s="17"/>
      <c r="H276" s="30"/>
      <c r="I276" s="16">
        <v>3816</v>
      </c>
      <c r="J276" s="16">
        <v>12523</v>
      </c>
      <c r="K276" s="16">
        <v>4668</v>
      </c>
      <c r="L276" s="16">
        <v>15588</v>
      </c>
      <c r="M276" s="16">
        <v>3669</v>
      </c>
      <c r="N276" s="16">
        <v>12336</v>
      </c>
      <c r="O276" s="41"/>
    </row>
    <row r="277" spans="1:15" s="45" customFormat="1" ht="15.2" customHeight="1">
      <c r="A277" s="11"/>
      <c r="B277" s="5" t="s">
        <v>152</v>
      </c>
      <c r="C277" s="5" t="s">
        <v>134</v>
      </c>
      <c r="D277" s="16">
        <v>1076033</v>
      </c>
      <c r="E277" s="30">
        <v>0.04</v>
      </c>
      <c r="F277" s="30">
        <v>0</v>
      </c>
      <c r="G277" s="17"/>
      <c r="H277" s="30"/>
      <c r="I277" s="16">
        <v>3384</v>
      </c>
      <c r="J277" s="16">
        <v>10495</v>
      </c>
      <c r="K277" s="16">
        <v>3926</v>
      </c>
      <c r="L277" s="16">
        <v>12764</v>
      </c>
      <c r="M277" s="16">
        <v>3080</v>
      </c>
      <c r="N277" s="16">
        <v>10268</v>
      </c>
      <c r="O277" s="41"/>
    </row>
    <row r="278" spans="1:15" s="45" customFormat="1" ht="15.2" customHeight="1">
      <c r="A278" s="11"/>
      <c r="B278" s="5" t="s">
        <v>154</v>
      </c>
      <c r="C278" s="5" t="s">
        <v>157</v>
      </c>
      <c r="D278" s="16">
        <v>1079495</v>
      </c>
      <c r="E278" s="30">
        <v>0.04</v>
      </c>
      <c r="F278" s="30">
        <v>0</v>
      </c>
      <c r="G278" s="17"/>
      <c r="H278" s="30"/>
      <c r="I278" s="16">
        <v>4605</v>
      </c>
      <c r="J278" s="16">
        <v>15220</v>
      </c>
      <c r="K278" s="16">
        <v>4704</v>
      </c>
      <c r="L278" s="16">
        <v>15386</v>
      </c>
      <c r="M278" s="16">
        <v>3495</v>
      </c>
      <c r="N278" s="16">
        <v>11343</v>
      </c>
      <c r="O278" s="41"/>
    </row>
    <row r="279" spans="1:15" s="45" customFormat="1" ht="15.2" customHeight="1">
      <c r="A279" s="11"/>
      <c r="B279" s="5" t="s">
        <v>151</v>
      </c>
      <c r="C279" s="37" t="s">
        <v>156</v>
      </c>
      <c r="D279" s="16">
        <v>1078833</v>
      </c>
      <c r="E279" s="30">
        <v>0.04</v>
      </c>
      <c r="F279" s="30">
        <v>0</v>
      </c>
      <c r="G279" s="17"/>
      <c r="H279" s="30"/>
      <c r="I279" s="16">
        <v>3342</v>
      </c>
      <c r="J279" s="16">
        <v>10520</v>
      </c>
      <c r="K279" s="16">
        <v>5967</v>
      </c>
      <c r="L279" s="16">
        <v>19754</v>
      </c>
      <c r="M279" s="16">
        <v>4845</v>
      </c>
      <c r="N279" s="16">
        <v>16253</v>
      </c>
      <c r="O279" s="41"/>
    </row>
    <row r="280" spans="1:15" s="45" customFormat="1" ht="15.2" customHeight="1">
      <c r="A280" s="11"/>
      <c r="B280" s="5" t="s">
        <v>110</v>
      </c>
      <c r="C280" s="5" t="s">
        <v>133</v>
      </c>
      <c r="D280" s="16">
        <v>1080989</v>
      </c>
      <c r="E280" s="30">
        <v>0.04</v>
      </c>
      <c r="F280" s="30">
        <v>0</v>
      </c>
      <c r="G280" s="17"/>
      <c r="H280" s="30"/>
      <c r="I280" s="16">
        <v>4923</v>
      </c>
      <c r="J280" s="16">
        <v>15340</v>
      </c>
      <c r="K280" s="16">
        <v>7011</v>
      </c>
      <c r="L280" s="16">
        <v>23016</v>
      </c>
      <c r="M280" s="16">
        <v>5492</v>
      </c>
      <c r="N280" s="16">
        <v>18416</v>
      </c>
      <c r="O280" s="41"/>
    </row>
    <row r="281" spans="1:15" s="45" customFormat="1" ht="15.2" customHeight="1">
      <c r="A281" s="11"/>
      <c r="B281" s="5" t="s">
        <v>150</v>
      </c>
      <c r="C281" s="5" t="s">
        <v>149</v>
      </c>
      <c r="D281" s="16">
        <v>1084458</v>
      </c>
      <c r="E281" s="30">
        <v>0.04</v>
      </c>
      <c r="F281" s="30">
        <v>0</v>
      </c>
      <c r="G281" s="17"/>
      <c r="H281" s="30"/>
      <c r="I281" s="16">
        <v>5663</v>
      </c>
      <c r="J281" s="16">
        <v>17769</v>
      </c>
      <c r="K281" s="16">
        <v>6842</v>
      </c>
      <c r="L281" s="16">
        <v>22274</v>
      </c>
      <c r="M281" s="16">
        <v>5254</v>
      </c>
      <c r="N281" s="16">
        <v>17364</v>
      </c>
      <c r="O281" s="41"/>
    </row>
    <row r="282" spans="1:15" s="45" customFormat="1" ht="15.2" customHeight="1">
      <c r="A282" s="11"/>
      <c r="B282" s="5" t="s">
        <v>148</v>
      </c>
      <c r="C282" s="37" t="s">
        <v>147</v>
      </c>
      <c r="D282" s="16">
        <v>1086389</v>
      </c>
      <c r="E282" s="30">
        <v>0.04</v>
      </c>
      <c r="F282" s="30">
        <v>0</v>
      </c>
      <c r="G282" s="17"/>
      <c r="H282" s="30"/>
      <c r="I282" s="16">
        <v>4837</v>
      </c>
      <c r="J282" s="16">
        <v>15798</v>
      </c>
      <c r="K282" s="16">
        <v>6784</v>
      </c>
      <c r="L282" s="16">
        <v>22881</v>
      </c>
      <c r="M282" s="16">
        <v>5428</v>
      </c>
      <c r="N282" s="16">
        <v>18338</v>
      </c>
      <c r="O282" s="41"/>
    </row>
    <row r="283" spans="1:15" s="45" customFormat="1" ht="15.2" customHeight="1">
      <c r="A283" s="11"/>
      <c r="B283" s="5" t="s">
        <v>146</v>
      </c>
      <c r="C283" s="37" t="s">
        <v>145</v>
      </c>
      <c r="D283" s="16">
        <v>1088613</v>
      </c>
      <c r="E283" s="30">
        <v>0.04</v>
      </c>
      <c r="F283" s="30">
        <v>0</v>
      </c>
      <c r="G283" s="17"/>
      <c r="H283" s="30"/>
      <c r="I283" s="16">
        <v>5497</v>
      </c>
      <c r="J283" s="16">
        <v>17393</v>
      </c>
      <c r="K283" s="16">
        <v>8764</v>
      </c>
      <c r="L283" s="16">
        <v>29622</v>
      </c>
      <c r="M283" s="16">
        <v>7179</v>
      </c>
      <c r="N283" s="16">
        <v>24517</v>
      </c>
      <c r="O283" s="41"/>
    </row>
    <row r="284" spans="1:15" s="45" customFormat="1" ht="15.2" customHeight="1">
      <c r="A284" s="11"/>
      <c r="B284" s="5" t="s">
        <v>144</v>
      </c>
      <c r="C284" s="37" t="s">
        <v>143</v>
      </c>
      <c r="D284" s="16">
        <v>1095260</v>
      </c>
      <c r="E284" s="30">
        <v>0.04</v>
      </c>
      <c r="F284" s="30">
        <v>0</v>
      </c>
      <c r="G284" s="17"/>
      <c r="H284" s="30"/>
      <c r="I284" s="16">
        <v>7019</v>
      </c>
      <c r="J284" s="16">
        <v>23234</v>
      </c>
      <c r="K284" s="16">
        <v>9356</v>
      </c>
      <c r="L284" s="16">
        <v>32126</v>
      </c>
      <c r="M284" s="16">
        <v>7279</v>
      </c>
      <c r="N284" s="16">
        <v>25222</v>
      </c>
      <c r="O284" s="41"/>
    </row>
    <row r="285" spans="1:15" s="45" customFormat="1" ht="15.2" customHeight="1">
      <c r="A285" s="11"/>
      <c r="B285" s="5" t="s">
        <v>142</v>
      </c>
      <c r="C285" s="37" t="s">
        <v>141</v>
      </c>
      <c r="D285" s="16">
        <v>1101216</v>
      </c>
      <c r="E285" s="30">
        <v>0.04</v>
      </c>
      <c r="F285" s="30">
        <v>0</v>
      </c>
      <c r="G285" s="17"/>
      <c r="H285" s="30"/>
      <c r="I285" s="16">
        <v>6733</v>
      </c>
      <c r="J285" s="16">
        <v>23091</v>
      </c>
      <c r="K285" s="16">
        <v>9830</v>
      </c>
      <c r="L285" s="16">
        <v>34288</v>
      </c>
      <c r="M285" s="16">
        <v>7806</v>
      </c>
      <c r="N285" s="16">
        <v>27414</v>
      </c>
      <c r="O285" s="41"/>
    </row>
    <row r="286" spans="1:15" s="46" customFormat="1" ht="15" customHeight="1">
      <c r="A286" s="21"/>
      <c r="B286" s="2" t="s">
        <v>140</v>
      </c>
      <c r="C286" s="81" t="s">
        <v>155</v>
      </c>
      <c r="D286" s="23">
        <v>1108933</v>
      </c>
      <c r="E286" s="25">
        <v>0.03</v>
      </c>
      <c r="F286" s="25">
        <v>0</v>
      </c>
      <c r="G286" s="24"/>
      <c r="H286" s="25"/>
      <c r="I286" s="23">
        <v>7767</v>
      </c>
      <c r="J286" s="23">
        <v>26468</v>
      </c>
      <c r="K286" s="23">
        <v>10664</v>
      </c>
      <c r="L286" s="23">
        <v>38512</v>
      </c>
      <c r="M286" s="23">
        <v>8372</v>
      </c>
      <c r="N286" s="23">
        <v>30511</v>
      </c>
    </row>
    <row r="287" spans="1:15" s="45" customFormat="1" ht="15.2" customHeight="1">
      <c r="A287" s="11"/>
      <c r="B287" s="5"/>
      <c r="C287" s="5"/>
      <c r="D287" s="16"/>
      <c r="E287" s="30"/>
      <c r="F287" s="30"/>
      <c r="G287" s="30"/>
      <c r="H287" s="30"/>
      <c r="I287" s="16"/>
      <c r="J287" s="16"/>
      <c r="K287" s="16"/>
      <c r="L287" s="16"/>
      <c r="M287" s="16"/>
      <c r="N287" s="16"/>
    </row>
    <row r="288" spans="1:15" s="42" customFormat="1" ht="100.5" customHeight="1">
      <c r="A288" s="44" t="s">
        <v>132</v>
      </c>
      <c r="B288" s="236" t="s">
        <v>131</v>
      </c>
      <c r="C288" s="236"/>
      <c r="D288" s="237"/>
      <c r="E288" s="237"/>
      <c r="F288" s="237"/>
      <c r="G288" s="36"/>
      <c r="H288" s="26" t="s">
        <v>48</v>
      </c>
      <c r="I288" s="248" t="s">
        <v>130</v>
      </c>
      <c r="J288" s="249"/>
      <c r="K288" s="249"/>
      <c r="L288" s="249"/>
      <c r="M288" s="249"/>
      <c r="N288" s="249"/>
      <c r="O288" s="43"/>
    </row>
    <row r="289" spans="1:15" s="42" customFormat="1" ht="35.25" customHeight="1">
      <c r="A289" s="44" t="s">
        <v>50</v>
      </c>
      <c r="B289" s="236" t="s">
        <v>129</v>
      </c>
      <c r="C289" s="236"/>
      <c r="D289" s="237"/>
      <c r="E289" s="237"/>
      <c r="F289" s="237"/>
      <c r="G289" s="36"/>
      <c r="H289" s="26" t="s">
        <v>50</v>
      </c>
      <c r="I289" s="238" t="s">
        <v>128</v>
      </c>
      <c r="J289" s="238"/>
      <c r="K289" s="238"/>
      <c r="L289" s="238"/>
      <c r="M289" s="238"/>
      <c r="N289" s="238"/>
    </row>
    <row r="290" spans="1:15" s="42" customFormat="1" ht="31.9" customHeight="1">
      <c r="A290" s="44" t="s">
        <v>127</v>
      </c>
      <c r="B290" s="236" t="s">
        <v>126</v>
      </c>
      <c r="C290" s="236"/>
      <c r="D290" s="237"/>
      <c r="E290" s="237"/>
      <c r="F290" s="237"/>
      <c r="G290" s="36"/>
      <c r="H290" s="26" t="s">
        <v>125</v>
      </c>
      <c r="I290" s="238" t="s">
        <v>124</v>
      </c>
      <c r="J290" s="238"/>
      <c r="K290" s="238"/>
      <c r="L290" s="238"/>
      <c r="M290" s="238"/>
      <c r="N290" s="238"/>
      <c r="O290" s="43"/>
    </row>
    <row r="291" spans="1:15" s="41" customFormat="1" ht="25.5" customHeight="1">
      <c r="A291" s="11"/>
      <c r="B291" s="5"/>
      <c r="C291" s="5"/>
      <c r="D291" s="27"/>
      <c r="E291" s="18"/>
      <c r="F291" s="18"/>
      <c r="G291" s="18"/>
      <c r="H291" s="18"/>
      <c r="I291" s="19"/>
      <c r="J291" s="19"/>
      <c r="K291" s="19"/>
      <c r="L291" s="19"/>
      <c r="M291" s="19"/>
      <c r="N291" s="19"/>
    </row>
    <row r="292" spans="1:15" s="41" customFormat="1" ht="14.25" customHeight="1">
      <c r="A292" s="11"/>
      <c r="B292" s="5"/>
      <c r="C292" s="5"/>
      <c r="D292" s="27"/>
      <c r="E292" s="18"/>
      <c r="F292" s="18"/>
      <c r="G292" s="18"/>
      <c r="H292" s="18"/>
      <c r="I292" s="19"/>
      <c r="J292" s="19"/>
      <c r="K292" s="19"/>
      <c r="L292" s="19"/>
      <c r="M292" s="19"/>
      <c r="N292" s="19"/>
    </row>
    <row r="293" spans="1:15" s="41" customFormat="1" ht="14.25" customHeight="1">
      <c r="A293" s="11"/>
      <c r="B293" s="5"/>
      <c r="C293" s="5"/>
      <c r="D293" s="27"/>
      <c r="E293" s="18"/>
      <c r="F293" s="18"/>
      <c r="G293" s="18"/>
      <c r="H293" s="18"/>
      <c r="I293" s="19"/>
      <c r="J293" s="19"/>
      <c r="K293" s="19"/>
      <c r="L293" s="19"/>
      <c r="M293" s="19"/>
      <c r="N293" s="19"/>
    </row>
    <row r="294" spans="1:15" s="41" customFormat="1" ht="14.25" customHeight="1">
      <c r="A294" s="11"/>
      <c r="B294" s="5"/>
      <c r="C294" s="5"/>
      <c r="D294" s="27"/>
      <c r="E294" s="18"/>
      <c r="F294" s="18"/>
      <c r="G294" s="18"/>
      <c r="H294" s="18"/>
      <c r="I294" s="19"/>
      <c r="J294" s="19"/>
      <c r="K294" s="19"/>
      <c r="L294" s="19"/>
      <c r="M294" s="19"/>
      <c r="N294" s="19"/>
    </row>
    <row r="295" spans="1:15" s="41" customFormat="1" ht="14.25" customHeight="1">
      <c r="A295" s="11"/>
      <c r="B295" s="5"/>
      <c r="C295" s="5"/>
      <c r="D295" s="27"/>
      <c r="E295" s="18"/>
      <c r="F295" s="18"/>
      <c r="G295" s="18"/>
      <c r="H295" s="18"/>
      <c r="I295" s="19"/>
      <c r="J295" s="19"/>
      <c r="K295" s="19"/>
      <c r="L295" s="19"/>
      <c r="M295" s="19"/>
      <c r="N295" s="19"/>
    </row>
    <row r="296" spans="1:15" s="41" customFormat="1" ht="14.25" customHeight="1">
      <c r="A296" s="11"/>
      <c r="B296" s="5"/>
      <c r="C296" s="5"/>
      <c r="D296" s="27"/>
      <c r="E296" s="18"/>
      <c r="F296" s="18"/>
      <c r="G296" s="18"/>
      <c r="H296" s="18"/>
      <c r="I296" s="19"/>
      <c r="J296" s="19"/>
      <c r="K296" s="19"/>
      <c r="L296" s="19"/>
      <c r="M296" s="19"/>
      <c r="N296" s="19"/>
    </row>
    <row r="297" spans="1:15" s="41" customFormat="1" ht="14.25" customHeight="1">
      <c r="A297" s="11"/>
      <c r="B297" s="5"/>
      <c r="C297" s="5"/>
      <c r="D297" s="27"/>
      <c r="E297" s="18"/>
      <c r="F297" s="18"/>
      <c r="G297" s="18"/>
      <c r="H297" s="18"/>
      <c r="I297" s="19"/>
      <c r="J297" s="19"/>
      <c r="K297" s="19"/>
      <c r="L297" s="19"/>
      <c r="M297" s="19"/>
      <c r="N297" s="19"/>
    </row>
    <row r="298" spans="1:15" s="41" customFormat="1" ht="14.25" customHeight="1">
      <c r="A298" s="11"/>
      <c r="B298" s="5"/>
      <c r="C298" s="5"/>
      <c r="D298" s="27"/>
      <c r="E298" s="18"/>
      <c r="F298" s="18"/>
      <c r="G298" s="18"/>
      <c r="H298" s="18"/>
      <c r="I298" s="19"/>
      <c r="J298" s="19"/>
      <c r="K298" s="19"/>
      <c r="L298" s="19"/>
      <c r="M298" s="19"/>
      <c r="N298" s="19"/>
    </row>
    <row r="299" spans="1:15" s="41" customFormat="1" ht="14.25" customHeight="1">
      <c r="A299" s="11" ph="1"/>
      <c r="B299" s="5" ph="1"/>
      <c r="C299" s="5" ph="1"/>
      <c r="D299" s="27" ph="1"/>
      <c r="E299" s="18" ph="1"/>
      <c r="F299" s="18" ph="1"/>
      <c r="G299" s="18" ph="1"/>
      <c r="H299" s="18" ph="1"/>
      <c r="I299" s="19" ph="1"/>
      <c r="J299" s="19" ph="1"/>
      <c r="K299" s="19" ph="1"/>
      <c r="L299" s="19" ph="1"/>
      <c r="M299" s="19" ph="1"/>
      <c r="N299" s="19" ph="1"/>
    </row>
    <row r="300" spans="1:15" s="41" customFormat="1" ht="14.25" customHeight="1">
      <c r="A300" s="11"/>
      <c r="B300" s="5"/>
      <c r="C300" s="5"/>
      <c r="D300" s="27"/>
      <c r="E300" s="18"/>
      <c r="F300" s="18"/>
      <c r="G300" s="18"/>
      <c r="H300" s="18"/>
      <c r="I300" s="19"/>
      <c r="J300" s="19"/>
      <c r="K300" s="19"/>
      <c r="L300" s="19"/>
      <c r="M300" s="19"/>
      <c r="N300" s="19"/>
    </row>
    <row r="301" spans="1:15" s="41" customFormat="1" ht="14.25" customHeight="1">
      <c r="A301" s="11" ph="1"/>
      <c r="B301" s="5" ph="1"/>
      <c r="C301" s="5" ph="1"/>
      <c r="D301" s="27" ph="1"/>
      <c r="E301" s="18" ph="1"/>
      <c r="F301" s="18" ph="1"/>
      <c r="G301" s="18" ph="1"/>
      <c r="H301" s="18" ph="1"/>
      <c r="I301" s="19" ph="1"/>
      <c r="J301" s="19" ph="1"/>
      <c r="K301" s="19" ph="1"/>
      <c r="L301" s="19" ph="1"/>
      <c r="M301" s="19" ph="1"/>
      <c r="N301" s="19" ph="1"/>
    </row>
    <row r="302" spans="1:15" s="41" customFormat="1" ht="14.25" customHeight="1">
      <c r="A302" s="11" ph="1"/>
      <c r="B302" s="5" ph="1"/>
      <c r="C302" s="5" ph="1"/>
      <c r="D302" s="27" ph="1"/>
      <c r="E302" s="18" ph="1"/>
      <c r="F302" s="18" ph="1"/>
      <c r="G302" s="18" ph="1"/>
      <c r="H302" s="18" ph="1"/>
      <c r="I302" s="19" ph="1"/>
      <c r="J302" s="19" ph="1"/>
      <c r="K302" s="19" ph="1"/>
      <c r="L302" s="19" ph="1"/>
      <c r="M302" s="19" ph="1"/>
      <c r="N302" s="19" ph="1"/>
    </row>
    <row r="303" spans="1:15" s="41" customFormat="1" ht="14.25" customHeight="1">
      <c r="A303" s="11" ph="1"/>
      <c r="B303" s="5" ph="1"/>
      <c r="C303" s="5" ph="1"/>
      <c r="D303" s="27" ph="1"/>
      <c r="E303" s="18" ph="1"/>
      <c r="F303" s="18" ph="1"/>
      <c r="G303" s="18" ph="1"/>
      <c r="H303" s="18" ph="1"/>
      <c r="I303" s="19" ph="1"/>
      <c r="J303" s="19" ph="1"/>
      <c r="K303" s="19" ph="1"/>
      <c r="L303" s="19" ph="1"/>
      <c r="M303" s="19" ph="1"/>
      <c r="N303" s="19" ph="1"/>
    </row>
    <row r="304" spans="1:15" s="41" customFormat="1" ht="14.25" customHeight="1">
      <c r="A304" s="11" ph="1"/>
      <c r="B304" s="5" ph="1"/>
      <c r="C304" s="5" ph="1"/>
      <c r="D304" s="27" ph="1"/>
      <c r="E304" s="18" ph="1"/>
      <c r="F304" s="18" ph="1"/>
      <c r="G304" s="18" ph="1"/>
      <c r="H304" s="18" ph="1"/>
      <c r="I304" s="19" ph="1"/>
      <c r="J304" s="19" ph="1"/>
      <c r="K304" s="19" ph="1"/>
      <c r="L304" s="19" ph="1"/>
      <c r="M304" s="19" ph="1"/>
      <c r="N304" s="19" ph="1"/>
    </row>
    <row r="305" spans="1:14" s="41" customFormat="1" ht="14.25" customHeight="1">
      <c r="A305" s="11" ph="1"/>
      <c r="B305" s="5" ph="1"/>
      <c r="C305" s="5" ph="1"/>
      <c r="D305" s="27" ph="1"/>
      <c r="E305" s="18" ph="1"/>
      <c r="F305" s="18" ph="1"/>
      <c r="G305" s="18" ph="1"/>
      <c r="H305" s="18" ph="1"/>
      <c r="I305" s="19" ph="1"/>
      <c r="J305" s="19" ph="1"/>
      <c r="K305" s="19" ph="1"/>
      <c r="L305" s="19" ph="1"/>
      <c r="M305" s="19" ph="1"/>
      <c r="N305" s="19" ph="1"/>
    </row>
    <row r="306" spans="1:14" s="41" customFormat="1" ht="14.25" customHeight="1">
      <c r="A306" s="11" ph="1"/>
      <c r="B306" s="5" ph="1"/>
      <c r="C306" s="5" ph="1"/>
      <c r="D306" s="27" ph="1"/>
      <c r="E306" s="18" ph="1"/>
      <c r="F306" s="18" ph="1"/>
      <c r="G306" s="18" ph="1"/>
      <c r="H306" s="18" ph="1"/>
      <c r="I306" s="19" ph="1"/>
      <c r="J306" s="19" ph="1"/>
      <c r="K306" s="19" ph="1"/>
      <c r="L306" s="19" ph="1"/>
      <c r="M306" s="19" ph="1"/>
      <c r="N306" s="19" ph="1"/>
    </row>
    <row r="307" spans="1:14" s="41" customFormat="1" ht="14.25" customHeight="1">
      <c r="A307" s="11" ph="1"/>
      <c r="B307" s="5" ph="1"/>
      <c r="C307" s="5" ph="1"/>
      <c r="D307" s="27" ph="1"/>
      <c r="E307" s="18" ph="1"/>
      <c r="F307" s="18" ph="1"/>
      <c r="G307" s="18" ph="1"/>
      <c r="H307" s="18" ph="1"/>
      <c r="I307" s="19" ph="1"/>
      <c r="J307" s="19" ph="1"/>
      <c r="K307" s="19" ph="1"/>
      <c r="L307" s="19" ph="1"/>
      <c r="M307" s="19" ph="1"/>
      <c r="N307" s="19" ph="1"/>
    </row>
    <row r="308" spans="1:14" s="41" customFormat="1" ht="14.25" customHeight="1">
      <c r="A308" s="11" ph="1"/>
      <c r="B308" s="5" ph="1"/>
      <c r="C308" s="5" ph="1"/>
      <c r="D308" s="27" ph="1"/>
      <c r="E308" s="18" ph="1"/>
      <c r="F308" s="18" ph="1"/>
      <c r="G308" s="18" ph="1"/>
      <c r="H308" s="18" ph="1"/>
      <c r="I308" s="19" ph="1"/>
      <c r="J308" s="19" ph="1"/>
      <c r="K308" s="19" ph="1"/>
      <c r="L308" s="19" ph="1"/>
      <c r="M308" s="19" ph="1"/>
      <c r="N308" s="19" ph="1"/>
    </row>
    <row r="309" spans="1:14" s="41" customFormat="1" ht="14.25" customHeight="1">
      <c r="A309" s="11" ph="1"/>
      <c r="B309" s="5" ph="1"/>
      <c r="C309" s="5" ph="1"/>
      <c r="D309" s="27" ph="1"/>
      <c r="E309" s="18" ph="1"/>
      <c r="F309" s="18" ph="1"/>
      <c r="G309" s="18" ph="1"/>
      <c r="H309" s="18" ph="1"/>
      <c r="I309" s="19" ph="1"/>
      <c r="J309" s="19" ph="1"/>
      <c r="K309" s="19" ph="1"/>
      <c r="L309" s="19" ph="1"/>
      <c r="M309" s="19" ph="1"/>
      <c r="N309" s="19" ph="1"/>
    </row>
    <row r="310" spans="1:14" s="41" customFormat="1" ht="14.25" customHeight="1">
      <c r="A310" s="11" ph="1"/>
      <c r="B310" s="5" ph="1"/>
      <c r="C310" s="5" ph="1"/>
      <c r="D310" s="27" ph="1"/>
      <c r="E310" s="18" ph="1"/>
      <c r="F310" s="18" ph="1"/>
      <c r="G310" s="18" ph="1"/>
      <c r="H310" s="18" ph="1"/>
      <c r="I310" s="19" ph="1"/>
      <c r="J310" s="19" ph="1"/>
      <c r="K310" s="19" ph="1"/>
      <c r="L310" s="19" ph="1"/>
      <c r="M310" s="19" ph="1"/>
      <c r="N310" s="19" ph="1"/>
    </row>
    <row r="311" spans="1:14" s="41" customFormat="1" ht="14.25" customHeight="1">
      <c r="A311" s="11"/>
      <c r="B311" s="5"/>
      <c r="C311" s="5"/>
      <c r="D311" s="27"/>
      <c r="E311" s="18"/>
      <c r="F311" s="18"/>
      <c r="G311" s="18"/>
      <c r="H311" s="18"/>
      <c r="I311" s="19"/>
      <c r="J311" s="19"/>
      <c r="K311" s="19"/>
      <c r="L311" s="19"/>
      <c r="M311" s="19"/>
      <c r="N311" s="19"/>
    </row>
    <row r="312" spans="1:14" s="41" customFormat="1" ht="14.25" customHeight="1">
      <c r="A312" s="11" ph="1"/>
      <c r="B312" s="5" ph="1"/>
      <c r="C312" s="5" ph="1"/>
      <c r="D312" s="27" ph="1"/>
      <c r="E312" s="18" ph="1"/>
      <c r="F312" s="18" ph="1"/>
      <c r="G312" s="18" ph="1"/>
      <c r="H312" s="18" ph="1"/>
      <c r="I312" s="19" ph="1"/>
      <c r="J312" s="19" ph="1"/>
      <c r="K312" s="19" ph="1"/>
      <c r="L312" s="19" ph="1"/>
      <c r="M312" s="19" ph="1"/>
      <c r="N312" s="19" ph="1"/>
    </row>
    <row r="313" spans="1:14" s="41" customFormat="1" ht="14.25" customHeight="1">
      <c r="A313" s="11" ph="1"/>
      <c r="B313" s="5" ph="1"/>
      <c r="C313" s="5" ph="1"/>
      <c r="D313" s="27" ph="1"/>
      <c r="E313" s="18" ph="1"/>
      <c r="F313" s="18" ph="1"/>
      <c r="G313" s="18" ph="1"/>
      <c r="H313" s="18" ph="1"/>
      <c r="I313" s="19" ph="1"/>
      <c r="J313" s="19" ph="1"/>
      <c r="K313" s="19" ph="1"/>
      <c r="L313" s="19" ph="1"/>
      <c r="M313" s="19" ph="1"/>
      <c r="N313" s="19" ph="1"/>
    </row>
    <row r="314" spans="1:14" s="41" customFormat="1" ht="14.25" customHeight="1">
      <c r="A314" s="11" ph="1"/>
      <c r="B314" s="5" ph="1"/>
      <c r="C314" s="5" ph="1"/>
      <c r="D314" s="27" ph="1"/>
      <c r="E314" s="18" ph="1"/>
      <c r="F314" s="18" ph="1"/>
      <c r="G314" s="18" ph="1"/>
      <c r="H314" s="18" ph="1"/>
      <c r="I314" s="19" ph="1"/>
      <c r="J314" s="19" ph="1"/>
      <c r="K314" s="19" ph="1"/>
      <c r="L314" s="19" ph="1"/>
      <c r="M314" s="19" ph="1"/>
      <c r="N314" s="19" ph="1"/>
    </row>
    <row r="315" spans="1:14" s="41" customFormat="1" ht="14.25" customHeight="1">
      <c r="A315" s="11"/>
      <c r="B315" s="5"/>
      <c r="C315" s="5"/>
      <c r="D315" s="27"/>
      <c r="E315" s="18"/>
      <c r="F315" s="18"/>
      <c r="G315" s="18"/>
      <c r="H315" s="18"/>
      <c r="I315" s="19"/>
      <c r="J315" s="19"/>
      <c r="K315" s="19"/>
      <c r="L315" s="19"/>
      <c r="M315" s="19"/>
      <c r="N315" s="19"/>
    </row>
    <row r="316" spans="1:14" s="41" customFormat="1" ht="14.25" customHeight="1">
      <c r="A316" s="11"/>
      <c r="B316" s="5"/>
      <c r="C316" s="5"/>
      <c r="D316" s="27"/>
      <c r="E316" s="18"/>
      <c r="F316" s="18"/>
      <c r="G316" s="18"/>
      <c r="H316" s="18"/>
      <c r="I316" s="19"/>
      <c r="J316" s="19"/>
      <c r="K316" s="19"/>
      <c r="L316" s="19"/>
      <c r="M316" s="19"/>
      <c r="N316" s="19"/>
    </row>
    <row r="317" spans="1:14" s="41" customFormat="1" ht="14.25" customHeight="1">
      <c r="A317" s="11"/>
      <c r="B317" s="5"/>
      <c r="C317" s="5"/>
      <c r="D317" s="27"/>
      <c r="E317" s="18"/>
      <c r="F317" s="18"/>
      <c r="G317" s="18"/>
      <c r="H317" s="18"/>
      <c r="I317" s="19"/>
      <c r="J317" s="19"/>
      <c r="K317" s="19"/>
      <c r="L317" s="19"/>
      <c r="M317" s="19"/>
      <c r="N317" s="19"/>
    </row>
    <row r="318" spans="1:14" s="41" customFormat="1" ht="14.25" customHeight="1">
      <c r="A318" s="11"/>
      <c r="B318" s="5"/>
      <c r="C318" s="5"/>
      <c r="D318" s="27"/>
      <c r="E318" s="18"/>
      <c r="F318" s="18"/>
      <c r="G318" s="18"/>
      <c r="H318" s="18"/>
      <c r="I318" s="19"/>
      <c r="J318" s="19"/>
      <c r="K318" s="19"/>
      <c r="L318" s="19"/>
      <c r="M318" s="19"/>
      <c r="N318" s="19"/>
    </row>
    <row r="319" spans="1:14" s="41" customFormat="1" ht="14.25" customHeight="1">
      <c r="A319" s="11"/>
      <c r="B319" s="5"/>
      <c r="C319" s="5"/>
      <c r="D319" s="27"/>
      <c r="E319" s="18"/>
      <c r="F319" s="18"/>
      <c r="G319" s="18"/>
      <c r="H319" s="18"/>
      <c r="I319" s="19"/>
      <c r="J319" s="19"/>
      <c r="K319" s="19"/>
      <c r="L319" s="19"/>
      <c r="M319" s="19"/>
      <c r="N319" s="19"/>
    </row>
    <row r="320" spans="1:14" s="41" customFormat="1" ht="14.25" customHeight="1">
      <c r="A320" s="11"/>
      <c r="B320" s="5"/>
      <c r="C320" s="5"/>
      <c r="D320" s="27"/>
      <c r="E320" s="18"/>
      <c r="F320" s="18"/>
      <c r="G320" s="18"/>
      <c r="H320" s="18"/>
      <c r="I320" s="19"/>
      <c r="J320" s="19"/>
      <c r="K320" s="19"/>
      <c r="L320" s="19"/>
      <c r="M320" s="19"/>
      <c r="N320" s="19"/>
    </row>
    <row r="321" spans="1:14" s="41" customFormat="1" ht="14.25" customHeight="1">
      <c r="A321" s="11"/>
      <c r="B321" s="5"/>
      <c r="C321" s="5"/>
      <c r="D321" s="27"/>
      <c r="E321" s="18"/>
      <c r="F321" s="18"/>
      <c r="G321" s="18"/>
      <c r="H321" s="18"/>
      <c r="I321" s="19"/>
      <c r="J321" s="19"/>
      <c r="K321" s="19"/>
      <c r="L321" s="19"/>
      <c r="M321" s="19"/>
      <c r="N321" s="19"/>
    </row>
    <row r="322" spans="1:14" s="41" customFormat="1" ht="14.25" customHeight="1">
      <c r="A322" s="11" ph="1"/>
      <c r="B322" s="5" ph="1"/>
      <c r="C322" s="5" ph="1"/>
      <c r="D322" s="27" ph="1"/>
      <c r="E322" s="18" ph="1"/>
      <c r="F322" s="18" ph="1"/>
      <c r="G322" s="18" ph="1"/>
      <c r="H322" s="18" ph="1"/>
      <c r="I322" s="19" ph="1"/>
      <c r="J322" s="19" ph="1"/>
      <c r="K322" s="19" ph="1"/>
      <c r="L322" s="19" ph="1"/>
      <c r="M322" s="19" ph="1"/>
      <c r="N322" s="19" ph="1"/>
    </row>
    <row r="323" spans="1:14" s="41" customFormat="1" ht="14.25" customHeight="1">
      <c r="A323" s="11"/>
      <c r="B323" s="5"/>
      <c r="C323" s="5"/>
      <c r="D323" s="27"/>
      <c r="E323" s="18"/>
      <c r="F323" s="18"/>
      <c r="G323" s="18"/>
      <c r="H323" s="18"/>
      <c r="I323" s="19"/>
      <c r="J323" s="19"/>
      <c r="K323" s="19"/>
      <c r="L323" s="19"/>
      <c r="M323" s="19"/>
      <c r="N323" s="19"/>
    </row>
    <row r="324" spans="1:14" s="41" customFormat="1" ht="14.25" customHeight="1">
      <c r="A324" s="11"/>
      <c r="B324" s="5"/>
      <c r="C324" s="5"/>
      <c r="D324" s="27"/>
      <c r="E324" s="18"/>
      <c r="F324" s="18"/>
      <c r="G324" s="18"/>
      <c r="H324" s="18"/>
      <c r="I324" s="19"/>
      <c r="J324" s="19"/>
      <c r="K324" s="19"/>
      <c r="L324" s="19"/>
      <c r="M324" s="19"/>
      <c r="N324" s="19"/>
    </row>
    <row r="325" spans="1:14" s="41" customFormat="1" ht="14.25" customHeight="1">
      <c r="A325" s="11"/>
      <c r="B325" s="5"/>
      <c r="C325" s="5"/>
      <c r="D325" s="27"/>
      <c r="E325" s="18"/>
      <c r="F325" s="18"/>
      <c r="G325" s="18"/>
      <c r="H325" s="18"/>
      <c r="I325" s="19"/>
      <c r="J325" s="19"/>
      <c r="K325" s="19"/>
      <c r="L325" s="19"/>
      <c r="M325" s="19"/>
      <c r="N325" s="19"/>
    </row>
    <row r="326" spans="1:14" s="41" customFormat="1" ht="14.25" customHeight="1">
      <c r="A326" s="11"/>
      <c r="B326" s="5"/>
      <c r="C326" s="5"/>
      <c r="D326" s="27"/>
      <c r="E326" s="18"/>
      <c r="F326" s="18"/>
      <c r="G326" s="18"/>
      <c r="H326" s="18"/>
      <c r="I326" s="19"/>
      <c r="J326" s="19"/>
      <c r="K326" s="19"/>
      <c r="L326" s="19"/>
      <c r="M326" s="19"/>
      <c r="N326" s="19"/>
    </row>
    <row r="327" spans="1:14" s="41" customFormat="1" ht="14.25" customHeight="1">
      <c r="A327" s="11"/>
      <c r="B327" s="5"/>
      <c r="C327" s="5"/>
      <c r="D327" s="27"/>
      <c r="E327" s="18"/>
      <c r="F327" s="18"/>
      <c r="G327" s="18"/>
      <c r="H327" s="18"/>
      <c r="I327" s="19"/>
      <c r="J327" s="19"/>
      <c r="K327" s="19"/>
      <c r="L327" s="19"/>
      <c r="M327" s="19"/>
      <c r="N327" s="19"/>
    </row>
    <row r="328" spans="1:14" s="41" customFormat="1" ht="14.25" customHeight="1">
      <c r="A328" s="11"/>
      <c r="B328" s="5"/>
      <c r="C328" s="5"/>
      <c r="D328" s="27"/>
      <c r="E328" s="18"/>
      <c r="F328" s="18"/>
      <c r="G328" s="18"/>
      <c r="H328" s="18"/>
      <c r="I328" s="19"/>
      <c r="J328" s="19"/>
      <c r="K328" s="19"/>
      <c r="L328" s="19"/>
      <c r="M328" s="19"/>
      <c r="N328" s="19"/>
    </row>
    <row r="329" spans="1:14" s="41" customFormat="1" ht="14.25" customHeight="1">
      <c r="A329" s="11"/>
      <c r="B329" s="5"/>
      <c r="C329" s="5"/>
      <c r="D329" s="27"/>
      <c r="E329" s="18"/>
      <c r="F329" s="18"/>
      <c r="G329" s="18"/>
      <c r="H329" s="18"/>
      <c r="I329" s="19"/>
      <c r="J329" s="19"/>
      <c r="K329" s="19"/>
      <c r="L329" s="19"/>
      <c r="M329" s="19"/>
      <c r="N329" s="19"/>
    </row>
    <row r="330" spans="1:14" s="41" customFormat="1" ht="14.25" customHeight="1">
      <c r="A330" s="11"/>
      <c r="B330" s="5"/>
      <c r="C330" s="5"/>
      <c r="D330" s="27"/>
      <c r="E330" s="18"/>
      <c r="F330" s="18"/>
      <c r="G330" s="18"/>
      <c r="H330" s="18"/>
      <c r="I330" s="19"/>
      <c r="J330" s="19"/>
      <c r="K330" s="19"/>
      <c r="L330" s="19"/>
      <c r="M330" s="19"/>
      <c r="N330" s="19"/>
    </row>
    <row r="331" spans="1:14" s="41" customFormat="1" ht="14.25" customHeight="1">
      <c r="A331" s="11" ph="1"/>
      <c r="B331" s="5" ph="1"/>
      <c r="C331" s="5" ph="1"/>
      <c r="D331" s="27" ph="1"/>
      <c r="E331" s="18" ph="1"/>
      <c r="F331" s="18" ph="1"/>
      <c r="G331" s="18" ph="1"/>
      <c r="H331" s="18" ph="1"/>
      <c r="I331" s="19" ph="1"/>
      <c r="J331" s="19" ph="1"/>
      <c r="K331" s="19" ph="1"/>
      <c r="L331" s="19" ph="1"/>
      <c r="M331" s="19" ph="1"/>
      <c r="N331" s="19" ph="1"/>
    </row>
    <row r="332" spans="1:14" s="41" customFormat="1" ht="14.25" customHeight="1">
      <c r="A332" s="11"/>
      <c r="B332" s="5"/>
      <c r="C332" s="5"/>
      <c r="D332" s="27"/>
      <c r="E332" s="18"/>
      <c r="F332" s="18"/>
      <c r="G332" s="18"/>
      <c r="H332" s="18"/>
      <c r="I332" s="19"/>
      <c r="J332" s="19"/>
      <c r="K332" s="19"/>
      <c r="L332" s="19"/>
      <c r="M332" s="19"/>
      <c r="N332" s="19"/>
    </row>
    <row r="333" spans="1:14" s="41" customFormat="1" ht="14.25" customHeight="1">
      <c r="A333" s="11" ph="1"/>
      <c r="B333" s="5" ph="1"/>
      <c r="C333" s="5" ph="1"/>
      <c r="D333" s="27" ph="1"/>
      <c r="E333" s="18" ph="1"/>
      <c r="F333" s="18" ph="1"/>
      <c r="G333" s="18" ph="1"/>
      <c r="H333" s="18" ph="1"/>
      <c r="I333" s="19" ph="1"/>
      <c r="J333" s="19" ph="1"/>
      <c r="K333" s="19" ph="1"/>
      <c r="L333" s="19" ph="1"/>
      <c r="M333" s="19" ph="1"/>
      <c r="N333" s="19" ph="1"/>
    </row>
    <row r="334" spans="1:14" s="41" customFormat="1" ht="14.25" customHeight="1">
      <c r="A334" s="11" ph="1"/>
      <c r="B334" s="5" ph="1"/>
      <c r="C334" s="5" ph="1"/>
      <c r="D334" s="27" ph="1"/>
      <c r="E334" s="18" ph="1"/>
      <c r="F334" s="18" ph="1"/>
      <c r="G334" s="18" ph="1"/>
      <c r="H334" s="18" ph="1"/>
      <c r="I334" s="19" ph="1"/>
      <c r="J334" s="19" ph="1"/>
      <c r="K334" s="19" ph="1"/>
      <c r="L334" s="19" ph="1"/>
      <c r="M334" s="19" ph="1"/>
      <c r="N334" s="19" ph="1"/>
    </row>
    <row r="335" spans="1:14" s="41" customFormat="1" ht="14.25" customHeight="1">
      <c r="A335" s="11" ph="1"/>
      <c r="B335" s="5" ph="1"/>
      <c r="C335" s="5" ph="1"/>
      <c r="D335" s="27" ph="1"/>
      <c r="E335" s="18" ph="1"/>
      <c r="F335" s="18" ph="1"/>
      <c r="G335" s="18" ph="1"/>
      <c r="H335" s="18" ph="1"/>
      <c r="I335" s="19" ph="1"/>
      <c r="J335" s="19" ph="1"/>
      <c r="K335" s="19" ph="1"/>
      <c r="L335" s="19" ph="1"/>
      <c r="M335" s="19" ph="1"/>
      <c r="N335" s="19" ph="1"/>
    </row>
    <row r="336" spans="1:14" s="41" customFormat="1" ht="14.25" customHeight="1">
      <c r="A336" s="11" ph="1"/>
      <c r="B336" s="5" ph="1"/>
      <c r="C336" s="5" ph="1"/>
      <c r="D336" s="27" ph="1"/>
      <c r="E336" s="18" ph="1"/>
      <c r="F336" s="18" ph="1"/>
      <c r="G336" s="18" ph="1"/>
      <c r="H336" s="18" ph="1"/>
      <c r="I336" s="19" ph="1"/>
      <c r="J336" s="19" ph="1"/>
      <c r="K336" s="19" ph="1"/>
      <c r="L336" s="19" ph="1"/>
      <c r="M336" s="19" ph="1"/>
      <c r="N336" s="19" ph="1"/>
    </row>
    <row r="337" spans="1:14" s="41" customFormat="1" ht="14.25" customHeight="1">
      <c r="A337" s="11" ph="1"/>
      <c r="B337" s="5" ph="1"/>
      <c r="C337" s="5" ph="1"/>
      <c r="D337" s="27" ph="1"/>
      <c r="E337" s="18" ph="1"/>
      <c r="F337" s="18" ph="1"/>
      <c r="G337" s="18" ph="1"/>
      <c r="H337" s="18" ph="1"/>
      <c r="I337" s="19" ph="1"/>
      <c r="J337" s="19" ph="1"/>
      <c r="K337" s="19" ph="1"/>
      <c r="L337" s="19" ph="1"/>
      <c r="M337" s="19" ph="1"/>
      <c r="N337" s="19" ph="1"/>
    </row>
    <row r="338" spans="1:14" s="41" customFormat="1" ht="14.25" customHeight="1">
      <c r="A338" s="11" ph="1"/>
      <c r="B338" s="5" ph="1"/>
      <c r="C338" s="5" ph="1"/>
      <c r="D338" s="27" ph="1"/>
      <c r="E338" s="18" ph="1"/>
      <c r="F338" s="18" ph="1"/>
      <c r="G338" s="18" ph="1"/>
      <c r="H338" s="18" ph="1"/>
      <c r="I338" s="19" ph="1"/>
      <c r="J338" s="19" ph="1"/>
      <c r="K338" s="19" ph="1"/>
      <c r="L338" s="19" ph="1"/>
      <c r="M338" s="19" ph="1"/>
      <c r="N338" s="19" ph="1"/>
    </row>
    <row r="339" spans="1:14" s="41" customFormat="1" ht="14.25" customHeight="1">
      <c r="A339" s="11" ph="1"/>
      <c r="B339" s="5" ph="1"/>
      <c r="C339" s="5" ph="1"/>
      <c r="D339" s="27" ph="1"/>
      <c r="E339" s="18" ph="1"/>
      <c r="F339" s="18" ph="1"/>
      <c r="G339" s="18" ph="1"/>
      <c r="H339" s="18" ph="1"/>
      <c r="I339" s="19" ph="1"/>
      <c r="J339" s="19" ph="1"/>
      <c r="K339" s="19" ph="1"/>
      <c r="L339" s="19" ph="1"/>
      <c r="M339" s="19" ph="1"/>
      <c r="N339" s="19" ph="1"/>
    </row>
    <row r="340" spans="1:14" s="41" customFormat="1" ht="14.25" customHeight="1">
      <c r="A340" s="11" ph="1"/>
      <c r="B340" s="5" ph="1"/>
      <c r="C340" s="5" ph="1"/>
      <c r="D340" s="27" ph="1"/>
      <c r="E340" s="18" ph="1"/>
      <c r="F340" s="18" ph="1"/>
      <c r="G340" s="18" ph="1"/>
      <c r="H340" s="18" ph="1"/>
      <c r="I340" s="19" ph="1"/>
      <c r="J340" s="19" ph="1"/>
      <c r="K340" s="19" ph="1"/>
      <c r="L340" s="19" ph="1"/>
      <c r="M340" s="19" ph="1"/>
      <c r="N340" s="19" ph="1"/>
    </row>
    <row r="341" spans="1:14" s="41" customFormat="1" ht="14.25" customHeight="1">
      <c r="A341" s="11" ph="1"/>
      <c r="B341" s="5" ph="1"/>
      <c r="C341" s="5" ph="1"/>
      <c r="D341" s="27" ph="1"/>
      <c r="E341" s="18" ph="1"/>
      <c r="F341" s="18" ph="1"/>
      <c r="G341" s="18" ph="1"/>
      <c r="H341" s="18" ph="1"/>
      <c r="I341" s="19" ph="1"/>
      <c r="J341" s="19" ph="1"/>
      <c r="K341" s="19" ph="1"/>
      <c r="L341" s="19" ph="1"/>
      <c r="M341" s="19" ph="1"/>
      <c r="N341" s="19" ph="1"/>
    </row>
    <row r="342" spans="1:14" s="41" customFormat="1" ht="14.25" customHeight="1">
      <c r="A342" s="11" ph="1"/>
      <c r="B342" s="5" ph="1"/>
      <c r="C342" s="5" ph="1"/>
      <c r="D342" s="27" ph="1"/>
      <c r="E342" s="18" ph="1"/>
      <c r="F342" s="18" ph="1"/>
      <c r="G342" s="18" ph="1"/>
      <c r="H342" s="18" ph="1"/>
      <c r="I342" s="19" ph="1"/>
      <c r="J342" s="19" ph="1"/>
      <c r="K342" s="19" ph="1"/>
      <c r="L342" s="19" ph="1"/>
      <c r="M342" s="19" ph="1"/>
      <c r="N342" s="19" ph="1"/>
    </row>
    <row r="343" spans="1:14" s="41" customFormat="1" ht="14.25" customHeight="1">
      <c r="A343" s="11"/>
      <c r="B343" s="5"/>
      <c r="C343" s="5"/>
      <c r="D343" s="27"/>
      <c r="E343" s="18"/>
      <c r="F343" s="18"/>
      <c r="G343" s="18"/>
      <c r="H343" s="18"/>
      <c r="I343" s="19"/>
      <c r="J343" s="19"/>
      <c r="K343" s="19"/>
      <c r="L343" s="19"/>
      <c r="M343" s="19"/>
      <c r="N343" s="19"/>
    </row>
    <row r="344" spans="1:14" s="41" customFormat="1" ht="14.25" customHeight="1">
      <c r="A344" s="11" ph="1"/>
      <c r="B344" s="5" ph="1"/>
      <c r="C344" s="5" ph="1"/>
      <c r="D344" s="27" ph="1"/>
      <c r="E344" s="18" ph="1"/>
      <c r="F344" s="18" ph="1"/>
      <c r="G344" s="18" ph="1"/>
      <c r="H344" s="18" ph="1"/>
      <c r="I344" s="19" ph="1"/>
      <c r="J344" s="19" ph="1"/>
      <c r="K344" s="19" ph="1"/>
      <c r="L344" s="19" ph="1"/>
      <c r="M344" s="19" ph="1"/>
      <c r="N344" s="19" ph="1"/>
    </row>
    <row r="345" spans="1:14" s="41" customFormat="1" ht="14.25" customHeight="1">
      <c r="A345" s="11" ph="1"/>
      <c r="B345" s="5" ph="1"/>
      <c r="C345" s="5" ph="1"/>
      <c r="D345" s="27" ph="1"/>
      <c r="E345" s="18" ph="1"/>
      <c r="F345" s="18" ph="1"/>
      <c r="G345" s="18" ph="1"/>
      <c r="H345" s="18" ph="1"/>
      <c r="I345" s="19" ph="1"/>
      <c r="J345" s="19" ph="1"/>
      <c r="K345" s="19" ph="1"/>
      <c r="L345" s="19" ph="1"/>
      <c r="M345" s="19" ph="1"/>
      <c r="N345" s="19" ph="1"/>
    </row>
    <row r="346" spans="1:14" s="41" customFormat="1" ht="14.25" customHeight="1">
      <c r="A346" s="11" ph="1"/>
      <c r="B346" s="5" ph="1"/>
      <c r="C346" s="5" ph="1"/>
      <c r="D346" s="27" ph="1"/>
      <c r="E346" s="18" ph="1"/>
      <c r="F346" s="18" ph="1"/>
      <c r="G346" s="18" ph="1"/>
      <c r="H346" s="18" ph="1"/>
      <c r="I346" s="19" ph="1"/>
      <c r="J346" s="19" ph="1"/>
      <c r="K346" s="19" ph="1"/>
      <c r="L346" s="19" ph="1"/>
      <c r="M346" s="19" ph="1"/>
      <c r="N346" s="19" ph="1"/>
    </row>
    <row r="347" spans="1:14" s="41" customFormat="1" ht="14.25" customHeight="1">
      <c r="A347" s="11"/>
      <c r="B347" s="5"/>
      <c r="C347" s="5"/>
      <c r="D347" s="27"/>
      <c r="E347" s="18"/>
      <c r="F347" s="18"/>
      <c r="G347" s="18"/>
      <c r="H347" s="18"/>
      <c r="I347" s="19"/>
      <c r="J347" s="19"/>
      <c r="K347" s="19"/>
      <c r="L347" s="19"/>
      <c r="M347" s="19"/>
      <c r="N347" s="19"/>
    </row>
    <row r="348" spans="1:14" s="41" customFormat="1" ht="14.25" customHeight="1">
      <c r="A348" s="11"/>
      <c r="B348" s="5"/>
      <c r="C348" s="5"/>
      <c r="D348" s="27"/>
      <c r="E348" s="18"/>
      <c r="F348" s="18"/>
      <c r="G348" s="18"/>
      <c r="H348" s="18"/>
      <c r="I348" s="19"/>
      <c r="J348" s="19"/>
      <c r="K348" s="19"/>
      <c r="L348" s="19"/>
      <c r="M348" s="19"/>
      <c r="N348" s="19"/>
    </row>
    <row r="349" spans="1:14" s="41" customFormat="1" ht="14.25" customHeight="1">
      <c r="A349" s="11"/>
      <c r="B349" s="5"/>
      <c r="C349" s="5"/>
      <c r="D349" s="27"/>
      <c r="E349" s="18"/>
      <c r="F349" s="18"/>
      <c r="G349" s="18"/>
      <c r="H349" s="18"/>
      <c r="I349" s="19"/>
      <c r="J349" s="19"/>
      <c r="K349" s="19"/>
      <c r="L349" s="19"/>
      <c r="M349" s="19"/>
      <c r="N349" s="19"/>
    </row>
    <row r="350" spans="1:14" s="41" customFormat="1" ht="14.25" customHeight="1">
      <c r="A350" s="11"/>
      <c r="B350" s="5"/>
      <c r="C350" s="5"/>
      <c r="D350" s="27"/>
      <c r="E350" s="18"/>
      <c r="F350" s="18"/>
      <c r="G350" s="18"/>
      <c r="H350" s="18"/>
      <c r="I350" s="19"/>
      <c r="J350" s="19"/>
      <c r="K350" s="19"/>
      <c r="L350" s="19"/>
      <c r="M350" s="19"/>
      <c r="N350" s="19"/>
    </row>
    <row r="351" spans="1:14" s="41" customFormat="1" ht="14.25" customHeight="1">
      <c r="A351" s="11"/>
      <c r="B351" s="5"/>
      <c r="C351" s="5"/>
      <c r="D351" s="27"/>
      <c r="E351" s="18"/>
      <c r="F351" s="18"/>
      <c r="G351" s="18"/>
      <c r="H351" s="18"/>
      <c r="I351" s="19"/>
      <c r="J351" s="19"/>
      <c r="K351" s="19"/>
      <c r="L351" s="19"/>
      <c r="M351" s="19"/>
      <c r="N351" s="19"/>
    </row>
    <row r="352" spans="1:14" s="41" customFormat="1" ht="14.25" customHeight="1">
      <c r="A352" s="11"/>
      <c r="B352" s="5"/>
      <c r="C352" s="5"/>
      <c r="D352" s="27"/>
      <c r="E352" s="18"/>
      <c r="F352" s="18"/>
      <c r="G352" s="18"/>
      <c r="H352" s="18"/>
      <c r="I352" s="19"/>
      <c r="J352" s="19"/>
      <c r="K352" s="19"/>
      <c r="L352" s="19"/>
      <c r="M352" s="19"/>
      <c r="N352" s="19"/>
    </row>
    <row r="353" spans="1:14" s="41" customFormat="1" ht="14.25" customHeight="1">
      <c r="A353" s="11"/>
      <c r="B353" s="5"/>
      <c r="C353" s="5"/>
      <c r="D353" s="27"/>
      <c r="E353" s="18"/>
      <c r="F353" s="18"/>
      <c r="G353" s="18"/>
      <c r="H353" s="18"/>
      <c r="I353" s="19"/>
      <c r="J353" s="19"/>
      <c r="K353" s="19"/>
      <c r="L353" s="19"/>
      <c r="M353" s="19"/>
      <c r="N353" s="19"/>
    </row>
    <row r="354" spans="1:14" s="41" customFormat="1" ht="14.25" customHeight="1">
      <c r="A354" s="11" ph="1"/>
      <c r="B354" s="5" ph="1"/>
      <c r="C354" s="5" ph="1"/>
      <c r="D354" s="27" ph="1"/>
      <c r="E354" s="18" ph="1"/>
      <c r="F354" s="18" ph="1"/>
      <c r="G354" s="18" ph="1"/>
      <c r="H354" s="18" ph="1"/>
      <c r="I354" s="19" ph="1"/>
      <c r="J354" s="19" ph="1"/>
      <c r="K354" s="19" ph="1"/>
      <c r="L354" s="19" ph="1"/>
      <c r="M354" s="19" ph="1"/>
      <c r="N354" s="19" ph="1"/>
    </row>
    <row r="355" spans="1:14" s="41" customFormat="1" ht="14.25" customHeight="1">
      <c r="A355" s="11"/>
      <c r="B355" s="5"/>
      <c r="C355" s="5"/>
      <c r="D355" s="27"/>
      <c r="E355" s="18"/>
      <c r="F355" s="18"/>
      <c r="G355" s="18"/>
      <c r="H355" s="18"/>
      <c r="I355" s="19"/>
      <c r="J355" s="19"/>
      <c r="K355" s="19"/>
      <c r="L355" s="19"/>
      <c r="M355" s="19"/>
      <c r="N355" s="19"/>
    </row>
    <row r="356" spans="1:14" s="41" customFormat="1" ht="14.25" customHeight="1">
      <c r="A356" s="11"/>
      <c r="B356" s="5"/>
      <c r="C356" s="5"/>
      <c r="D356" s="27"/>
      <c r="E356" s="18"/>
      <c r="F356" s="18"/>
      <c r="G356" s="18"/>
      <c r="H356" s="18"/>
      <c r="I356" s="19"/>
      <c r="J356" s="19"/>
      <c r="K356" s="19"/>
      <c r="L356" s="19"/>
      <c r="M356" s="19"/>
      <c r="N356" s="19"/>
    </row>
    <row r="357" spans="1:14" s="41" customFormat="1" ht="14.25" customHeight="1">
      <c r="A357" s="11"/>
      <c r="B357" s="5"/>
      <c r="C357" s="5"/>
      <c r="D357" s="27"/>
      <c r="E357" s="18"/>
      <c r="F357" s="18"/>
      <c r="G357" s="18"/>
      <c r="H357" s="18"/>
      <c r="I357" s="19"/>
      <c r="J357" s="19"/>
      <c r="K357" s="19"/>
      <c r="L357" s="19"/>
      <c r="M357" s="19"/>
      <c r="N357" s="19"/>
    </row>
    <row r="358" spans="1:14" s="41" customFormat="1" ht="14.25" customHeight="1">
      <c r="A358" s="11"/>
      <c r="B358" s="5"/>
      <c r="C358" s="5"/>
      <c r="D358" s="27"/>
      <c r="E358" s="18"/>
      <c r="F358" s="18"/>
      <c r="G358" s="18"/>
      <c r="H358" s="18"/>
      <c r="I358" s="19"/>
      <c r="J358" s="19"/>
      <c r="K358" s="19"/>
      <c r="L358" s="19"/>
      <c r="M358" s="19"/>
      <c r="N358" s="19"/>
    </row>
    <row r="359" spans="1:14" s="41" customFormat="1" ht="14.25" customHeight="1">
      <c r="A359" s="11"/>
      <c r="B359" s="5"/>
      <c r="C359" s="5"/>
      <c r="D359" s="27"/>
      <c r="E359" s="18"/>
      <c r="F359" s="18"/>
      <c r="G359" s="18"/>
      <c r="H359" s="18"/>
      <c r="I359" s="19"/>
      <c r="J359" s="19"/>
      <c r="K359" s="19"/>
      <c r="L359" s="19"/>
      <c r="M359" s="19"/>
      <c r="N359" s="19"/>
    </row>
    <row r="360" spans="1:14" s="41" customFormat="1" ht="14.25" customHeight="1">
      <c r="A360" s="11"/>
      <c r="B360" s="5"/>
      <c r="C360" s="5"/>
      <c r="D360" s="27"/>
      <c r="E360" s="18"/>
      <c r="F360" s="18"/>
      <c r="G360" s="18"/>
      <c r="H360" s="18"/>
      <c r="I360" s="19"/>
      <c r="J360" s="19"/>
      <c r="K360" s="19"/>
      <c r="L360" s="19"/>
      <c r="M360" s="19"/>
      <c r="N360" s="19"/>
    </row>
    <row r="361" spans="1:14" s="41" customFormat="1" ht="14.25" customHeight="1">
      <c r="A361" s="11"/>
      <c r="B361" s="5"/>
      <c r="C361" s="5"/>
      <c r="D361" s="27"/>
      <c r="E361" s="18"/>
      <c r="F361" s="18"/>
      <c r="G361" s="18"/>
      <c r="H361" s="18"/>
      <c r="I361" s="19"/>
      <c r="J361" s="19"/>
      <c r="K361" s="19"/>
      <c r="L361" s="19"/>
      <c r="M361" s="19"/>
      <c r="N361" s="19"/>
    </row>
    <row r="362" spans="1:14" s="41" customFormat="1" ht="14.25" customHeight="1">
      <c r="A362" s="11"/>
      <c r="B362" s="5"/>
      <c r="C362" s="5"/>
      <c r="D362" s="27"/>
      <c r="E362" s="18"/>
      <c r="F362" s="18"/>
      <c r="G362" s="18"/>
      <c r="H362" s="18"/>
      <c r="I362" s="19"/>
      <c r="J362" s="19"/>
      <c r="K362" s="19"/>
      <c r="L362" s="19"/>
      <c r="M362" s="19"/>
      <c r="N362" s="19"/>
    </row>
    <row r="363" spans="1:14" s="41" customFormat="1" ht="14.25" customHeight="1">
      <c r="A363" s="11" ph="1"/>
      <c r="B363" s="5" ph="1"/>
      <c r="C363" s="5" ph="1"/>
      <c r="D363" s="27" ph="1"/>
      <c r="E363" s="18" ph="1"/>
      <c r="F363" s="18" ph="1"/>
      <c r="G363" s="18" ph="1"/>
      <c r="H363" s="18" ph="1"/>
      <c r="I363" s="19" ph="1"/>
      <c r="J363" s="19" ph="1"/>
      <c r="K363" s="19" ph="1"/>
      <c r="L363" s="19" ph="1"/>
      <c r="M363" s="19" ph="1"/>
      <c r="N363" s="19" ph="1"/>
    </row>
    <row r="364" spans="1:14" s="41" customFormat="1" ht="14.25" customHeight="1">
      <c r="A364" s="11"/>
      <c r="B364" s="5"/>
      <c r="C364" s="5"/>
      <c r="D364" s="27"/>
      <c r="E364" s="18"/>
      <c r="F364" s="18"/>
      <c r="G364" s="18"/>
      <c r="H364" s="18"/>
      <c r="I364" s="19"/>
      <c r="J364" s="19"/>
      <c r="K364" s="19"/>
      <c r="L364" s="19"/>
      <c r="M364" s="19"/>
      <c r="N364" s="19"/>
    </row>
    <row r="365" spans="1:14" s="41" customFormat="1" ht="14.25" customHeight="1">
      <c r="A365" s="11" ph="1"/>
      <c r="B365" s="5" ph="1"/>
      <c r="C365" s="5" ph="1"/>
      <c r="D365" s="27" ph="1"/>
      <c r="E365" s="18" ph="1"/>
      <c r="F365" s="18" ph="1"/>
      <c r="G365" s="18" ph="1"/>
      <c r="H365" s="18" ph="1"/>
      <c r="I365" s="19" ph="1"/>
      <c r="J365" s="19" ph="1"/>
      <c r="K365" s="19" ph="1"/>
      <c r="L365" s="19" ph="1"/>
      <c r="M365" s="19" ph="1"/>
      <c r="N365" s="19" ph="1"/>
    </row>
    <row r="366" spans="1:14" s="41" customFormat="1" ht="14.25" customHeight="1">
      <c r="A366" s="11" ph="1"/>
      <c r="B366" s="5" ph="1"/>
      <c r="C366" s="5" ph="1"/>
      <c r="D366" s="27" ph="1"/>
      <c r="E366" s="18" ph="1"/>
      <c r="F366" s="18" ph="1"/>
      <c r="G366" s="18" ph="1"/>
      <c r="H366" s="18" ph="1"/>
      <c r="I366" s="19" ph="1"/>
      <c r="J366" s="19" ph="1"/>
      <c r="K366" s="19" ph="1"/>
      <c r="L366" s="19" ph="1"/>
      <c r="M366" s="19" ph="1"/>
      <c r="N366" s="19" ph="1"/>
    </row>
    <row r="367" spans="1:14" s="41" customFormat="1" ht="14.25" customHeight="1">
      <c r="A367" s="11" ph="1"/>
      <c r="B367" s="5" ph="1"/>
      <c r="C367" s="5" ph="1"/>
      <c r="D367" s="27" ph="1"/>
      <c r="E367" s="18" ph="1"/>
      <c r="F367" s="18" ph="1"/>
      <c r="G367" s="18" ph="1"/>
      <c r="H367" s="18" ph="1"/>
      <c r="I367" s="19" ph="1"/>
      <c r="J367" s="19" ph="1"/>
      <c r="K367" s="19" ph="1"/>
      <c r="L367" s="19" ph="1"/>
      <c r="M367" s="19" ph="1"/>
      <c r="N367" s="19" ph="1"/>
    </row>
    <row r="368" spans="1:14" s="41" customFormat="1" ht="14.25" customHeight="1">
      <c r="A368" s="11" ph="1"/>
      <c r="B368" s="5" ph="1"/>
      <c r="C368" s="5" ph="1"/>
      <c r="D368" s="27" ph="1"/>
      <c r="E368" s="18" ph="1"/>
      <c r="F368" s="18" ph="1"/>
      <c r="G368" s="18" ph="1"/>
      <c r="H368" s="18" ph="1"/>
      <c r="I368" s="19" ph="1"/>
      <c r="J368" s="19" ph="1"/>
      <c r="K368" s="19" ph="1"/>
      <c r="L368" s="19" ph="1"/>
      <c r="M368" s="19" ph="1"/>
      <c r="N368" s="19" ph="1"/>
    </row>
    <row r="369" spans="1:14" s="41" customFormat="1" ht="14.25" customHeight="1">
      <c r="A369" s="11" ph="1"/>
      <c r="B369" s="5" ph="1"/>
      <c r="C369" s="5" ph="1"/>
      <c r="D369" s="27" ph="1"/>
      <c r="E369" s="18" ph="1"/>
      <c r="F369" s="18" ph="1"/>
      <c r="G369" s="18" ph="1"/>
      <c r="H369" s="18" ph="1"/>
      <c r="I369" s="19" ph="1"/>
      <c r="J369" s="19" ph="1"/>
      <c r="K369" s="19" ph="1"/>
      <c r="L369" s="19" ph="1"/>
      <c r="M369" s="19" ph="1"/>
      <c r="N369" s="19" ph="1"/>
    </row>
    <row r="370" spans="1:14" s="41" customFormat="1" ht="14.25" customHeight="1">
      <c r="A370" s="11" ph="1"/>
      <c r="B370" s="5" ph="1"/>
      <c r="C370" s="5" ph="1"/>
      <c r="D370" s="27" ph="1"/>
      <c r="E370" s="18" ph="1"/>
      <c r="F370" s="18" ph="1"/>
      <c r="G370" s="18" ph="1"/>
      <c r="H370" s="18" ph="1"/>
      <c r="I370" s="19" ph="1"/>
      <c r="J370" s="19" ph="1"/>
      <c r="K370" s="19" ph="1"/>
      <c r="L370" s="19" ph="1"/>
      <c r="M370" s="19" ph="1"/>
      <c r="N370" s="19" ph="1"/>
    </row>
    <row r="371" spans="1:14" s="41" customFormat="1" ht="14.25" customHeight="1">
      <c r="A371" s="11" ph="1"/>
      <c r="B371" s="5" ph="1"/>
      <c r="C371" s="5" ph="1"/>
      <c r="D371" s="27" ph="1"/>
      <c r="E371" s="18" ph="1"/>
      <c r="F371" s="18" ph="1"/>
      <c r="G371" s="18" ph="1"/>
      <c r="H371" s="18" ph="1"/>
      <c r="I371" s="19" ph="1"/>
      <c r="J371" s="19" ph="1"/>
      <c r="K371" s="19" ph="1"/>
      <c r="L371" s="19" ph="1"/>
      <c r="M371" s="19" ph="1"/>
      <c r="N371" s="19" ph="1"/>
    </row>
    <row r="372" spans="1:14" s="41" customFormat="1" ht="14.25" customHeight="1">
      <c r="A372" s="11" ph="1"/>
      <c r="B372" s="5" ph="1"/>
      <c r="C372" s="5" ph="1"/>
      <c r="D372" s="27" ph="1"/>
      <c r="E372" s="18" ph="1"/>
      <c r="F372" s="18" ph="1"/>
      <c r="G372" s="18" ph="1"/>
      <c r="H372" s="18" ph="1"/>
      <c r="I372" s="19" ph="1"/>
      <c r="J372" s="19" ph="1"/>
      <c r="K372" s="19" ph="1"/>
      <c r="L372" s="19" ph="1"/>
      <c r="M372" s="19" ph="1"/>
      <c r="N372" s="19" ph="1"/>
    </row>
    <row r="373" spans="1:14" s="41" customFormat="1" ht="14.25" customHeight="1">
      <c r="A373" s="11" ph="1"/>
      <c r="B373" s="5" ph="1"/>
      <c r="C373" s="5" ph="1"/>
      <c r="D373" s="27" ph="1"/>
      <c r="E373" s="18" ph="1"/>
      <c r="F373" s="18" ph="1"/>
      <c r="G373" s="18" ph="1"/>
      <c r="H373" s="18" ph="1"/>
      <c r="I373" s="19" ph="1"/>
      <c r="J373" s="19" ph="1"/>
      <c r="K373" s="19" ph="1"/>
      <c r="L373" s="19" ph="1"/>
      <c r="M373" s="19" ph="1"/>
      <c r="N373" s="19" ph="1"/>
    </row>
    <row r="374" spans="1:14" s="41" customFormat="1" ht="14.25" customHeight="1">
      <c r="A374" s="11" ph="1"/>
      <c r="B374" s="5" ph="1"/>
      <c r="C374" s="5" ph="1"/>
      <c r="D374" s="27" ph="1"/>
      <c r="E374" s="18" ph="1"/>
      <c r="F374" s="18" ph="1"/>
      <c r="G374" s="18" ph="1"/>
      <c r="H374" s="18" ph="1"/>
      <c r="I374" s="19" ph="1"/>
      <c r="J374" s="19" ph="1"/>
      <c r="K374" s="19" ph="1"/>
      <c r="L374" s="19" ph="1"/>
      <c r="M374" s="19" ph="1"/>
      <c r="N374" s="19" ph="1"/>
    </row>
    <row r="375" spans="1:14" s="41" customFormat="1" ht="14.25" customHeight="1">
      <c r="A375" s="11"/>
      <c r="B375" s="5"/>
      <c r="C375" s="5"/>
      <c r="D375" s="27"/>
      <c r="E375" s="18"/>
      <c r="F375" s="18"/>
      <c r="G375" s="18"/>
      <c r="H375" s="18"/>
      <c r="I375" s="19"/>
      <c r="J375" s="19"/>
      <c r="K375" s="19"/>
      <c r="L375" s="19"/>
      <c r="M375" s="19"/>
      <c r="N375" s="19"/>
    </row>
    <row r="376" spans="1:14" s="41" customFormat="1" ht="14.25" customHeight="1">
      <c r="A376" s="11" ph="1"/>
      <c r="B376" s="5" ph="1"/>
      <c r="C376" s="5" ph="1"/>
      <c r="D376" s="27" ph="1"/>
      <c r="E376" s="18" ph="1"/>
      <c r="F376" s="18" ph="1"/>
      <c r="G376" s="18" ph="1"/>
      <c r="H376" s="18" ph="1"/>
      <c r="I376" s="19" ph="1"/>
      <c r="J376" s="19" ph="1"/>
      <c r="K376" s="19" ph="1"/>
      <c r="L376" s="19" ph="1"/>
      <c r="M376" s="19" ph="1"/>
      <c r="N376" s="19" ph="1"/>
    </row>
    <row r="377" spans="1:14" s="41" customFormat="1" ht="14.25" customHeight="1">
      <c r="A377" s="11" ph="1"/>
      <c r="B377" s="5" ph="1"/>
      <c r="C377" s="5" ph="1"/>
      <c r="D377" s="27" ph="1"/>
      <c r="E377" s="18" ph="1"/>
      <c r="F377" s="18" ph="1"/>
      <c r="G377" s="18" ph="1"/>
      <c r="H377" s="18" ph="1"/>
      <c r="I377" s="19" ph="1"/>
      <c r="J377" s="19" ph="1"/>
      <c r="K377" s="19" ph="1"/>
      <c r="L377" s="19" ph="1"/>
      <c r="M377" s="19" ph="1"/>
      <c r="N377" s="19" ph="1"/>
    </row>
    <row r="378" spans="1:14" s="41" customFormat="1" ht="14.25" customHeight="1">
      <c r="A378" s="11" ph="1"/>
      <c r="B378" s="5" ph="1"/>
      <c r="C378" s="5" ph="1"/>
      <c r="D378" s="27" ph="1"/>
      <c r="E378" s="18" ph="1"/>
      <c r="F378" s="18" ph="1"/>
      <c r="G378" s="18" ph="1"/>
      <c r="H378" s="18" ph="1"/>
      <c r="I378" s="19" ph="1"/>
      <c r="J378" s="19" ph="1"/>
      <c r="K378" s="19" ph="1"/>
      <c r="L378" s="19" ph="1"/>
      <c r="M378" s="19" ph="1"/>
      <c r="N378" s="19" ph="1"/>
    </row>
    <row r="379" spans="1:14" s="41" customFormat="1" ht="14.25" customHeight="1">
      <c r="A379" s="11"/>
      <c r="B379" s="5"/>
      <c r="C379" s="5"/>
      <c r="D379" s="27"/>
      <c r="E379" s="18"/>
      <c r="F379" s="18"/>
      <c r="G379" s="18"/>
      <c r="H379" s="18"/>
      <c r="I379" s="19"/>
      <c r="J379" s="19"/>
      <c r="K379" s="19"/>
      <c r="L379" s="19"/>
      <c r="M379" s="19"/>
      <c r="N379" s="19"/>
    </row>
    <row r="380" spans="1:14" s="41" customFormat="1" ht="14.25" customHeight="1">
      <c r="A380" s="11"/>
      <c r="B380" s="5"/>
      <c r="C380" s="5"/>
      <c r="D380" s="27"/>
      <c r="E380" s="18"/>
      <c r="F380" s="18"/>
      <c r="G380" s="18"/>
      <c r="H380" s="18"/>
      <c r="I380" s="19"/>
      <c r="J380" s="19"/>
      <c r="K380" s="19"/>
      <c r="L380" s="19"/>
      <c r="M380" s="19"/>
      <c r="N380" s="19"/>
    </row>
    <row r="381" spans="1:14" s="41" customFormat="1" ht="14.25" customHeight="1">
      <c r="A381" s="11"/>
      <c r="B381" s="5"/>
      <c r="C381" s="5"/>
      <c r="D381" s="27"/>
      <c r="E381" s="18"/>
      <c r="F381" s="18"/>
      <c r="G381" s="18"/>
      <c r="H381" s="18"/>
      <c r="I381" s="19"/>
      <c r="J381" s="19"/>
      <c r="K381" s="19"/>
      <c r="L381" s="19"/>
      <c r="M381" s="19"/>
      <c r="N381" s="19"/>
    </row>
    <row r="382" spans="1:14" s="41" customFormat="1" ht="14.25" customHeight="1">
      <c r="A382" s="11"/>
      <c r="B382" s="5"/>
      <c r="C382" s="5"/>
      <c r="D382" s="27"/>
      <c r="E382" s="18"/>
      <c r="F382" s="18"/>
      <c r="G382" s="18"/>
      <c r="H382" s="18"/>
      <c r="I382" s="19"/>
      <c r="J382" s="19"/>
      <c r="K382" s="19"/>
      <c r="L382" s="19"/>
      <c r="M382" s="19"/>
      <c r="N382" s="19"/>
    </row>
    <row r="383" spans="1:14" s="41" customFormat="1" ht="14.25" customHeight="1">
      <c r="A383" s="11"/>
      <c r="B383" s="5"/>
      <c r="C383" s="5"/>
      <c r="D383" s="27"/>
      <c r="E383" s="18"/>
      <c r="F383" s="18"/>
      <c r="G383" s="18"/>
      <c r="H383" s="18"/>
      <c r="I383" s="19"/>
      <c r="J383" s="19"/>
      <c r="K383" s="19"/>
      <c r="L383" s="19"/>
      <c r="M383" s="19"/>
      <c r="N383" s="19"/>
    </row>
    <row r="384" spans="1:14" s="41" customFormat="1" ht="14.25" customHeight="1">
      <c r="A384" s="11"/>
      <c r="B384" s="5"/>
      <c r="C384" s="5"/>
      <c r="D384" s="27"/>
      <c r="E384" s="18"/>
      <c r="F384" s="18"/>
      <c r="G384" s="18"/>
      <c r="H384" s="18"/>
      <c r="I384" s="19"/>
      <c r="J384" s="19"/>
      <c r="K384" s="19"/>
      <c r="L384" s="19"/>
      <c r="M384" s="19"/>
      <c r="N384" s="19"/>
    </row>
    <row r="385" spans="1:14" s="41" customFormat="1" ht="14.25" customHeight="1">
      <c r="A385" s="11"/>
      <c r="B385" s="5"/>
      <c r="C385" s="5"/>
      <c r="D385" s="27"/>
      <c r="E385" s="18"/>
      <c r="F385" s="18"/>
      <c r="G385" s="18"/>
      <c r="H385" s="18"/>
      <c r="I385" s="19"/>
      <c r="J385" s="19"/>
      <c r="K385" s="19"/>
      <c r="L385" s="19"/>
      <c r="M385" s="19"/>
      <c r="N385" s="19"/>
    </row>
    <row r="386" spans="1:14" s="41" customFormat="1" ht="14.25" customHeight="1">
      <c r="A386" s="11" ph="1"/>
      <c r="B386" s="5" ph="1"/>
      <c r="C386" s="5" ph="1"/>
      <c r="D386" s="27" ph="1"/>
      <c r="E386" s="18" ph="1"/>
      <c r="F386" s="18" ph="1"/>
      <c r="G386" s="18" ph="1"/>
      <c r="H386" s="18" ph="1"/>
      <c r="I386" s="19" ph="1"/>
      <c r="J386" s="19" ph="1"/>
      <c r="K386" s="19" ph="1"/>
      <c r="L386" s="19" ph="1"/>
      <c r="M386" s="19" ph="1"/>
      <c r="N386" s="19" ph="1"/>
    </row>
    <row r="387" spans="1:14" s="41" customFormat="1" ht="14.25" customHeight="1">
      <c r="A387" s="11"/>
      <c r="B387" s="5"/>
      <c r="C387" s="5"/>
      <c r="D387" s="27"/>
      <c r="E387" s="18"/>
      <c r="F387" s="18"/>
      <c r="G387" s="18"/>
      <c r="H387" s="18"/>
      <c r="I387" s="19"/>
      <c r="J387" s="19"/>
      <c r="K387" s="19"/>
      <c r="L387" s="19"/>
      <c r="M387" s="19"/>
      <c r="N387" s="19"/>
    </row>
    <row r="388" spans="1:14" s="41" customFormat="1" ht="14.25" customHeight="1">
      <c r="A388" s="11"/>
      <c r="B388" s="5"/>
      <c r="C388" s="5"/>
      <c r="D388" s="27"/>
      <c r="E388" s="18"/>
      <c r="F388" s="18"/>
      <c r="G388" s="18"/>
      <c r="H388" s="18"/>
      <c r="I388" s="19"/>
      <c r="J388" s="19"/>
      <c r="K388" s="19"/>
      <c r="L388" s="19"/>
      <c r="M388" s="19"/>
      <c r="N388" s="19"/>
    </row>
    <row r="389" spans="1:14" s="41" customFormat="1" ht="14.25" customHeight="1">
      <c r="A389" s="11"/>
      <c r="B389" s="5"/>
      <c r="C389" s="5"/>
      <c r="D389" s="27"/>
      <c r="E389" s="18"/>
      <c r="F389" s="18"/>
      <c r="G389" s="18"/>
      <c r="H389" s="18"/>
      <c r="I389" s="19"/>
      <c r="J389" s="19"/>
      <c r="K389" s="19"/>
      <c r="L389" s="19"/>
      <c r="M389" s="19"/>
      <c r="N389" s="19"/>
    </row>
    <row r="390" spans="1:14" s="41" customFormat="1" ht="14.25" customHeight="1">
      <c r="A390" s="11"/>
      <c r="B390" s="5"/>
      <c r="C390" s="5"/>
      <c r="D390" s="27"/>
      <c r="E390" s="18"/>
      <c r="F390" s="18"/>
      <c r="G390" s="18"/>
      <c r="H390" s="18"/>
      <c r="I390" s="19"/>
      <c r="J390" s="19"/>
      <c r="K390" s="19"/>
      <c r="L390" s="19"/>
      <c r="M390" s="19"/>
      <c r="N390" s="19"/>
    </row>
    <row r="391" spans="1:14" s="41" customFormat="1" ht="14.25" customHeight="1">
      <c r="A391" s="11"/>
      <c r="B391" s="5"/>
      <c r="C391" s="5"/>
      <c r="D391" s="27"/>
      <c r="E391" s="18"/>
      <c r="F391" s="18"/>
      <c r="G391" s="18"/>
      <c r="H391" s="18"/>
      <c r="I391" s="19"/>
      <c r="J391" s="19"/>
      <c r="K391" s="19"/>
      <c r="L391" s="19"/>
      <c r="M391" s="19"/>
      <c r="N391" s="19"/>
    </row>
    <row r="392" spans="1:14" s="41" customFormat="1" ht="14.25" customHeight="1">
      <c r="A392" s="11"/>
      <c r="B392" s="5"/>
      <c r="C392" s="5"/>
      <c r="D392" s="27"/>
      <c r="E392" s="18"/>
      <c r="F392" s="18"/>
      <c r="G392" s="18"/>
      <c r="H392" s="18"/>
      <c r="I392" s="19"/>
      <c r="J392" s="19"/>
      <c r="K392" s="19"/>
      <c r="L392" s="19"/>
      <c r="M392" s="19"/>
      <c r="N392" s="19"/>
    </row>
    <row r="393" spans="1:14" s="41" customFormat="1" ht="14.25" customHeight="1">
      <c r="A393" s="11"/>
      <c r="B393" s="5"/>
      <c r="C393" s="5"/>
      <c r="D393" s="27"/>
      <c r="E393" s="18"/>
      <c r="F393" s="18"/>
      <c r="G393" s="18"/>
      <c r="H393" s="18"/>
      <c r="I393" s="19"/>
      <c r="J393" s="19"/>
      <c r="K393" s="19"/>
      <c r="L393" s="19"/>
      <c r="M393" s="19"/>
      <c r="N393" s="19"/>
    </row>
    <row r="394" spans="1:14" s="41" customFormat="1" ht="14.25" customHeight="1">
      <c r="A394" s="11"/>
      <c r="B394" s="5"/>
      <c r="C394" s="5"/>
      <c r="D394" s="27"/>
      <c r="E394" s="18"/>
      <c r="F394" s="18"/>
      <c r="G394" s="18"/>
      <c r="H394" s="18"/>
      <c r="I394" s="19"/>
      <c r="J394" s="19"/>
      <c r="K394" s="19"/>
      <c r="L394" s="19"/>
      <c r="M394" s="19"/>
      <c r="N394" s="19"/>
    </row>
    <row r="395" spans="1:14" s="41" customFormat="1" ht="14.25" customHeight="1">
      <c r="A395" s="11" ph="1"/>
      <c r="B395" s="5" ph="1"/>
      <c r="C395" s="5" ph="1"/>
      <c r="D395" s="27" ph="1"/>
      <c r="E395" s="18" ph="1"/>
      <c r="F395" s="18" ph="1"/>
      <c r="G395" s="18" ph="1"/>
      <c r="H395" s="18" ph="1"/>
      <c r="I395" s="19" ph="1"/>
      <c r="J395" s="19" ph="1"/>
      <c r="K395" s="19" ph="1"/>
      <c r="L395" s="19" ph="1"/>
      <c r="M395" s="19" ph="1"/>
      <c r="N395" s="19" ph="1"/>
    </row>
    <row r="396" spans="1:14" s="41" customFormat="1" ht="14.25" customHeight="1">
      <c r="A396" s="11"/>
      <c r="B396" s="5"/>
      <c r="C396" s="5"/>
      <c r="D396" s="27"/>
      <c r="E396" s="18"/>
      <c r="F396" s="18"/>
      <c r="G396" s="18"/>
      <c r="H396" s="18"/>
      <c r="I396" s="19"/>
      <c r="J396" s="19"/>
      <c r="K396" s="19"/>
      <c r="L396" s="19"/>
      <c r="M396" s="19"/>
      <c r="N396" s="19"/>
    </row>
    <row r="397" spans="1:14" s="41" customFormat="1" ht="14.25" customHeight="1">
      <c r="A397" s="11" ph="1"/>
      <c r="B397" s="5" ph="1"/>
      <c r="C397" s="5" ph="1"/>
      <c r="D397" s="27" ph="1"/>
      <c r="E397" s="18" ph="1"/>
      <c r="F397" s="18" ph="1"/>
      <c r="G397" s="18" ph="1"/>
      <c r="H397" s="18" ph="1"/>
      <c r="I397" s="19" ph="1"/>
      <c r="J397" s="19" ph="1"/>
      <c r="K397" s="19" ph="1"/>
      <c r="L397" s="19" ph="1"/>
      <c r="M397" s="19" ph="1"/>
      <c r="N397" s="19" ph="1"/>
    </row>
    <row r="398" spans="1:14" s="41" customFormat="1" ht="14.25" customHeight="1">
      <c r="A398" s="11" ph="1"/>
      <c r="B398" s="5" ph="1"/>
      <c r="C398" s="5" ph="1"/>
      <c r="D398" s="27" ph="1"/>
      <c r="E398" s="18" ph="1"/>
      <c r="F398" s="18" ph="1"/>
      <c r="G398" s="18" ph="1"/>
      <c r="H398" s="18" ph="1"/>
      <c r="I398" s="19" ph="1"/>
      <c r="J398" s="19" ph="1"/>
      <c r="K398" s="19" ph="1"/>
      <c r="L398" s="19" ph="1"/>
      <c r="M398" s="19" ph="1"/>
      <c r="N398" s="19" ph="1"/>
    </row>
    <row r="399" spans="1:14" s="41" customFormat="1" ht="14.25" customHeight="1">
      <c r="A399" s="11" ph="1"/>
      <c r="B399" s="5" ph="1"/>
      <c r="C399" s="5" ph="1"/>
      <c r="D399" s="27" ph="1"/>
      <c r="E399" s="18" ph="1"/>
      <c r="F399" s="18" ph="1"/>
      <c r="G399" s="18" ph="1"/>
      <c r="H399" s="18" ph="1"/>
      <c r="I399" s="19" ph="1"/>
      <c r="J399" s="19" ph="1"/>
      <c r="K399" s="19" ph="1"/>
      <c r="L399" s="19" ph="1"/>
      <c r="M399" s="19" ph="1"/>
      <c r="N399" s="19" ph="1"/>
    </row>
    <row r="400" spans="1:14" s="41" customFormat="1" ht="14.25" customHeight="1">
      <c r="A400" s="11" ph="1"/>
      <c r="B400" s="5" ph="1"/>
      <c r="C400" s="5" ph="1"/>
      <c r="D400" s="27" ph="1"/>
      <c r="E400" s="18" ph="1"/>
      <c r="F400" s="18" ph="1"/>
      <c r="G400" s="18" ph="1"/>
      <c r="H400" s="18" ph="1"/>
      <c r="I400" s="19" ph="1"/>
      <c r="J400" s="19" ph="1"/>
      <c r="K400" s="19" ph="1"/>
      <c r="L400" s="19" ph="1"/>
      <c r="M400" s="19" ph="1"/>
      <c r="N400" s="19" ph="1"/>
    </row>
    <row r="401" spans="1:14" s="41" customFormat="1" ht="14.25" customHeight="1">
      <c r="A401" s="11" ph="1"/>
      <c r="B401" s="5" ph="1"/>
      <c r="C401" s="5" ph="1"/>
      <c r="D401" s="27" ph="1"/>
      <c r="E401" s="18" ph="1"/>
      <c r="F401" s="18" ph="1"/>
      <c r="G401" s="18" ph="1"/>
      <c r="H401" s="18" ph="1"/>
      <c r="I401" s="19" ph="1"/>
      <c r="J401" s="19" ph="1"/>
      <c r="K401" s="19" ph="1"/>
      <c r="L401" s="19" ph="1"/>
      <c r="M401" s="19" ph="1"/>
      <c r="N401" s="19" ph="1"/>
    </row>
    <row r="402" spans="1:14" s="41" customFormat="1" ht="14.25" customHeight="1">
      <c r="A402" s="11" ph="1"/>
      <c r="B402" s="5" ph="1"/>
      <c r="C402" s="5" ph="1"/>
      <c r="D402" s="27" ph="1"/>
      <c r="E402" s="18" ph="1"/>
      <c r="F402" s="18" ph="1"/>
      <c r="G402" s="18" ph="1"/>
      <c r="H402" s="18" ph="1"/>
      <c r="I402" s="19" ph="1"/>
      <c r="J402" s="19" ph="1"/>
      <c r="K402" s="19" ph="1"/>
      <c r="L402" s="19" ph="1"/>
      <c r="M402" s="19" ph="1"/>
      <c r="N402" s="19" ph="1"/>
    </row>
    <row r="403" spans="1:14" s="41" customFormat="1" ht="14.25" customHeight="1">
      <c r="A403" s="11" ph="1"/>
      <c r="B403" s="5" ph="1"/>
      <c r="C403" s="5" ph="1"/>
      <c r="D403" s="27" ph="1"/>
      <c r="E403" s="18" ph="1"/>
      <c r="F403" s="18" ph="1"/>
      <c r="G403" s="18" ph="1"/>
      <c r="H403" s="18" ph="1"/>
      <c r="I403" s="19" ph="1"/>
      <c r="J403" s="19" ph="1"/>
      <c r="K403" s="19" ph="1"/>
      <c r="L403" s="19" ph="1"/>
      <c r="M403" s="19" ph="1"/>
      <c r="N403" s="19" ph="1"/>
    </row>
    <row r="404" spans="1:14" s="41" customFormat="1" ht="14.25" customHeight="1">
      <c r="A404" s="11" ph="1"/>
      <c r="B404" s="5" ph="1"/>
      <c r="C404" s="5" ph="1"/>
      <c r="D404" s="27" ph="1"/>
      <c r="E404" s="18" ph="1"/>
      <c r="F404" s="18" ph="1"/>
      <c r="G404" s="18" ph="1"/>
      <c r="H404" s="18" ph="1"/>
      <c r="I404" s="19" ph="1"/>
      <c r="J404" s="19" ph="1"/>
      <c r="K404" s="19" ph="1"/>
      <c r="L404" s="19" ph="1"/>
      <c r="M404" s="19" ph="1"/>
      <c r="N404" s="19" ph="1"/>
    </row>
    <row r="405" spans="1:14" s="41" customFormat="1" ht="14.25" customHeight="1">
      <c r="A405" s="11" ph="1"/>
      <c r="B405" s="5" ph="1"/>
      <c r="C405" s="5" ph="1"/>
      <c r="D405" s="27" ph="1"/>
      <c r="E405" s="18" ph="1"/>
      <c r="F405" s="18" ph="1"/>
      <c r="G405" s="18" ph="1"/>
      <c r="H405" s="18" ph="1"/>
      <c r="I405" s="19" ph="1"/>
      <c r="J405" s="19" ph="1"/>
      <c r="K405" s="19" ph="1"/>
      <c r="L405" s="19" ph="1"/>
      <c r="M405" s="19" ph="1"/>
      <c r="N405" s="19" ph="1"/>
    </row>
    <row r="406" spans="1:14" s="41" customFormat="1" ht="14.25" customHeight="1">
      <c r="A406" s="11" ph="1"/>
      <c r="B406" s="5" ph="1"/>
      <c r="C406" s="5" ph="1"/>
      <c r="D406" s="27" ph="1"/>
      <c r="E406" s="18" ph="1"/>
      <c r="F406" s="18" ph="1"/>
      <c r="G406" s="18" ph="1"/>
      <c r="H406" s="18" ph="1"/>
      <c r="I406" s="19" ph="1"/>
      <c r="J406" s="19" ph="1"/>
      <c r="K406" s="19" ph="1"/>
      <c r="L406" s="19" ph="1"/>
      <c r="M406" s="19" ph="1"/>
      <c r="N406" s="19" ph="1"/>
    </row>
    <row r="407" spans="1:14" s="41" customFormat="1" ht="14.25" customHeight="1">
      <c r="A407" s="11"/>
      <c r="B407" s="5"/>
      <c r="C407" s="5"/>
      <c r="D407" s="27"/>
      <c r="E407" s="18"/>
      <c r="F407" s="18"/>
      <c r="G407" s="18"/>
      <c r="H407" s="18"/>
      <c r="I407" s="19"/>
      <c r="J407" s="19"/>
      <c r="K407" s="19"/>
      <c r="L407" s="19"/>
      <c r="M407" s="19"/>
      <c r="N407" s="19"/>
    </row>
    <row r="408" spans="1:14" s="41" customFormat="1" ht="14.25" customHeight="1">
      <c r="A408" s="11" ph="1"/>
      <c r="B408" s="5" ph="1"/>
      <c r="C408" s="5" ph="1"/>
      <c r="D408" s="27" ph="1"/>
      <c r="E408" s="18" ph="1"/>
      <c r="F408" s="18" ph="1"/>
      <c r="G408" s="18" ph="1"/>
      <c r="H408" s="18" ph="1"/>
      <c r="I408" s="19" ph="1"/>
      <c r="J408" s="19" ph="1"/>
      <c r="K408" s="19" ph="1"/>
      <c r="L408" s="19" ph="1"/>
      <c r="M408" s="19" ph="1"/>
      <c r="N408" s="19" ph="1"/>
    </row>
    <row r="409" spans="1:14" s="41" customFormat="1" ht="14.25" customHeight="1">
      <c r="A409" s="11" ph="1"/>
      <c r="B409" s="5" ph="1"/>
      <c r="C409" s="5" ph="1"/>
      <c r="D409" s="27" ph="1"/>
      <c r="E409" s="18" ph="1"/>
      <c r="F409" s="18" ph="1"/>
      <c r="G409" s="18" ph="1"/>
      <c r="H409" s="18" ph="1"/>
      <c r="I409" s="19" ph="1"/>
      <c r="J409" s="19" ph="1"/>
      <c r="K409" s="19" ph="1"/>
      <c r="L409" s="19" ph="1"/>
      <c r="M409" s="19" ph="1"/>
      <c r="N409" s="19" ph="1"/>
    </row>
    <row r="410" spans="1:14" s="41" customFormat="1" ht="14.25" customHeight="1">
      <c r="A410" s="11" ph="1"/>
      <c r="B410" s="5" ph="1"/>
      <c r="C410" s="5" ph="1"/>
      <c r="D410" s="27" ph="1"/>
      <c r="E410" s="18" ph="1"/>
      <c r="F410" s="18" ph="1"/>
      <c r="G410" s="18" ph="1"/>
      <c r="H410" s="18" ph="1"/>
      <c r="I410" s="19" ph="1"/>
      <c r="J410" s="19" ph="1"/>
      <c r="K410" s="19" ph="1"/>
      <c r="L410" s="19" ph="1"/>
      <c r="M410" s="19" ph="1"/>
      <c r="N410" s="19" ph="1"/>
    </row>
    <row r="411" spans="1:14" s="41" customFormat="1" ht="14.25" customHeight="1">
      <c r="A411" s="11"/>
      <c r="B411" s="5"/>
      <c r="C411" s="5"/>
      <c r="D411" s="27"/>
      <c r="E411" s="18"/>
      <c r="F411" s="18"/>
      <c r="G411" s="18"/>
      <c r="H411" s="18"/>
      <c r="I411" s="19"/>
      <c r="J411" s="19"/>
      <c r="K411" s="19"/>
      <c r="L411" s="19"/>
      <c r="M411" s="19"/>
      <c r="N411" s="19"/>
    </row>
    <row r="412" spans="1:14" s="41" customFormat="1" ht="14.25" customHeight="1">
      <c r="A412" s="11"/>
      <c r="B412" s="5"/>
      <c r="C412" s="5"/>
      <c r="D412" s="27"/>
      <c r="E412" s="18"/>
      <c r="F412" s="18"/>
      <c r="G412" s="18"/>
      <c r="H412" s="18"/>
      <c r="I412" s="19"/>
      <c r="J412" s="19"/>
      <c r="K412" s="19"/>
      <c r="L412" s="19"/>
      <c r="M412" s="19"/>
      <c r="N412" s="19"/>
    </row>
    <row r="413" spans="1:14" s="41" customFormat="1" ht="14.25" customHeight="1">
      <c r="A413" s="11"/>
      <c r="B413" s="5"/>
      <c r="C413" s="5"/>
      <c r="D413" s="27"/>
      <c r="E413" s="18"/>
      <c r="F413" s="18"/>
      <c r="G413" s="18"/>
      <c r="H413" s="18"/>
      <c r="I413" s="19"/>
      <c r="J413" s="19"/>
      <c r="K413" s="19"/>
      <c r="L413" s="19"/>
      <c r="M413" s="19"/>
      <c r="N413" s="19"/>
    </row>
    <row r="414" spans="1:14" s="41" customFormat="1" ht="14.25" customHeight="1">
      <c r="A414" s="11"/>
      <c r="B414" s="5"/>
      <c r="C414" s="5"/>
      <c r="D414" s="27"/>
      <c r="E414" s="18"/>
      <c r="F414" s="18"/>
      <c r="G414" s="18"/>
      <c r="H414" s="18"/>
      <c r="I414" s="19"/>
      <c r="J414" s="19"/>
      <c r="K414" s="19"/>
      <c r="L414" s="19"/>
      <c r="M414" s="19"/>
      <c r="N414" s="19"/>
    </row>
    <row r="415" spans="1:14" s="41" customFormat="1" ht="14.25" customHeight="1">
      <c r="A415" s="11"/>
      <c r="B415" s="5"/>
      <c r="C415" s="5"/>
      <c r="D415" s="27"/>
      <c r="E415" s="18"/>
      <c r="F415" s="18"/>
      <c r="G415" s="18"/>
      <c r="H415" s="18"/>
      <c r="I415" s="19"/>
      <c r="J415" s="19"/>
      <c r="K415" s="19"/>
      <c r="L415" s="19"/>
      <c r="M415" s="19"/>
      <c r="N415" s="19"/>
    </row>
    <row r="416" spans="1:14" s="41" customFormat="1" ht="14.25" customHeight="1">
      <c r="A416" s="11"/>
      <c r="B416" s="5"/>
      <c r="C416" s="5"/>
      <c r="D416" s="27"/>
      <c r="E416" s="18"/>
      <c r="F416" s="18"/>
      <c r="G416" s="18"/>
      <c r="H416" s="18"/>
      <c r="I416" s="19"/>
      <c r="J416" s="19"/>
      <c r="K416" s="19"/>
      <c r="L416" s="19"/>
      <c r="M416" s="19"/>
      <c r="N416" s="19"/>
    </row>
    <row r="417" spans="1:14" s="41" customFormat="1" ht="14.25" customHeight="1">
      <c r="A417" s="11"/>
      <c r="B417" s="5"/>
      <c r="C417" s="5"/>
      <c r="D417" s="27"/>
      <c r="E417" s="18"/>
      <c r="F417" s="18"/>
      <c r="G417" s="18"/>
      <c r="H417" s="18"/>
      <c r="I417" s="19"/>
      <c r="J417" s="19"/>
      <c r="K417" s="19"/>
      <c r="L417" s="19"/>
      <c r="M417" s="19"/>
      <c r="N417" s="19"/>
    </row>
    <row r="418" spans="1:14" s="41" customFormat="1" ht="14.25" customHeight="1">
      <c r="A418" s="11" ph="1"/>
      <c r="B418" s="5" ph="1"/>
      <c r="C418" s="5" ph="1"/>
      <c r="D418" s="27" ph="1"/>
      <c r="E418" s="18" ph="1"/>
      <c r="F418" s="18" ph="1"/>
      <c r="G418" s="18" ph="1"/>
      <c r="H418" s="18" ph="1"/>
      <c r="I418" s="19" ph="1"/>
      <c r="J418" s="19" ph="1"/>
      <c r="K418" s="19" ph="1"/>
      <c r="L418" s="19" ph="1"/>
      <c r="M418" s="19" ph="1"/>
      <c r="N418" s="19" ph="1"/>
    </row>
    <row r="419" spans="1:14" s="41" customFormat="1" ht="14.25" customHeight="1">
      <c r="A419" s="11"/>
      <c r="B419" s="5"/>
      <c r="C419" s="5"/>
      <c r="D419" s="27"/>
      <c r="E419" s="18"/>
      <c r="F419" s="18"/>
      <c r="G419" s="18"/>
      <c r="H419" s="18"/>
      <c r="I419" s="19"/>
      <c r="J419" s="19"/>
      <c r="K419" s="19"/>
      <c r="L419" s="19"/>
      <c r="M419" s="19"/>
      <c r="N419" s="19"/>
    </row>
    <row r="420" spans="1:14" s="41" customFormat="1" ht="14.25" customHeight="1">
      <c r="A420" s="11"/>
      <c r="B420" s="5"/>
      <c r="C420" s="5"/>
      <c r="D420" s="27"/>
      <c r="E420" s="18"/>
      <c r="F420" s="18"/>
      <c r="G420" s="18"/>
      <c r="H420" s="18"/>
      <c r="I420" s="19"/>
      <c r="J420" s="19"/>
      <c r="K420" s="19"/>
      <c r="L420" s="19"/>
      <c r="M420" s="19"/>
      <c r="N420" s="19"/>
    </row>
    <row r="421" spans="1:14" s="41" customFormat="1" ht="14.25" customHeight="1">
      <c r="A421" s="11"/>
      <c r="B421" s="5"/>
      <c r="C421" s="5"/>
      <c r="D421" s="27"/>
      <c r="E421" s="18"/>
      <c r="F421" s="18"/>
      <c r="G421" s="18"/>
      <c r="H421" s="18"/>
      <c r="I421" s="19"/>
      <c r="J421" s="19"/>
      <c r="K421" s="19"/>
      <c r="L421" s="19"/>
      <c r="M421" s="19"/>
      <c r="N421" s="19"/>
    </row>
    <row r="422" spans="1:14" s="41" customFormat="1" ht="14.25" customHeight="1">
      <c r="A422" s="11"/>
      <c r="B422" s="5"/>
      <c r="C422" s="5"/>
      <c r="D422" s="27"/>
      <c r="E422" s="18"/>
      <c r="F422" s="18"/>
      <c r="G422" s="18"/>
      <c r="H422" s="18"/>
      <c r="I422" s="19"/>
      <c r="J422" s="19"/>
      <c r="K422" s="19"/>
      <c r="L422" s="19"/>
      <c r="M422" s="19"/>
      <c r="N422" s="19"/>
    </row>
    <row r="423" spans="1:14" s="41" customFormat="1" ht="14.25" customHeight="1">
      <c r="A423" s="11"/>
      <c r="B423" s="5"/>
      <c r="C423" s="5"/>
      <c r="D423" s="27"/>
      <c r="E423" s="18"/>
      <c r="F423" s="18"/>
      <c r="G423" s="18"/>
      <c r="H423" s="18"/>
      <c r="I423" s="19"/>
      <c r="J423" s="19"/>
      <c r="K423" s="19"/>
      <c r="L423" s="19"/>
      <c r="M423" s="19"/>
      <c r="N423" s="19"/>
    </row>
    <row r="424" spans="1:14" s="41" customFormat="1" ht="14.25" customHeight="1">
      <c r="A424" s="11"/>
      <c r="B424" s="5"/>
      <c r="C424" s="5"/>
      <c r="D424" s="27"/>
      <c r="E424" s="18"/>
      <c r="F424" s="18"/>
      <c r="G424" s="18"/>
      <c r="H424" s="18"/>
      <c r="I424" s="19"/>
      <c r="J424" s="19"/>
      <c r="K424" s="19"/>
      <c r="L424" s="19"/>
      <c r="M424" s="19"/>
      <c r="N424" s="19"/>
    </row>
    <row r="425" spans="1:14" s="41" customFormat="1" ht="14.25" customHeight="1">
      <c r="A425" s="11"/>
      <c r="B425" s="5"/>
      <c r="C425" s="5"/>
      <c r="D425" s="27"/>
      <c r="E425" s="18"/>
      <c r="F425" s="18"/>
      <c r="G425" s="18"/>
      <c r="H425" s="18"/>
      <c r="I425" s="19"/>
      <c r="J425" s="19"/>
      <c r="K425" s="19"/>
      <c r="L425" s="19"/>
      <c r="M425" s="19"/>
      <c r="N425" s="19"/>
    </row>
    <row r="426" spans="1:14" s="41" customFormat="1" ht="14.25" customHeight="1">
      <c r="A426" s="11"/>
      <c r="B426" s="5"/>
      <c r="C426" s="5"/>
      <c r="D426" s="27"/>
      <c r="E426" s="18"/>
      <c r="F426" s="18"/>
      <c r="G426" s="18"/>
      <c r="H426" s="18"/>
      <c r="I426" s="19"/>
      <c r="J426" s="19"/>
      <c r="K426" s="19"/>
      <c r="L426" s="19"/>
      <c r="M426" s="19"/>
      <c r="N426" s="19"/>
    </row>
    <row r="427" spans="1:14" s="41" customFormat="1" ht="14.25" customHeight="1">
      <c r="A427" s="11" ph="1"/>
      <c r="B427" s="5" ph="1"/>
      <c r="C427" s="5" ph="1"/>
      <c r="D427" s="27" ph="1"/>
      <c r="E427" s="18" ph="1"/>
      <c r="F427" s="18" ph="1"/>
      <c r="G427" s="18" ph="1"/>
      <c r="H427" s="18" ph="1"/>
      <c r="I427" s="19" ph="1"/>
      <c r="J427" s="19" ph="1"/>
      <c r="K427" s="19" ph="1"/>
      <c r="L427" s="19" ph="1"/>
      <c r="M427" s="19" ph="1"/>
      <c r="N427" s="19" ph="1"/>
    </row>
    <row r="428" spans="1:14" s="41" customFormat="1" ht="14.25" customHeight="1">
      <c r="A428" s="11"/>
      <c r="B428" s="5"/>
      <c r="C428" s="5"/>
      <c r="D428" s="27"/>
      <c r="E428" s="18"/>
      <c r="F428" s="18"/>
      <c r="G428" s="18"/>
      <c r="H428" s="18"/>
      <c r="I428" s="19"/>
      <c r="J428" s="19"/>
      <c r="K428" s="19"/>
      <c r="L428" s="19"/>
      <c r="M428" s="19"/>
      <c r="N428" s="19"/>
    </row>
    <row r="429" spans="1:14" s="41" customFormat="1" ht="14.25" customHeight="1">
      <c r="A429" s="11" ph="1"/>
      <c r="B429" s="5" ph="1"/>
      <c r="C429" s="5" ph="1"/>
      <c r="D429" s="27" ph="1"/>
      <c r="E429" s="18" ph="1"/>
      <c r="F429" s="18" ph="1"/>
      <c r="G429" s="18" ph="1"/>
      <c r="H429" s="18" ph="1"/>
      <c r="I429" s="19" ph="1"/>
      <c r="J429" s="19" ph="1"/>
      <c r="K429" s="19" ph="1"/>
      <c r="L429" s="19" ph="1"/>
      <c r="M429" s="19" ph="1"/>
      <c r="N429" s="19" ph="1"/>
    </row>
    <row r="430" spans="1:14" s="41" customFormat="1" ht="14.25" customHeight="1">
      <c r="A430" s="11" ph="1"/>
      <c r="B430" s="5" ph="1"/>
      <c r="C430" s="5" ph="1"/>
      <c r="D430" s="27" ph="1"/>
      <c r="E430" s="18" ph="1"/>
      <c r="F430" s="18" ph="1"/>
      <c r="G430" s="18" ph="1"/>
      <c r="H430" s="18" ph="1"/>
      <c r="I430" s="19" ph="1"/>
      <c r="J430" s="19" ph="1"/>
      <c r="K430" s="19" ph="1"/>
      <c r="L430" s="19" ph="1"/>
      <c r="M430" s="19" ph="1"/>
      <c r="N430" s="19" ph="1"/>
    </row>
    <row r="431" spans="1:14" s="41" customFormat="1" ht="14.25" customHeight="1">
      <c r="A431" s="11" ph="1"/>
      <c r="B431" s="5" ph="1"/>
      <c r="C431" s="5" ph="1"/>
      <c r="D431" s="27" ph="1"/>
      <c r="E431" s="18" ph="1"/>
      <c r="F431" s="18" ph="1"/>
      <c r="G431" s="18" ph="1"/>
      <c r="H431" s="18" ph="1"/>
      <c r="I431" s="19" ph="1"/>
      <c r="J431" s="19" ph="1"/>
      <c r="K431" s="19" ph="1"/>
      <c r="L431" s="19" ph="1"/>
      <c r="M431" s="19" ph="1"/>
      <c r="N431" s="19" ph="1"/>
    </row>
    <row r="432" spans="1:14" s="41" customFormat="1" ht="14.25" customHeight="1">
      <c r="A432" s="11" ph="1"/>
      <c r="B432" s="5" ph="1"/>
      <c r="C432" s="5" ph="1"/>
      <c r="D432" s="27" ph="1"/>
      <c r="E432" s="18" ph="1"/>
      <c r="F432" s="18" ph="1"/>
      <c r="G432" s="18" ph="1"/>
      <c r="H432" s="18" ph="1"/>
      <c r="I432" s="19" ph="1"/>
      <c r="J432" s="19" ph="1"/>
      <c r="K432" s="19" ph="1"/>
      <c r="L432" s="19" ph="1"/>
      <c r="M432" s="19" ph="1"/>
      <c r="N432" s="19" ph="1"/>
    </row>
    <row r="433" spans="1:14" s="41" customFormat="1" ht="14.25" customHeight="1">
      <c r="A433" s="11" ph="1"/>
      <c r="B433" s="5" ph="1"/>
      <c r="C433" s="5" ph="1"/>
      <c r="D433" s="27" ph="1"/>
      <c r="E433" s="18" ph="1"/>
      <c r="F433" s="18" ph="1"/>
      <c r="G433" s="18" ph="1"/>
      <c r="H433" s="18" ph="1"/>
      <c r="I433" s="19" ph="1"/>
      <c r="J433" s="19" ph="1"/>
      <c r="K433" s="19" ph="1"/>
      <c r="L433" s="19" ph="1"/>
      <c r="M433" s="19" ph="1"/>
      <c r="N433" s="19" ph="1"/>
    </row>
    <row r="434" spans="1:14" s="41" customFormat="1" ht="14.25" customHeight="1">
      <c r="A434" s="11" ph="1"/>
      <c r="B434" s="5" ph="1"/>
      <c r="C434" s="5" ph="1"/>
      <c r="D434" s="27" ph="1"/>
      <c r="E434" s="18" ph="1"/>
      <c r="F434" s="18" ph="1"/>
      <c r="G434" s="18" ph="1"/>
      <c r="H434" s="18" ph="1"/>
      <c r="I434" s="19" ph="1"/>
      <c r="J434" s="19" ph="1"/>
      <c r="K434" s="19" ph="1"/>
      <c r="L434" s="19" ph="1"/>
      <c r="M434" s="19" ph="1"/>
      <c r="N434" s="19" ph="1"/>
    </row>
    <row r="435" spans="1:14" s="41" customFormat="1" ht="14.25" customHeight="1">
      <c r="A435" s="11" ph="1"/>
      <c r="B435" s="5" ph="1"/>
      <c r="C435" s="5" ph="1"/>
      <c r="D435" s="27" ph="1"/>
      <c r="E435" s="18" ph="1"/>
      <c r="F435" s="18" ph="1"/>
      <c r="G435" s="18" ph="1"/>
      <c r="H435" s="18" ph="1"/>
      <c r="I435" s="19" ph="1"/>
      <c r="J435" s="19" ph="1"/>
      <c r="K435" s="19" ph="1"/>
      <c r="L435" s="19" ph="1"/>
      <c r="M435" s="19" ph="1"/>
      <c r="N435" s="19" ph="1"/>
    </row>
    <row r="436" spans="1:14" s="41" customFormat="1" ht="14.25" customHeight="1">
      <c r="A436" s="11" ph="1"/>
      <c r="B436" s="5" ph="1"/>
      <c r="C436" s="5" ph="1"/>
      <c r="D436" s="27" ph="1"/>
      <c r="E436" s="18" ph="1"/>
      <c r="F436" s="18" ph="1"/>
      <c r="G436" s="18" ph="1"/>
      <c r="H436" s="18" ph="1"/>
      <c r="I436" s="19" ph="1"/>
      <c r="J436" s="19" ph="1"/>
      <c r="K436" s="19" ph="1"/>
      <c r="L436" s="19" ph="1"/>
      <c r="M436" s="19" ph="1"/>
      <c r="N436" s="19" ph="1"/>
    </row>
    <row r="437" spans="1:14" s="41" customFormat="1" ht="14.25" customHeight="1">
      <c r="A437" s="11" ph="1"/>
      <c r="B437" s="5" ph="1"/>
      <c r="C437" s="5" ph="1"/>
      <c r="D437" s="27" ph="1"/>
      <c r="E437" s="18" ph="1"/>
      <c r="F437" s="18" ph="1"/>
      <c r="G437" s="18" ph="1"/>
      <c r="H437" s="18" ph="1"/>
      <c r="I437" s="19" ph="1"/>
      <c r="J437" s="19" ph="1"/>
      <c r="K437" s="19" ph="1"/>
      <c r="L437" s="19" ph="1"/>
      <c r="M437" s="19" ph="1"/>
      <c r="N437" s="19" ph="1"/>
    </row>
    <row r="438" spans="1:14" s="41" customFormat="1" ht="14.25" customHeight="1">
      <c r="A438" s="11" ph="1"/>
      <c r="B438" s="5" ph="1"/>
      <c r="C438" s="5" ph="1"/>
      <c r="D438" s="27" ph="1"/>
      <c r="E438" s="18" ph="1"/>
      <c r="F438" s="18" ph="1"/>
      <c r="G438" s="18" ph="1"/>
      <c r="H438" s="18" ph="1"/>
      <c r="I438" s="19" ph="1"/>
      <c r="J438" s="19" ph="1"/>
      <c r="K438" s="19" ph="1"/>
      <c r="L438" s="19" ph="1"/>
      <c r="M438" s="19" ph="1"/>
      <c r="N438" s="19" ph="1"/>
    </row>
    <row r="439" spans="1:14" s="41" customFormat="1" ht="14.25" customHeight="1">
      <c r="A439" s="11"/>
      <c r="B439" s="5"/>
      <c r="C439" s="5"/>
      <c r="D439" s="27"/>
      <c r="E439" s="18"/>
      <c r="F439" s="18"/>
      <c r="G439" s="18"/>
      <c r="H439" s="18"/>
      <c r="I439" s="19"/>
      <c r="J439" s="19"/>
      <c r="K439" s="19"/>
      <c r="L439" s="19"/>
      <c r="M439" s="19"/>
      <c r="N439" s="19"/>
    </row>
    <row r="440" spans="1:14" s="41" customFormat="1" ht="14.25" customHeight="1">
      <c r="A440" s="11" ph="1"/>
      <c r="B440" s="5" ph="1"/>
      <c r="C440" s="5" ph="1"/>
      <c r="D440" s="27" ph="1"/>
      <c r="E440" s="18" ph="1"/>
      <c r="F440" s="18" ph="1"/>
      <c r="G440" s="18" ph="1"/>
      <c r="H440" s="18" ph="1"/>
      <c r="I440" s="19" ph="1"/>
      <c r="J440" s="19" ph="1"/>
      <c r="K440" s="19" ph="1"/>
      <c r="L440" s="19" ph="1"/>
      <c r="M440" s="19" ph="1"/>
      <c r="N440" s="19" ph="1"/>
    </row>
    <row r="441" spans="1:14" s="41" customFormat="1" ht="14.25" customHeight="1">
      <c r="A441" s="11" ph="1"/>
      <c r="B441" s="5" ph="1"/>
      <c r="C441" s="5" ph="1"/>
      <c r="D441" s="27" ph="1"/>
      <c r="E441" s="18" ph="1"/>
      <c r="F441" s="18" ph="1"/>
      <c r="G441" s="18" ph="1"/>
      <c r="H441" s="18" ph="1"/>
      <c r="I441" s="19" ph="1"/>
      <c r="J441" s="19" ph="1"/>
      <c r="K441" s="19" ph="1"/>
      <c r="L441" s="19" ph="1"/>
      <c r="M441" s="19" ph="1"/>
      <c r="N441" s="19" ph="1"/>
    </row>
    <row r="442" spans="1:14" s="41" customFormat="1" ht="14.25" customHeight="1">
      <c r="A442" s="11" ph="1"/>
      <c r="B442" s="5" ph="1"/>
      <c r="C442" s="5" ph="1"/>
      <c r="D442" s="27" ph="1"/>
      <c r="E442" s="18" ph="1"/>
      <c r="F442" s="18" ph="1"/>
      <c r="G442" s="18" ph="1"/>
      <c r="H442" s="18" ph="1"/>
      <c r="I442" s="19" ph="1"/>
      <c r="J442" s="19" ph="1"/>
      <c r="K442" s="19" ph="1"/>
      <c r="L442" s="19" ph="1"/>
      <c r="M442" s="19" ph="1"/>
      <c r="N442" s="19" ph="1"/>
    </row>
    <row r="443" spans="1:14" s="41" customFormat="1" ht="14.25" customHeight="1">
      <c r="A443" s="11"/>
      <c r="B443" s="5"/>
      <c r="C443" s="5"/>
      <c r="D443" s="27"/>
      <c r="E443" s="18"/>
      <c r="F443" s="18"/>
      <c r="G443" s="18"/>
      <c r="H443" s="18"/>
      <c r="I443" s="19"/>
      <c r="J443" s="19"/>
      <c r="K443" s="19"/>
      <c r="L443" s="19"/>
      <c r="M443" s="19"/>
      <c r="N443" s="19"/>
    </row>
    <row r="444" spans="1:14" s="41" customFormat="1" ht="14.25" customHeight="1">
      <c r="A444" s="11"/>
      <c r="B444" s="5"/>
      <c r="C444" s="5"/>
      <c r="D444" s="27"/>
      <c r="E444" s="18"/>
      <c r="F444" s="18"/>
      <c r="G444" s="18"/>
      <c r="H444" s="18"/>
      <c r="I444" s="19"/>
      <c r="J444" s="19"/>
      <c r="K444" s="19"/>
      <c r="L444" s="19"/>
      <c r="M444" s="19"/>
      <c r="N444" s="19"/>
    </row>
    <row r="445" spans="1:14" s="41" customFormat="1" ht="14.25" customHeight="1">
      <c r="A445" s="11"/>
      <c r="B445" s="5"/>
      <c r="C445" s="5"/>
      <c r="D445" s="27"/>
      <c r="E445" s="18"/>
      <c r="F445" s="18"/>
      <c r="G445" s="18"/>
      <c r="H445" s="18"/>
      <c r="I445" s="19"/>
      <c r="J445" s="19"/>
      <c r="K445" s="19"/>
      <c r="L445" s="19"/>
      <c r="M445" s="19"/>
      <c r="N445" s="19"/>
    </row>
    <row r="446" spans="1:14" s="41" customFormat="1" ht="14.25" customHeight="1">
      <c r="A446" s="11"/>
      <c r="B446" s="5"/>
      <c r="C446" s="5"/>
      <c r="D446" s="27"/>
      <c r="E446" s="18"/>
      <c r="F446" s="18"/>
      <c r="G446" s="18"/>
      <c r="H446" s="18"/>
      <c r="I446" s="19"/>
      <c r="J446" s="19"/>
      <c r="K446" s="19"/>
      <c r="L446" s="19"/>
      <c r="M446" s="19"/>
      <c r="N446" s="19"/>
    </row>
    <row r="447" spans="1:14" s="41" customFormat="1" ht="14.25" customHeight="1">
      <c r="A447" s="11"/>
      <c r="B447" s="5"/>
      <c r="C447" s="5"/>
      <c r="D447" s="27"/>
      <c r="E447" s="18"/>
      <c r="F447" s="18"/>
      <c r="G447" s="18"/>
      <c r="H447" s="18"/>
      <c r="I447" s="19"/>
      <c r="J447" s="19"/>
      <c r="K447" s="19"/>
      <c r="L447" s="19"/>
      <c r="M447" s="19"/>
      <c r="N447" s="19"/>
    </row>
    <row r="448" spans="1:14" s="41" customFormat="1" ht="14.25" customHeight="1">
      <c r="A448" s="11"/>
      <c r="B448" s="5"/>
      <c r="C448" s="5"/>
      <c r="D448" s="27"/>
      <c r="E448" s="18"/>
      <c r="F448" s="18"/>
      <c r="G448" s="18"/>
      <c r="H448" s="18"/>
      <c r="I448" s="19"/>
      <c r="J448" s="19"/>
      <c r="K448" s="19"/>
      <c r="L448" s="19"/>
      <c r="M448" s="19"/>
      <c r="N448" s="19"/>
    </row>
    <row r="449" spans="4:8" ht="14.25" customHeight="1">
      <c r="D449" s="40"/>
      <c r="E449" s="40"/>
      <c r="F449" s="40"/>
      <c r="G449" s="40"/>
      <c r="H449" s="40"/>
    </row>
    <row r="450" spans="4:8" ht="14.25" customHeight="1">
      <c r="D450" s="40"/>
      <c r="E450" s="40"/>
      <c r="F450" s="40"/>
      <c r="G450" s="40"/>
      <c r="H450" s="40"/>
    </row>
    <row r="451" spans="4:8" ht="14.25" customHeight="1">
      <c r="D451" s="40"/>
      <c r="E451" s="40"/>
      <c r="F451" s="40"/>
      <c r="G451" s="40"/>
      <c r="H451" s="40"/>
    </row>
    <row r="452" spans="4:8" ht="14.25" customHeight="1">
      <c r="D452" s="40"/>
      <c r="E452" s="40"/>
      <c r="F452" s="40"/>
      <c r="G452" s="40"/>
      <c r="H452" s="40"/>
    </row>
    <row r="453" spans="4:8" ht="14.25" customHeight="1">
      <c r="D453" s="40"/>
      <c r="E453" s="40"/>
      <c r="F453" s="40"/>
      <c r="G453" s="40"/>
      <c r="H453" s="40"/>
    </row>
    <row r="454" spans="4:8" ht="14.25" customHeight="1">
      <c r="D454" s="40"/>
      <c r="E454" s="40"/>
      <c r="F454" s="40"/>
      <c r="G454" s="40"/>
      <c r="H454" s="40"/>
    </row>
    <row r="455" spans="4:8" ht="14.25" customHeight="1">
      <c r="D455" s="40"/>
      <c r="E455" s="40"/>
      <c r="F455" s="40"/>
      <c r="G455" s="40"/>
      <c r="H455" s="40"/>
    </row>
    <row r="456" spans="4:8" ht="14.25" customHeight="1">
      <c r="D456" s="40"/>
      <c r="E456" s="40"/>
      <c r="F456" s="40"/>
      <c r="G456" s="40"/>
      <c r="H456" s="40"/>
    </row>
    <row r="457" spans="4:8" ht="14.25" customHeight="1">
      <c r="D457" s="40"/>
      <c r="E457" s="40"/>
      <c r="F457" s="40"/>
      <c r="G457" s="40"/>
      <c r="H457" s="40"/>
    </row>
    <row r="458" spans="4:8" ht="14.25" customHeight="1">
      <c r="D458" s="40"/>
      <c r="E458" s="40"/>
      <c r="F458" s="40"/>
      <c r="G458" s="40"/>
      <c r="H458" s="40"/>
    </row>
    <row r="459" spans="4:8" ht="14.25" customHeight="1">
      <c r="D459" s="40"/>
      <c r="E459" s="40"/>
      <c r="F459" s="40"/>
      <c r="G459" s="40"/>
      <c r="H459" s="40"/>
    </row>
    <row r="460" spans="4:8" ht="14.25" customHeight="1">
      <c r="D460" s="40"/>
      <c r="E460" s="40"/>
      <c r="F460" s="40"/>
      <c r="G460" s="40"/>
      <c r="H460" s="40"/>
    </row>
    <row r="461" spans="4:8" ht="14.25" customHeight="1">
      <c r="D461" s="40"/>
      <c r="E461" s="40"/>
      <c r="F461" s="40"/>
      <c r="G461" s="40"/>
      <c r="H461" s="40"/>
    </row>
    <row r="462" spans="4:8" ht="14.25" customHeight="1">
      <c r="D462" s="40"/>
      <c r="E462" s="40"/>
      <c r="F462" s="40"/>
      <c r="G462" s="40"/>
      <c r="H462" s="40"/>
    </row>
    <row r="463" spans="4:8" ht="14.25" customHeight="1">
      <c r="D463" s="40"/>
      <c r="E463" s="40"/>
      <c r="F463" s="40"/>
      <c r="G463" s="40"/>
      <c r="H463" s="40"/>
    </row>
    <row r="464" spans="4:8" ht="14.25" customHeight="1">
      <c r="D464" s="40"/>
      <c r="E464" s="40"/>
      <c r="F464" s="40"/>
      <c r="G464" s="40"/>
      <c r="H464" s="40"/>
    </row>
    <row r="465" spans="4:8" ht="14.25" customHeight="1">
      <c r="D465" s="40"/>
      <c r="E465" s="40"/>
      <c r="F465" s="40"/>
      <c r="G465" s="40"/>
      <c r="H465" s="40"/>
    </row>
    <row r="466" spans="4:8" ht="14.25" customHeight="1">
      <c r="D466" s="40"/>
      <c r="E466" s="40"/>
      <c r="F466" s="40"/>
      <c r="G466" s="40"/>
      <c r="H466" s="40"/>
    </row>
    <row r="467" spans="4:8" ht="14.25" customHeight="1">
      <c r="D467" s="40"/>
      <c r="E467" s="40"/>
      <c r="F467" s="40"/>
      <c r="G467" s="40"/>
      <c r="H467" s="40"/>
    </row>
    <row r="468" spans="4:8" ht="14.25" customHeight="1">
      <c r="D468" s="40"/>
      <c r="E468" s="40"/>
      <c r="F468" s="40"/>
      <c r="G468" s="40"/>
      <c r="H468" s="40"/>
    </row>
    <row r="469" spans="4:8" ht="14.25" customHeight="1">
      <c r="D469" s="40"/>
      <c r="E469" s="40"/>
      <c r="F469" s="40"/>
      <c r="G469" s="40"/>
      <c r="H469" s="40"/>
    </row>
    <row r="470" spans="4:8" ht="14.25" customHeight="1">
      <c r="D470" s="40"/>
      <c r="E470" s="40"/>
      <c r="F470" s="40"/>
      <c r="G470" s="40"/>
      <c r="H470" s="40"/>
    </row>
    <row r="471" spans="4:8" ht="14.25" customHeight="1">
      <c r="D471" s="40"/>
      <c r="E471" s="40"/>
      <c r="F471" s="40"/>
      <c r="G471" s="40"/>
      <c r="H471" s="40"/>
    </row>
    <row r="472" spans="4:8" ht="14.25" customHeight="1">
      <c r="D472" s="40"/>
      <c r="E472" s="40"/>
      <c r="F472" s="40"/>
      <c r="G472" s="40"/>
      <c r="H472" s="40"/>
    </row>
    <row r="473" spans="4:8" ht="14.25" customHeight="1">
      <c r="D473" s="40"/>
      <c r="E473" s="40"/>
      <c r="F473" s="40"/>
      <c r="G473" s="40"/>
      <c r="H473" s="40"/>
    </row>
    <row r="474" spans="4:8" ht="14.25" customHeight="1">
      <c r="D474" s="40"/>
      <c r="E474" s="40"/>
      <c r="F474" s="40"/>
      <c r="G474" s="40"/>
      <c r="H474" s="40"/>
    </row>
    <row r="475" spans="4:8" ht="14.25" customHeight="1">
      <c r="D475" s="40"/>
      <c r="E475" s="40"/>
      <c r="F475" s="40"/>
      <c r="G475" s="40"/>
      <c r="H475" s="40"/>
    </row>
    <row r="476" spans="4:8" ht="14.25" customHeight="1">
      <c r="D476" s="40"/>
      <c r="E476" s="40"/>
      <c r="F476" s="40"/>
      <c r="G476" s="40"/>
      <c r="H476" s="40"/>
    </row>
    <row r="477" spans="4:8" ht="14.25" customHeight="1">
      <c r="D477" s="40"/>
      <c r="E477" s="40"/>
      <c r="F477" s="40"/>
      <c r="G477" s="40"/>
      <c r="H477" s="40"/>
    </row>
    <row r="478" spans="4:8" ht="14.25" customHeight="1">
      <c r="D478" s="40"/>
      <c r="E478" s="40"/>
      <c r="F478" s="40"/>
      <c r="G478" s="40"/>
      <c r="H478" s="40"/>
    </row>
    <row r="479" spans="4:8" ht="14.25" customHeight="1">
      <c r="D479" s="40"/>
      <c r="E479" s="40"/>
      <c r="F479" s="40"/>
      <c r="G479" s="40"/>
      <c r="H479" s="40"/>
    </row>
    <row r="480" spans="4:8" ht="14.25" customHeight="1">
      <c r="D480" s="40"/>
      <c r="E480" s="40"/>
      <c r="F480" s="40"/>
      <c r="G480" s="40"/>
      <c r="H480" s="40"/>
    </row>
    <row r="481" spans="4:8" ht="14.25" customHeight="1">
      <c r="D481" s="40"/>
      <c r="E481" s="40"/>
      <c r="F481" s="40"/>
      <c r="G481" s="40"/>
      <c r="H481" s="40"/>
    </row>
    <row r="482" spans="4:8" ht="14.25" customHeight="1">
      <c r="D482" s="40"/>
      <c r="E482" s="40"/>
      <c r="F482" s="40"/>
      <c r="G482" s="40"/>
      <c r="H482" s="40"/>
    </row>
    <row r="483" spans="4:8" ht="14.25" customHeight="1">
      <c r="D483" s="40"/>
      <c r="E483" s="40"/>
      <c r="F483" s="40"/>
      <c r="G483" s="40"/>
      <c r="H483" s="40"/>
    </row>
    <row r="484" spans="4:8" ht="14.25" customHeight="1">
      <c r="D484" s="40"/>
      <c r="E484" s="40"/>
      <c r="F484" s="40"/>
      <c r="G484" s="40"/>
      <c r="H484" s="40"/>
    </row>
    <row r="485" spans="4:8" ht="14.25" customHeight="1">
      <c r="D485" s="40"/>
      <c r="E485" s="40"/>
      <c r="F485" s="40"/>
      <c r="G485" s="40"/>
      <c r="H485" s="40"/>
    </row>
    <row r="486" spans="4:8" ht="14.25" customHeight="1">
      <c r="D486" s="40"/>
      <c r="E486" s="40"/>
      <c r="F486" s="40"/>
      <c r="G486" s="40"/>
      <c r="H486" s="40"/>
    </row>
    <row r="487" spans="4:8" ht="14.25" customHeight="1">
      <c r="D487" s="40"/>
      <c r="E487" s="40"/>
      <c r="F487" s="40"/>
      <c r="G487" s="40"/>
      <c r="H487" s="40"/>
    </row>
    <row r="488" spans="4:8" ht="14.25" customHeight="1">
      <c r="D488" s="40"/>
      <c r="E488" s="40"/>
      <c r="F488" s="40"/>
      <c r="G488" s="40"/>
      <c r="H488" s="40"/>
    </row>
    <row r="489" spans="4:8" ht="14.25" customHeight="1">
      <c r="D489" s="40"/>
      <c r="E489" s="40"/>
      <c r="F489" s="40"/>
      <c r="G489" s="40"/>
      <c r="H489" s="40"/>
    </row>
    <row r="490" spans="4:8" ht="14.25" customHeight="1">
      <c r="D490" s="40"/>
      <c r="E490" s="40"/>
      <c r="F490" s="40"/>
      <c r="G490" s="40"/>
      <c r="H490" s="40"/>
    </row>
    <row r="491" spans="4:8" ht="14.25" customHeight="1">
      <c r="D491" s="40"/>
      <c r="E491" s="40"/>
      <c r="F491" s="40"/>
      <c r="G491" s="40"/>
      <c r="H491" s="40"/>
    </row>
    <row r="492" spans="4:8" ht="14.25" customHeight="1">
      <c r="D492" s="40"/>
      <c r="E492" s="40"/>
      <c r="F492" s="40"/>
      <c r="G492" s="40"/>
      <c r="H492" s="40"/>
    </row>
    <row r="493" spans="4:8" ht="14.25" customHeight="1">
      <c r="D493" s="40"/>
      <c r="E493" s="40"/>
      <c r="F493" s="40"/>
      <c r="G493" s="40"/>
      <c r="H493" s="40"/>
    </row>
    <row r="494" spans="4:8" ht="14.25" customHeight="1">
      <c r="D494" s="40"/>
      <c r="E494" s="40"/>
      <c r="F494" s="40"/>
      <c r="G494" s="40"/>
      <c r="H494" s="40"/>
    </row>
    <row r="495" spans="4:8" ht="14.25" customHeight="1">
      <c r="D495" s="40"/>
      <c r="E495" s="40"/>
      <c r="F495" s="40"/>
      <c r="G495" s="40"/>
      <c r="H495" s="40"/>
    </row>
    <row r="496" spans="4:8" ht="14.25" customHeight="1">
      <c r="D496" s="40"/>
      <c r="E496" s="40"/>
      <c r="F496" s="40"/>
      <c r="G496" s="40"/>
      <c r="H496" s="40"/>
    </row>
    <row r="497" spans="4:8" ht="14.25" customHeight="1">
      <c r="D497" s="40"/>
      <c r="E497" s="40"/>
      <c r="F497" s="40"/>
      <c r="G497" s="40"/>
      <c r="H497" s="40"/>
    </row>
    <row r="498" spans="4:8" ht="14.25" customHeight="1">
      <c r="D498" s="40"/>
      <c r="E498" s="40"/>
      <c r="F498" s="40"/>
      <c r="G498" s="40"/>
      <c r="H498" s="40"/>
    </row>
    <row r="499" spans="4:8" ht="14.25" customHeight="1">
      <c r="D499" s="40"/>
      <c r="E499" s="40"/>
      <c r="F499" s="40"/>
      <c r="G499" s="40"/>
      <c r="H499" s="40"/>
    </row>
    <row r="500" spans="4:8" ht="14.25" customHeight="1">
      <c r="D500" s="40"/>
      <c r="E500" s="40"/>
      <c r="F500" s="40"/>
      <c r="G500" s="40"/>
      <c r="H500" s="40"/>
    </row>
    <row r="501" spans="4:8" ht="14.25" customHeight="1">
      <c r="D501" s="40"/>
      <c r="E501" s="40"/>
      <c r="F501" s="40"/>
      <c r="G501" s="40"/>
      <c r="H501" s="40"/>
    </row>
    <row r="502" spans="4:8" ht="14.25" customHeight="1">
      <c r="D502" s="40"/>
      <c r="E502" s="40"/>
      <c r="F502" s="40"/>
      <c r="G502" s="40"/>
      <c r="H502" s="40"/>
    </row>
    <row r="503" spans="4:8" ht="14.25" customHeight="1">
      <c r="D503" s="40"/>
      <c r="E503" s="40"/>
      <c r="F503" s="40"/>
      <c r="G503" s="40"/>
      <c r="H503" s="40"/>
    </row>
    <row r="504" spans="4:8" ht="14.25" customHeight="1">
      <c r="D504" s="40"/>
      <c r="E504" s="40"/>
      <c r="F504" s="40"/>
      <c r="G504" s="40"/>
      <c r="H504" s="40"/>
    </row>
    <row r="505" spans="4:8" ht="14.25" customHeight="1">
      <c r="D505" s="40"/>
      <c r="E505" s="40"/>
      <c r="F505" s="40"/>
      <c r="G505" s="40"/>
      <c r="H505" s="40"/>
    </row>
    <row r="506" spans="4:8" ht="14.25" customHeight="1">
      <c r="D506" s="40"/>
      <c r="E506" s="40"/>
      <c r="F506" s="40"/>
      <c r="G506" s="40"/>
      <c r="H506" s="40"/>
    </row>
    <row r="507" spans="4:8" ht="14.25" customHeight="1">
      <c r="D507" s="40"/>
      <c r="E507" s="40"/>
      <c r="F507" s="40"/>
      <c r="G507" s="40"/>
      <c r="H507" s="40"/>
    </row>
    <row r="508" spans="4:8" ht="14.25" customHeight="1">
      <c r="D508" s="40"/>
      <c r="E508" s="40"/>
      <c r="F508" s="40"/>
      <c r="G508" s="40"/>
      <c r="H508" s="40"/>
    </row>
    <row r="509" spans="4:8" ht="14.25" customHeight="1">
      <c r="D509" s="40"/>
      <c r="E509" s="40"/>
      <c r="F509" s="40"/>
      <c r="G509" s="40"/>
      <c r="H509" s="40"/>
    </row>
    <row r="510" spans="4:8" ht="14.25" customHeight="1">
      <c r="D510" s="40"/>
      <c r="E510" s="40"/>
      <c r="F510" s="40"/>
      <c r="G510" s="40"/>
      <c r="H510" s="40"/>
    </row>
    <row r="511" spans="4:8" ht="14.25" customHeight="1">
      <c r="D511" s="40"/>
      <c r="E511" s="40"/>
      <c r="F511" s="40"/>
      <c r="G511" s="40"/>
      <c r="H511" s="40"/>
    </row>
    <row r="512" spans="4:8" ht="14.25" customHeight="1">
      <c r="D512" s="40"/>
      <c r="E512" s="40"/>
      <c r="F512" s="40"/>
      <c r="G512" s="40"/>
      <c r="H512" s="40"/>
    </row>
    <row r="513" spans="4:8" ht="14.25" customHeight="1">
      <c r="D513" s="40"/>
      <c r="E513" s="40"/>
      <c r="F513" s="40"/>
      <c r="G513" s="40"/>
      <c r="H513" s="40"/>
    </row>
    <row r="514" spans="4:8" ht="14.25" customHeight="1">
      <c r="D514" s="40"/>
      <c r="E514" s="40"/>
      <c r="F514" s="40"/>
      <c r="G514" s="40"/>
      <c r="H514" s="40"/>
    </row>
    <row r="515" spans="4:8" ht="14.25" customHeight="1">
      <c r="D515" s="40"/>
      <c r="E515" s="40"/>
      <c r="F515" s="40"/>
      <c r="G515" s="40"/>
      <c r="H515" s="40"/>
    </row>
    <row r="516" spans="4:8" ht="14.25" customHeight="1">
      <c r="D516" s="40"/>
      <c r="E516" s="40"/>
      <c r="F516" s="40"/>
      <c r="G516" s="40"/>
      <c r="H516" s="40"/>
    </row>
    <row r="517" spans="4:8" ht="14.25" customHeight="1">
      <c r="D517" s="40"/>
      <c r="E517" s="40"/>
      <c r="F517" s="40"/>
      <c r="G517" s="40"/>
      <c r="H517" s="40"/>
    </row>
    <row r="518" spans="4:8" ht="14.25" customHeight="1">
      <c r="D518" s="40"/>
      <c r="E518" s="40"/>
      <c r="F518" s="40"/>
      <c r="G518" s="40"/>
      <c r="H518" s="40"/>
    </row>
    <row r="519" spans="4:8" ht="14.25" customHeight="1">
      <c r="D519" s="40"/>
      <c r="E519" s="40"/>
      <c r="F519" s="40"/>
      <c r="G519" s="40"/>
      <c r="H519" s="40"/>
    </row>
    <row r="520" spans="4:8" ht="14.25" customHeight="1">
      <c r="D520" s="40"/>
      <c r="E520" s="40"/>
      <c r="F520" s="40"/>
      <c r="G520" s="40"/>
      <c r="H520" s="40"/>
    </row>
    <row r="521" spans="4:8" ht="14.25" customHeight="1">
      <c r="D521" s="40"/>
      <c r="E521" s="40"/>
      <c r="F521" s="40"/>
      <c r="G521" s="40"/>
      <c r="H521" s="40"/>
    </row>
    <row r="522" spans="4:8" ht="14.25" customHeight="1">
      <c r="D522" s="40"/>
      <c r="E522" s="40"/>
      <c r="F522" s="40"/>
      <c r="G522" s="40"/>
      <c r="H522" s="40"/>
    </row>
    <row r="523" spans="4:8" ht="14.25" customHeight="1">
      <c r="D523" s="40"/>
      <c r="E523" s="40"/>
      <c r="F523" s="40"/>
      <c r="G523" s="40"/>
      <c r="H523" s="40"/>
    </row>
    <row r="524" spans="4:8" ht="14.25" customHeight="1">
      <c r="D524" s="40"/>
      <c r="E524" s="40"/>
      <c r="F524" s="40"/>
      <c r="G524" s="40"/>
      <c r="H524" s="40"/>
    </row>
    <row r="525" spans="4:8" ht="14.25" customHeight="1">
      <c r="D525" s="40"/>
      <c r="E525" s="40"/>
      <c r="F525" s="40"/>
      <c r="G525" s="40"/>
      <c r="H525" s="40"/>
    </row>
    <row r="526" spans="4:8" ht="14.25" customHeight="1">
      <c r="D526" s="40"/>
      <c r="E526" s="40"/>
      <c r="F526" s="40"/>
      <c r="G526" s="40"/>
      <c r="H526" s="40"/>
    </row>
    <row r="527" spans="4:8" ht="14.25" customHeight="1">
      <c r="D527" s="40"/>
      <c r="E527" s="40"/>
      <c r="F527" s="40"/>
      <c r="G527" s="40"/>
      <c r="H527" s="40"/>
    </row>
    <row r="528" spans="4:8" ht="14.25" customHeight="1">
      <c r="D528" s="40"/>
      <c r="E528" s="40"/>
      <c r="F528" s="40"/>
      <c r="G528" s="40"/>
      <c r="H528" s="40"/>
    </row>
    <row r="529" spans="4:8" ht="14.25" customHeight="1">
      <c r="D529" s="40"/>
      <c r="E529" s="40"/>
      <c r="F529" s="40"/>
      <c r="G529" s="40"/>
      <c r="H529" s="40"/>
    </row>
    <row r="530" spans="4:8" ht="14.25" customHeight="1">
      <c r="D530" s="40"/>
      <c r="E530" s="40"/>
      <c r="F530" s="40"/>
      <c r="G530" s="40"/>
      <c r="H530" s="40"/>
    </row>
    <row r="531" spans="4:8" ht="14.25" customHeight="1">
      <c r="D531" s="40"/>
      <c r="E531" s="40"/>
      <c r="F531" s="40"/>
      <c r="G531" s="40"/>
      <c r="H531" s="40"/>
    </row>
    <row r="532" spans="4:8" ht="14.25" customHeight="1">
      <c r="D532" s="40"/>
      <c r="E532" s="40"/>
      <c r="F532" s="40"/>
      <c r="G532" s="40"/>
      <c r="H532" s="40"/>
    </row>
    <row r="533" spans="4:8" ht="14.25" customHeight="1">
      <c r="D533" s="40"/>
      <c r="E533" s="40"/>
      <c r="F533" s="40"/>
      <c r="G533" s="40"/>
      <c r="H533" s="40"/>
    </row>
    <row r="534" spans="4:8" ht="14.25" customHeight="1">
      <c r="D534" s="40"/>
      <c r="E534" s="40"/>
      <c r="F534" s="40"/>
      <c r="G534" s="40"/>
      <c r="H534" s="40"/>
    </row>
    <row r="535" spans="4:8" ht="14.25" customHeight="1">
      <c r="D535" s="40"/>
      <c r="E535" s="40"/>
      <c r="F535" s="40"/>
      <c r="G535" s="40"/>
      <c r="H535" s="40"/>
    </row>
    <row r="536" spans="4:8" ht="14.25" customHeight="1">
      <c r="D536" s="40"/>
      <c r="E536" s="40"/>
      <c r="F536" s="40"/>
      <c r="G536" s="40"/>
      <c r="H536" s="40"/>
    </row>
    <row r="537" spans="4:8" ht="14.25" customHeight="1">
      <c r="D537" s="40"/>
      <c r="E537" s="40"/>
      <c r="F537" s="40"/>
      <c r="G537" s="40"/>
      <c r="H537" s="40"/>
    </row>
    <row r="538" spans="4:8" ht="14.25" customHeight="1">
      <c r="D538" s="40"/>
      <c r="E538" s="40"/>
      <c r="F538" s="40"/>
      <c r="G538" s="40"/>
      <c r="H538" s="40"/>
    </row>
    <row r="539" spans="4:8" ht="14.25" customHeight="1">
      <c r="D539" s="40"/>
      <c r="E539" s="40"/>
      <c r="F539" s="40"/>
      <c r="G539" s="40"/>
      <c r="H539" s="40"/>
    </row>
    <row r="540" spans="4:8" ht="14.25" customHeight="1">
      <c r="D540" s="40"/>
      <c r="E540" s="40"/>
      <c r="F540" s="40"/>
      <c r="G540" s="40"/>
      <c r="H540" s="40"/>
    </row>
    <row r="541" spans="4:8" ht="14.25" customHeight="1">
      <c r="D541" s="40"/>
      <c r="E541" s="40"/>
      <c r="F541" s="40"/>
      <c r="G541" s="40"/>
      <c r="H541" s="40"/>
    </row>
    <row r="542" spans="4:8" ht="14.25" customHeight="1">
      <c r="D542" s="40"/>
      <c r="E542" s="40"/>
      <c r="F542" s="40"/>
      <c r="G542" s="40"/>
      <c r="H542" s="40"/>
    </row>
    <row r="543" spans="4:8" ht="14.25" customHeight="1">
      <c r="D543" s="40"/>
      <c r="E543" s="40"/>
      <c r="F543" s="40"/>
      <c r="G543" s="40"/>
      <c r="H543" s="40"/>
    </row>
    <row r="544" spans="4:8" ht="14.25" customHeight="1">
      <c r="D544" s="40"/>
      <c r="E544" s="40"/>
      <c r="F544" s="40"/>
      <c r="G544" s="40"/>
      <c r="H544" s="40"/>
    </row>
    <row r="545" spans="4:8" ht="14.25" customHeight="1">
      <c r="D545" s="40"/>
      <c r="E545" s="40"/>
      <c r="F545" s="40"/>
      <c r="G545" s="40"/>
      <c r="H545" s="40"/>
    </row>
    <row r="546" spans="4:8" ht="14.25" customHeight="1">
      <c r="D546" s="40"/>
      <c r="E546" s="40"/>
      <c r="F546" s="40"/>
      <c r="G546" s="40"/>
      <c r="H546" s="40"/>
    </row>
    <row r="547" spans="4:8" ht="14.25" customHeight="1">
      <c r="D547" s="40"/>
      <c r="E547" s="40"/>
      <c r="F547" s="40"/>
      <c r="G547" s="40"/>
      <c r="H547" s="40"/>
    </row>
    <row r="548" spans="4:8" ht="14.25" customHeight="1">
      <c r="D548" s="40"/>
      <c r="E548" s="40"/>
      <c r="F548" s="40"/>
      <c r="G548" s="40"/>
      <c r="H548" s="40"/>
    </row>
    <row r="549" spans="4:8" ht="14.25" customHeight="1">
      <c r="D549" s="40"/>
      <c r="E549" s="40"/>
      <c r="F549" s="40"/>
      <c r="G549" s="40"/>
      <c r="H549" s="40"/>
    </row>
    <row r="550" spans="4:8" ht="14.25" customHeight="1">
      <c r="D550" s="40"/>
      <c r="E550" s="40"/>
      <c r="F550" s="40"/>
      <c r="G550" s="40"/>
      <c r="H550" s="40"/>
    </row>
    <row r="551" spans="4:8" ht="14.25" customHeight="1">
      <c r="D551" s="40"/>
      <c r="E551" s="40"/>
      <c r="F551" s="40"/>
      <c r="G551" s="40"/>
      <c r="H551" s="40"/>
    </row>
    <row r="552" spans="4:8" ht="14.25" customHeight="1">
      <c r="D552" s="40"/>
      <c r="E552" s="40"/>
      <c r="F552" s="40"/>
      <c r="G552" s="40"/>
      <c r="H552" s="40"/>
    </row>
    <row r="553" spans="4:8" ht="14.25" customHeight="1">
      <c r="D553" s="40"/>
      <c r="E553" s="40"/>
      <c r="F553" s="40"/>
      <c r="G553" s="40"/>
      <c r="H553" s="40"/>
    </row>
    <row r="554" spans="4:8" ht="14.25" customHeight="1">
      <c r="D554" s="40"/>
      <c r="E554" s="40"/>
      <c r="F554" s="40"/>
      <c r="G554" s="40"/>
      <c r="H554" s="40"/>
    </row>
    <row r="555" spans="4:8" ht="14.25" customHeight="1">
      <c r="D555" s="40"/>
      <c r="E555" s="40"/>
      <c r="F555" s="40"/>
      <c r="G555" s="40"/>
      <c r="H555" s="40"/>
    </row>
    <row r="556" spans="4:8" ht="14.25" customHeight="1">
      <c r="D556" s="40"/>
      <c r="E556" s="40"/>
      <c r="F556" s="40"/>
      <c r="G556" s="40"/>
      <c r="H556" s="40"/>
    </row>
    <row r="557" spans="4:8" ht="14.25" customHeight="1">
      <c r="D557" s="40"/>
      <c r="E557" s="40"/>
      <c r="F557" s="40"/>
      <c r="G557" s="40"/>
      <c r="H557" s="40"/>
    </row>
    <row r="558" spans="4:8" ht="14.25" customHeight="1">
      <c r="D558" s="40"/>
      <c r="E558" s="40"/>
      <c r="F558" s="40"/>
      <c r="G558" s="40"/>
      <c r="H558" s="40"/>
    </row>
    <row r="559" spans="4:8" ht="14.25" customHeight="1">
      <c r="D559" s="40"/>
      <c r="E559" s="40"/>
      <c r="F559" s="40"/>
      <c r="G559" s="40"/>
      <c r="H559" s="40"/>
    </row>
    <row r="560" spans="4:8" ht="14.25" customHeight="1">
      <c r="D560" s="40"/>
      <c r="E560" s="40"/>
      <c r="F560" s="40"/>
      <c r="G560" s="40"/>
      <c r="H560" s="40"/>
    </row>
    <row r="561" spans="4:8" ht="14.25" customHeight="1">
      <c r="D561" s="40"/>
      <c r="E561" s="40"/>
      <c r="F561" s="40"/>
      <c r="G561" s="40"/>
      <c r="H561" s="40"/>
    </row>
    <row r="562" spans="4:8" ht="14.25" customHeight="1">
      <c r="D562" s="40"/>
      <c r="E562" s="40"/>
      <c r="F562" s="40"/>
      <c r="G562" s="40"/>
      <c r="H562" s="40"/>
    </row>
    <row r="563" spans="4:8" ht="14.25" customHeight="1">
      <c r="D563" s="40"/>
      <c r="E563" s="40"/>
      <c r="F563" s="40"/>
      <c r="G563" s="40"/>
      <c r="H563" s="40"/>
    </row>
    <row r="564" spans="4:8" ht="14.25" customHeight="1">
      <c r="D564" s="40"/>
      <c r="E564" s="40"/>
      <c r="F564" s="40"/>
      <c r="G564" s="40"/>
      <c r="H564" s="40"/>
    </row>
    <row r="565" spans="4:8" ht="14.25" customHeight="1">
      <c r="D565" s="40"/>
      <c r="E565" s="40"/>
      <c r="F565" s="40"/>
      <c r="G565" s="40"/>
      <c r="H565" s="40"/>
    </row>
    <row r="566" spans="4:8" ht="14.25" customHeight="1">
      <c r="D566" s="40"/>
      <c r="E566" s="40"/>
      <c r="F566" s="40"/>
      <c r="G566" s="40"/>
      <c r="H566" s="40"/>
    </row>
    <row r="567" spans="4:8" ht="14.25" customHeight="1">
      <c r="D567" s="40"/>
      <c r="E567" s="40"/>
      <c r="F567" s="40"/>
      <c r="G567" s="40"/>
      <c r="H567" s="40"/>
    </row>
    <row r="568" spans="4:8" ht="14.25" customHeight="1">
      <c r="D568" s="40"/>
      <c r="E568" s="40"/>
      <c r="F568" s="40"/>
      <c r="G568" s="40"/>
      <c r="H568" s="40"/>
    </row>
    <row r="569" spans="4:8" ht="14.25" customHeight="1">
      <c r="D569" s="40"/>
      <c r="E569" s="40"/>
      <c r="F569" s="40"/>
      <c r="G569" s="40"/>
      <c r="H569" s="40"/>
    </row>
    <row r="570" spans="4:8" ht="14.25" customHeight="1">
      <c r="D570" s="40"/>
      <c r="E570" s="40"/>
      <c r="F570" s="40"/>
      <c r="G570" s="40"/>
      <c r="H570" s="40"/>
    </row>
    <row r="571" spans="4:8" ht="14.25" customHeight="1">
      <c r="D571" s="40"/>
      <c r="E571" s="40"/>
      <c r="F571" s="40"/>
      <c r="G571" s="40"/>
      <c r="H571" s="40"/>
    </row>
    <row r="572" spans="4:8" ht="14.25" customHeight="1">
      <c r="D572" s="40"/>
      <c r="E572" s="40"/>
      <c r="F572" s="40"/>
      <c r="G572" s="40"/>
      <c r="H572" s="40"/>
    </row>
    <row r="573" spans="4:8" ht="14.25" customHeight="1">
      <c r="D573" s="40"/>
      <c r="E573" s="40"/>
      <c r="F573" s="40"/>
      <c r="G573" s="40"/>
      <c r="H573" s="40"/>
    </row>
    <row r="574" spans="4:8" ht="14.25" customHeight="1">
      <c r="D574" s="40"/>
      <c r="E574" s="40"/>
      <c r="F574" s="40"/>
      <c r="G574" s="40"/>
      <c r="H574" s="40"/>
    </row>
    <row r="575" spans="4:8" ht="14.25" customHeight="1">
      <c r="D575" s="40"/>
      <c r="E575" s="40"/>
      <c r="F575" s="40"/>
      <c r="G575" s="40"/>
      <c r="H575" s="40"/>
    </row>
    <row r="576" spans="4:8" ht="14.25" customHeight="1">
      <c r="D576" s="40"/>
      <c r="E576" s="40"/>
      <c r="F576" s="40"/>
      <c r="G576" s="40"/>
      <c r="H576" s="40"/>
    </row>
    <row r="577" spans="4:8" ht="14.25" customHeight="1">
      <c r="D577" s="40"/>
      <c r="E577" s="40"/>
      <c r="F577" s="40"/>
      <c r="G577" s="40"/>
      <c r="H577" s="40"/>
    </row>
    <row r="578" spans="4:8" ht="14.25" customHeight="1">
      <c r="D578" s="40"/>
      <c r="E578" s="40"/>
      <c r="F578" s="40"/>
      <c r="G578" s="40"/>
      <c r="H578" s="40"/>
    </row>
    <row r="579" spans="4:8" ht="14.25" customHeight="1">
      <c r="D579" s="40"/>
      <c r="E579" s="40"/>
      <c r="F579" s="40"/>
      <c r="G579" s="40"/>
      <c r="H579" s="40"/>
    </row>
    <row r="580" spans="4:8" ht="14.25" customHeight="1">
      <c r="D580" s="40"/>
      <c r="E580" s="40"/>
      <c r="F580" s="40"/>
      <c r="G580" s="40"/>
      <c r="H580" s="40"/>
    </row>
    <row r="581" spans="4:8" ht="14.25" customHeight="1">
      <c r="D581" s="40"/>
      <c r="E581" s="40"/>
      <c r="F581" s="40"/>
      <c r="G581" s="40"/>
      <c r="H581" s="40"/>
    </row>
    <row r="582" spans="4:8" ht="14.25" customHeight="1">
      <c r="D582" s="40"/>
      <c r="E582" s="40"/>
      <c r="F582" s="40"/>
      <c r="G582" s="40"/>
      <c r="H582" s="40"/>
    </row>
    <row r="583" spans="4:8" ht="14.25" customHeight="1">
      <c r="D583" s="40"/>
      <c r="E583" s="40"/>
      <c r="F583" s="40"/>
      <c r="G583" s="40"/>
      <c r="H583" s="40"/>
    </row>
    <row r="584" spans="4:8" ht="14.25" customHeight="1">
      <c r="D584" s="40"/>
      <c r="E584" s="40"/>
      <c r="F584" s="40"/>
      <c r="G584" s="40"/>
      <c r="H584" s="40"/>
    </row>
    <row r="585" spans="4:8" ht="14.25" customHeight="1">
      <c r="D585" s="40"/>
      <c r="E585" s="40"/>
      <c r="F585" s="40"/>
      <c r="G585" s="40"/>
      <c r="H585" s="40"/>
    </row>
    <row r="586" spans="4:8" ht="14.25" customHeight="1">
      <c r="D586" s="40"/>
      <c r="E586" s="40"/>
      <c r="F586" s="40"/>
      <c r="G586" s="40"/>
      <c r="H586" s="40"/>
    </row>
    <row r="587" spans="4:8" ht="14.25" customHeight="1">
      <c r="D587" s="40"/>
      <c r="E587" s="40"/>
      <c r="F587" s="40"/>
      <c r="G587" s="40"/>
      <c r="H587" s="40"/>
    </row>
    <row r="588" spans="4:8" ht="14.25" customHeight="1">
      <c r="D588" s="40"/>
      <c r="E588" s="40"/>
      <c r="F588" s="40"/>
      <c r="G588" s="40"/>
      <c r="H588" s="40"/>
    </row>
    <row r="589" spans="4:8" ht="14.25" customHeight="1">
      <c r="D589" s="40"/>
      <c r="E589" s="40"/>
      <c r="F589" s="40"/>
      <c r="G589" s="40"/>
      <c r="H589" s="40"/>
    </row>
    <row r="590" spans="4:8" ht="14.25" customHeight="1">
      <c r="D590" s="40"/>
      <c r="E590" s="40"/>
      <c r="F590" s="40"/>
      <c r="G590" s="40"/>
      <c r="H590" s="40"/>
    </row>
    <row r="591" spans="4:8" ht="14.25" customHeight="1">
      <c r="D591" s="40"/>
      <c r="E591" s="40"/>
      <c r="F591" s="40"/>
      <c r="G591" s="40"/>
      <c r="H591" s="40"/>
    </row>
    <row r="592" spans="4:8" ht="14.25" customHeight="1">
      <c r="D592" s="40"/>
      <c r="E592" s="40"/>
      <c r="F592" s="40"/>
      <c r="G592" s="40"/>
      <c r="H592" s="40"/>
    </row>
    <row r="593" spans="4:14" ht="14.25" customHeight="1">
      <c r="D593" s="40"/>
      <c r="E593" s="40"/>
      <c r="F593" s="40"/>
      <c r="G593" s="40"/>
      <c r="H593" s="40"/>
    </row>
    <row r="594" spans="4:14" ht="14.25" customHeight="1">
      <c r="D594" s="40"/>
      <c r="E594" s="40"/>
      <c r="F594" s="40"/>
      <c r="G594" s="40"/>
      <c r="H594" s="40"/>
    </row>
    <row r="595" spans="4:14" ht="14.25" customHeight="1">
      <c r="D595" s="40"/>
      <c r="E595" s="40"/>
      <c r="F595" s="40"/>
      <c r="G595" s="40"/>
      <c r="H595" s="40"/>
    </row>
    <row r="596" spans="4:14" ht="14.25" customHeight="1">
      <c r="D596" s="40"/>
      <c r="E596" s="40"/>
      <c r="F596" s="40"/>
      <c r="G596" s="40"/>
      <c r="H596" s="40"/>
    </row>
    <row r="597" spans="4:14" ht="14.25" customHeight="1">
      <c r="D597" s="40"/>
      <c r="E597" s="40"/>
      <c r="F597" s="40"/>
      <c r="G597" s="40"/>
      <c r="H597" s="40"/>
    </row>
    <row r="598" spans="4:14" ht="14.25" customHeight="1">
      <c r="D598" s="40"/>
      <c r="E598" s="40"/>
      <c r="F598" s="40"/>
      <c r="G598" s="40"/>
      <c r="H598" s="40"/>
    </row>
    <row r="599" spans="4:14" ht="14.25" customHeight="1">
      <c r="D599" s="40"/>
      <c r="E599" s="40"/>
      <c r="F599" s="40"/>
      <c r="G599" s="40"/>
      <c r="H599" s="40"/>
    </row>
    <row r="600" spans="4:14" ht="14.25" customHeight="1">
      <c r="D600" s="40"/>
      <c r="E600" s="40"/>
      <c r="F600" s="40"/>
      <c r="G600" s="40"/>
      <c r="H600" s="40"/>
    </row>
    <row r="601" spans="4:14" ht="14.25" customHeight="1">
      <c r="D601" s="40"/>
      <c r="E601" s="40"/>
      <c r="F601" s="40"/>
      <c r="G601" s="40"/>
      <c r="H601" s="40"/>
    </row>
    <row r="602" spans="4:14" ht="14.25" customHeight="1">
      <c r="D602" s="40"/>
      <c r="E602" s="40"/>
      <c r="F602" s="40"/>
      <c r="G602" s="40"/>
      <c r="H602" s="40"/>
    </row>
    <row r="603" spans="4:14" ht="14.25" customHeight="1">
      <c r="D603" s="40"/>
      <c r="E603" s="40"/>
      <c r="F603" s="40"/>
      <c r="G603" s="40"/>
      <c r="H603" s="40"/>
    </row>
    <row r="608" spans="4:14" ht="14.25" customHeight="1">
      <c r="I608" s="38"/>
      <c r="J608" s="38"/>
      <c r="K608" s="38"/>
      <c r="L608" s="38"/>
      <c r="M608" s="38"/>
      <c r="N608" s="38"/>
    </row>
    <row r="617" s="38" customFormat="1" ht="14.25" customHeight="1"/>
    <row r="619" s="38" customFormat="1" ht="14.25" customHeight="1"/>
    <row r="620" s="38" customFormat="1" ht="14.25" customHeight="1"/>
    <row r="621" s="38" customFormat="1" ht="14.25" customHeight="1"/>
    <row r="622" s="38" customFormat="1" ht="14.25" customHeight="1"/>
    <row r="623" s="38" customFormat="1" ht="14.25" customHeight="1"/>
    <row r="624" s="38" customFormat="1" ht="14.25" customHeight="1"/>
    <row r="625" s="38" customFormat="1" ht="14.25" customHeight="1"/>
    <row r="626" s="38" customFormat="1" ht="14.25" customHeight="1"/>
    <row r="627" s="38" customFormat="1" ht="14.25" customHeight="1"/>
    <row r="628" s="38" customFormat="1" ht="14.25" customHeight="1"/>
    <row r="630" s="38" customFormat="1" ht="14.25" customHeight="1"/>
    <row r="631" s="38" customFormat="1" ht="14.25" customHeight="1"/>
    <row r="632" s="38" customFormat="1" ht="14.25" customHeight="1"/>
    <row r="640" s="38" customFormat="1" ht="14.25" customHeight="1"/>
    <row r="649" s="38" customFormat="1" ht="14.25" customHeight="1"/>
    <row r="651" s="38" customFormat="1" ht="14.25" customHeight="1"/>
    <row r="652" s="38" customFormat="1" ht="14.25" customHeight="1"/>
    <row r="653" s="38" customFormat="1" ht="14.25" customHeight="1"/>
    <row r="654" s="38" customFormat="1" ht="14.25" customHeight="1"/>
    <row r="655" s="38" customFormat="1" ht="14.25" customHeight="1"/>
    <row r="656" s="38" customFormat="1" ht="14.25" customHeight="1"/>
    <row r="657" s="38" customFormat="1" ht="14.25" customHeight="1"/>
    <row r="658" s="38" customFormat="1" ht="14.25" customHeight="1"/>
    <row r="659" s="38" customFormat="1" ht="14.25" customHeight="1"/>
    <row r="660" s="38" customFormat="1" ht="14.25" customHeight="1"/>
    <row r="662" s="38" customFormat="1" ht="14.25" customHeight="1"/>
    <row r="663" s="38" customFormat="1" ht="14.25" customHeight="1"/>
    <row r="664" s="38" customFormat="1" ht="14.25" customHeight="1"/>
    <row r="672" s="38" customFormat="1" ht="14.25" customHeight="1"/>
    <row r="681" s="38" customFormat="1" ht="14.25" customHeight="1"/>
    <row r="683" s="38" customFormat="1" ht="14.25" customHeight="1"/>
    <row r="684" s="38" customFormat="1" ht="14.25" customHeight="1"/>
    <row r="685" s="38" customFormat="1" ht="14.25" customHeight="1"/>
    <row r="686" s="38" customFormat="1" ht="14.25" customHeight="1"/>
    <row r="687" s="38" customFormat="1" ht="14.25" customHeight="1"/>
    <row r="688" s="38" customFormat="1" ht="14.25" customHeight="1"/>
    <row r="689" s="38" customFormat="1" ht="14.25" customHeight="1"/>
    <row r="690" s="38" customFormat="1" ht="14.25" customHeight="1"/>
    <row r="691" s="38" customFormat="1" ht="14.25" customHeight="1"/>
    <row r="692" s="38" customFormat="1" ht="14.25" customHeight="1"/>
    <row r="694" s="38" customFormat="1" ht="14.25" customHeight="1"/>
    <row r="695" s="38" customFormat="1" ht="14.25" customHeight="1"/>
    <row r="696" s="38" customFormat="1" ht="14.25" customHeight="1"/>
    <row r="697" s="38" customFormat="1" ht="14.25" customHeight="1"/>
    <row r="699" s="38" customFormat="1" ht="14.25" customHeight="1"/>
    <row r="700" s="38" customFormat="1" ht="14.25" customHeight="1"/>
    <row r="701" s="38" customFormat="1" ht="14.25" customHeight="1"/>
    <row r="702" s="38" customFormat="1" ht="14.25" customHeight="1"/>
    <row r="704" s="38" customFormat="1" ht="14.25" customHeight="1"/>
    <row r="705" s="38" customFormat="1" ht="14.25" customHeight="1"/>
    <row r="707" s="38" customFormat="1" ht="14.25" customHeight="1"/>
    <row r="708" s="38" customFormat="1" ht="14.25" customHeight="1"/>
    <row r="709" s="38" customFormat="1" ht="14.25" customHeight="1"/>
    <row r="710" s="38" customFormat="1" ht="14.25" customHeight="1"/>
    <row r="712" s="38" customFormat="1" ht="14.25" customHeight="1"/>
    <row r="713" s="38" customFormat="1" ht="14.25" customHeight="1"/>
    <row r="714" s="38" customFormat="1" ht="14.25" customHeight="1"/>
    <row r="715" s="38" customFormat="1" ht="14.25" customHeight="1"/>
  </sheetData>
  <mergeCells count="22">
    <mergeCell ref="M7:N7"/>
    <mergeCell ref="M9:N9"/>
    <mergeCell ref="B288:F288"/>
    <mergeCell ref="I288:N288"/>
    <mergeCell ref="B289:F289"/>
    <mergeCell ref="I289:N289"/>
    <mergeCell ref="A1:N1"/>
    <mergeCell ref="A2:N2"/>
    <mergeCell ref="B290:F290"/>
    <mergeCell ref="I290:N290"/>
    <mergeCell ref="D4:F4"/>
    <mergeCell ref="I4:N4"/>
    <mergeCell ref="D5:F5"/>
    <mergeCell ref="I5:N5"/>
    <mergeCell ref="I6:J6"/>
    <mergeCell ref="K6:L6"/>
    <mergeCell ref="M6:N6"/>
    <mergeCell ref="I8:J8"/>
    <mergeCell ref="K8:L8"/>
    <mergeCell ref="K9:L9"/>
    <mergeCell ref="I7:J7"/>
    <mergeCell ref="K7:L7"/>
  </mergeCells>
  <phoneticPr fontId="5" type="noConversion"/>
  <pageMargins left="0" right="0" top="0" bottom="0" header="0.31496062992125984" footer="0.31496062992125984"/>
  <pageSetup paperSize="8" fitToWidth="2"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T3.7</vt:lpstr>
      <vt:lpstr>T3.7 (old)</vt:lpstr>
      <vt:lpstr>T3.7!Print_Area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2026-09-23T09:40:17Z</dcterms:modified>
  <cp:contentStatus/>
</cp:coreProperties>
</file>